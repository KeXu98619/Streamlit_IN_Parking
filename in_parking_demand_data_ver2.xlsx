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sys-my.sharepoint.com/personal/kxu_camsys_com/Documents/LOCUS Truck Parking/data/"/>
    </mc:Choice>
  </mc:AlternateContent>
  <xr:revisionPtr revIDLastSave="34" documentId="8_{EDB49B96-4296-4D8D-A52A-FB982BE7E73C}" xr6:coauthVersionLast="47" xr6:coauthVersionMax="47" xr10:uidLastSave="{A97C7325-2DC4-4D97-9292-C765DCBDC971}"/>
  <bookViews>
    <workbookView xWindow="-120" yWindow="-120" windowWidth="29040" windowHeight="15720" activeTab="4" xr2:uid="{C0C02A3B-382B-4B5F-B3EF-D61EBC7F6E8D}"/>
  </bookViews>
  <sheets>
    <sheet name="contents" sheetId="2" r:id="rId1"/>
    <sheet name="in_parking_demand_data_ver1" sheetId="1" r:id="rId2"/>
    <sheet name="calibration" sheetId="3" r:id="rId3"/>
    <sheet name="park_dem_calibrtd_by_hour" sheetId="4" r:id="rId4"/>
    <sheet name="diagnosi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5" l="1"/>
  <c r="H2" i="5"/>
  <c r="D2" i="5"/>
  <c r="G2" i="5"/>
  <c r="F2" i="5"/>
  <c r="E2" i="5"/>
  <c r="C3" i="5" l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2" i="5"/>
  <c r="I2" i="5" s="1"/>
  <c r="J2" i="5" s="1"/>
  <c r="K2" i="5" s="1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F15" i="5" s="1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F21" i="5" s="1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F22" i="5" s="1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F23" i="5" s="1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F24" i="5" s="1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F25" i="5" s="1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F29" i="5" s="1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F36" i="5" s="1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F37" i="5" s="1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F38" i="5" s="1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F39" i="5" s="1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F40" i="5" s="1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F41" i="5" s="1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F42" i="5" s="1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F43" i="5" s="1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F44" i="5" s="1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F45" i="5" s="1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F46" i="5" s="1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F47" i="5" s="1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F48" i="5" s="1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F49" i="5" s="1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F50" i="5" s="1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F51" i="5" s="1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F52" i="5" s="1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F53" i="5" s="1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F54" i="5" s="1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F55" i="5" s="1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F56" i="5" s="1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F57" i="5" s="1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F58" i="5" s="1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F59" i="5" s="1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F60" i="5" s="1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F61" i="5" s="1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F62" i="5" s="1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F63" i="5" s="1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F64" i="5" s="1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F65" i="5" s="1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F66" i="5" s="1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F67" i="5" s="1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F68" i="5" s="1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F69" i="5" s="1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F70" i="5" s="1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F71" i="5" s="1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F72" i="5" s="1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F73" i="5" s="1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F74" i="5" s="1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F75" i="5" s="1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F76" i="5" s="1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F77" i="5" s="1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F78" i="5" s="1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F80" i="5" s="1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F81" i="5" s="1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F82" i="5" s="1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F83" i="5" s="1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F84" i="5" s="1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F85" i="5" s="1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F86" i="5" s="1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F87" i="5" s="1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F88" i="5" s="1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F89" i="5" s="1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F90" i="5" s="1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F91" i="5" s="1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F92" i="5" s="1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F93" i="5" s="1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" i="4"/>
  <c r="D3" i="4"/>
  <c r="F3" i="4" s="1"/>
  <c r="D4" i="4"/>
  <c r="F4" i="4" s="1"/>
  <c r="D5" i="4"/>
  <c r="F5" i="4" s="1"/>
  <c r="D6" i="4"/>
  <c r="F6" i="4" s="1"/>
  <c r="D7" i="4"/>
  <c r="F7" i="4" s="1"/>
  <c r="D8" i="4"/>
  <c r="F8" i="4" s="1"/>
  <c r="D9" i="4"/>
  <c r="F9" i="4" s="1"/>
  <c r="D10" i="4"/>
  <c r="F10" i="4" s="1"/>
  <c r="D11" i="4"/>
  <c r="F11" i="4" s="1"/>
  <c r="D12" i="4"/>
  <c r="F12" i="4" s="1"/>
  <c r="D13" i="4"/>
  <c r="F13" i="4" s="1"/>
  <c r="D14" i="4"/>
  <c r="F14" i="4" s="1"/>
  <c r="D15" i="4"/>
  <c r="F15" i="4" s="1"/>
  <c r="D16" i="4"/>
  <c r="F16" i="4" s="1"/>
  <c r="D17" i="4"/>
  <c r="F17" i="4" s="1"/>
  <c r="D18" i="4"/>
  <c r="F18" i="4" s="1"/>
  <c r="D19" i="4"/>
  <c r="F19" i="4" s="1"/>
  <c r="D20" i="4"/>
  <c r="F20" i="4" s="1"/>
  <c r="D21" i="4"/>
  <c r="F21" i="4" s="1"/>
  <c r="D22" i="4"/>
  <c r="F22" i="4" s="1"/>
  <c r="D23" i="4"/>
  <c r="F23" i="4" s="1"/>
  <c r="D24" i="4"/>
  <c r="F24" i="4" s="1"/>
  <c r="D25" i="4"/>
  <c r="F25" i="4" s="1"/>
  <c r="D26" i="4"/>
  <c r="D27" i="4"/>
  <c r="F27" i="4" s="1"/>
  <c r="D28" i="4"/>
  <c r="F28" i="4" s="1"/>
  <c r="D29" i="4"/>
  <c r="F29" i="4" s="1"/>
  <c r="D30" i="4"/>
  <c r="F30" i="4" s="1"/>
  <c r="D31" i="4"/>
  <c r="F31" i="4" s="1"/>
  <c r="D32" i="4"/>
  <c r="F32" i="4" s="1"/>
  <c r="D33" i="4"/>
  <c r="F33" i="4" s="1"/>
  <c r="D34" i="4"/>
  <c r="F34" i="4" s="1"/>
  <c r="D35" i="4"/>
  <c r="F35" i="4" s="1"/>
  <c r="D36" i="4"/>
  <c r="F36" i="4" s="1"/>
  <c r="D37" i="4"/>
  <c r="F37" i="4" s="1"/>
  <c r="D38" i="4"/>
  <c r="F38" i="4" s="1"/>
  <c r="D39" i="4"/>
  <c r="F39" i="4" s="1"/>
  <c r="D40" i="4"/>
  <c r="F40" i="4" s="1"/>
  <c r="D41" i="4"/>
  <c r="F41" i="4" s="1"/>
  <c r="D42" i="4"/>
  <c r="F42" i="4" s="1"/>
  <c r="D43" i="4"/>
  <c r="F43" i="4" s="1"/>
  <c r="D44" i="4"/>
  <c r="F44" i="4" s="1"/>
  <c r="D45" i="4"/>
  <c r="F45" i="4" s="1"/>
  <c r="D46" i="4"/>
  <c r="F46" i="4" s="1"/>
  <c r="D47" i="4"/>
  <c r="F47" i="4" s="1"/>
  <c r="D48" i="4"/>
  <c r="F48" i="4" s="1"/>
  <c r="D49" i="4"/>
  <c r="F49" i="4" s="1"/>
  <c r="D50" i="4"/>
  <c r="D51" i="4"/>
  <c r="F51" i="4" s="1"/>
  <c r="D52" i="4"/>
  <c r="F52" i="4" s="1"/>
  <c r="D53" i="4"/>
  <c r="F53" i="4" s="1"/>
  <c r="D54" i="4"/>
  <c r="F54" i="4" s="1"/>
  <c r="D55" i="4"/>
  <c r="F55" i="4" s="1"/>
  <c r="D56" i="4"/>
  <c r="F56" i="4" s="1"/>
  <c r="D57" i="4"/>
  <c r="F57" i="4" s="1"/>
  <c r="D58" i="4"/>
  <c r="F58" i="4" s="1"/>
  <c r="D59" i="4"/>
  <c r="F59" i="4" s="1"/>
  <c r="D60" i="4"/>
  <c r="F60" i="4" s="1"/>
  <c r="D61" i="4"/>
  <c r="F61" i="4" s="1"/>
  <c r="D62" i="4"/>
  <c r="F62" i="4" s="1"/>
  <c r="D63" i="4"/>
  <c r="F63" i="4" s="1"/>
  <c r="D64" i="4"/>
  <c r="F64" i="4" s="1"/>
  <c r="D65" i="4"/>
  <c r="F65" i="4" s="1"/>
  <c r="D66" i="4"/>
  <c r="F66" i="4" s="1"/>
  <c r="D67" i="4"/>
  <c r="F67" i="4" s="1"/>
  <c r="D68" i="4"/>
  <c r="F68" i="4" s="1"/>
  <c r="D69" i="4"/>
  <c r="F69" i="4" s="1"/>
  <c r="D70" i="4"/>
  <c r="F70" i="4" s="1"/>
  <c r="D71" i="4"/>
  <c r="F71" i="4" s="1"/>
  <c r="D72" i="4"/>
  <c r="F72" i="4" s="1"/>
  <c r="D73" i="4"/>
  <c r="F73" i="4" s="1"/>
  <c r="D74" i="4"/>
  <c r="D75" i="4"/>
  <c r="F75" i="4" s="1"/>
  <c r="D76" i="4"/>
  <c r="F76" i="4" s="1"/>
  <c r="D77" i="4"/>
  <c r="F77" i="4" s="1"/>
  <c r="D78" i="4"/>
  <c r="F78" i="4" s="1"/>
  <c r="D79" i="4"/>
  <c r="F79" i="4" s="1"/>
  <c r="D80" i="4"/>
  <c r="F80" i="4" s="1"/>
  <c r="D81" i="4"/>
  <c r="F81" i="4" s="1"/>
  <c r="D82" i="4"/>
  <c r="F82" i="4" s="1"/>
  <c r="D83" i="4"/>
  <c r="F83" i="4" s="1"/>
  <c r="D84" i="4"/>
  <c r="F84" i="4" s="1"/>
  <c r="D85" i="4"/>
  <c r="F85" i="4" s="1"/>
  <c r="D86" i="4"/>
  <c r="F86" i="4" s="1"/>
  <c r="D87" i="4"/>
  <c r="F87" i="4" s="1"/>
  <c r="D88" i="4"/>
  <c r="F88" i="4" s="1"/>
  <c r="D89" i="4"/>
  <c r="F89" i="4" s="1"/>
  <c r="D90" i="4"/>
  <c r="F90" i="4" s="1"/>
  <c r="D91" i="4"/>
  <c r="F91" i="4" s="1"/>
  <c r="D92" i="4"/>
  <c r="F92" i="4" s="1"/>
  <c r="D93" i="4"/>
  <c r="F93" i="4" s="1"/>
  <c r="D94" i="4"/>
  <c r="F94" i="4" s="1"/>
  <c r="D95" i="4"/>
  <c r="F95" i="4" s="1"/>
  <c r="D96" i="4"/>
  <c r="F96" i="4" s="1"/>
  <c r="D97" i="4"/>
  <c r="F97" i="4" s="1"/>
  <c r="D98" i="4"/>
  <c r="D99" i="4"/>
  <c r="F99" i="4" s="1"/>
  <c r="D100" i="4"/>
  <c r="F100" i="4" s="1"/>
  <c r="D101" i="4"/>
  <c r="F101" i="4" s="1"/>
  <c r="D102" i="4"/>
  <c r="F102" i="4" s="1"/>
  <c r="D103" i="4"/>
  <c r="F103" i="4" s="1"/>
  <c r="D104" i="4"/>
  <c r="F104" i="4" s="1"/>
  <c r="D105" i="4"/>
  <c r="F105" i="4" s="1"/>
  <c r="D106" i="4"/>
  <c r="F106" i="4" s="1"/>
  <c r="D107" i="4"/>
  <c r="F107" i="4" s="1"/>
  <c r="D108" i="4"/>
  <c r="F108" i="4" s="1"/>
  <c r="D109" i="4"/>
  <c r="F109" i="4" s="1"/>
  <c r="D110" i="4"/>
  <c r="F110" i="4" s="1"/>
  <c r="D111" i="4"/>
  <c r="F111" i="4" s="1"/>
  <c r="D112" i="4"/>
  <c r="F112" i="4" s="1"/>
  <c r="D113" i="4"/>
  <c r="F113" i="4" s="1"/>
  <c r="D114" i="4"/>
  <c r="F114" i="4" s="1"/>
  <c r="D115" i="4"/>
  <c r="F115" i="4" s="1"/>
  <c r="D116" i="4"/>
  <c r="F116" i="4" s="1"/>
  <c r="D117" i="4"/>
  <c r="F117" i="4" s="1"/>
  <c r="D118" i="4"/>
  <c r="F118" i="4" s="1"/>
  <c r="D119" i="4"/>
  <c r="F119" i="4" s="1"/>
  <c r="D120" i="4"/>
  <c r="F120" i="4" s="1"/>
  <c r="D121" i="4"/>
  <c r="F121" i="4" s="1"/>
  <c r="D122" i="4"/>
  <c r="D123" i="4"/>
  <c r="F123" i="4" s="1"/>
  <c r="D124" i="4"/>
  <c r="F124" i="4" s="1"/>
  <c r="D125" i="4"/>
  <c r="F125" i="4" s="1"/>
  <c r="D126" i="4"/>
  <c r="F126" i="4" s="1"/>
  <c r="D127" i="4"/>
  <c r="F127" i="4" s="1"/>
  <c r="D128" i="4"/>
  <c r="F128" i="4" s="1"/>
  <c r="D129" i="4"/>
  <c r="F129" i="4" s="1"/>
  <c r="D130" i="4"/>
  <c r="F130" i="4" s="1"/>
  <c r="D131" i="4"/>
  <c r="F131" i="4" s="1"/>
  <c r="D132" i="4"/>
  <c r="F132" i="4" s="1"/>
  <c r="D133" i="4"/>
  <c r="F133" i="4" s="1"/>
  <c r="D134" i="4"/>
  <c r="F134" i="4" s="1"/>
  <c r="D135" i="4"/>
  <c r="F135" i="4" s="1"/>
  <c r="D136" i="4"/>
  <c r="F136" i="4" s="1"/>
  <c r="D137" i="4"/>
  <c r="F137" i="4" s="1"/>
  <c r="D138" i="4"/>
  <c r="F138" i="4" s="1"/>
  <c r="D139" i="4"/>
  <c r="F139" i="4" s="1"/>
  <c r="D140" i="4"/>
  <c r="F140" i="4" s="1"/>
  <c r="D141" i="4"/>
  <c r="F141" i="4" s="1"/>
  <c r="D142" i="4"/>
  <c r="F142" i="4" s="1"/>
  <c r="D143" i="4"/>
  <c r="F143" i="4" s="1"/>
  <c r="D144" i="4"/>
  <c r="F144" i="4" s="1"/>
  <c r="D145" i="4"/>
  <c r="F145" i="4" s="1"/>
  <c r="D146" i="4"/>
  <c r="D147" i="4"/>
  <c r="F147" i="4" s="1"/>
  <c r="D148" i="4"/>
  <c r="F148" i="4" s="1"/>
  <c r="D149" i="4"/>
  <c r="F149" i="4" s="1"/>
  <c r="D150" i="4"/>
  <c r="F150" i="4" s="1"/>
  <c r="D151" i="4"/>
  <c r="F151" i="4" s="1"/>
  <c r="D152" i="4"/>
  <c r="F152" i="4" s="1"/>
  <c r="D153" i="4"/>
  <c r="F153" i="4" s="1"/>
  <c r="D154" i="4"/>
  <c r="F154" i="4" s="1"/>
  <c r="D155" i="4"/>
  <c r="F155" i="4" s="1"/>
  <c r="D156" i="4"/>
  <c r="F156" i="4" s="1"/>
  <c r="D157" i="4"/>
  <c r="F157" i="4" s="1"/>
  <c r="D158" i="4"/>
  <c r="F158" i="4" s="1"/>
  <c r="D159" i="4"/>
  <c r="F159" i="4" s="1"/>
  <c r="D160" i="4"/>
  <c r="F160" i="4" s="1"/>
  <c r="D161" i="4"/>
  <c r="F161" i="4" s="1"/>
  <c r="D162" i="4"/>
  <c r="F162" i="4" s="1"/>
  <c r="D163" i="4"/>
  <c r="F163" i="4" s="1"/>
  <c r="D164" i="4"/>
  <c r="F164" i="4" s="1"/>
  <c r="D165" i="4"/>
  <c r="F165" i="4" s="1"/>
  <c r="D166" i="4"/>
  <c r="F166" i="4" s="1"/>
  <c r="D167" i="4"/>
  <c r="F167" i="4" s="1"/>
  <c r="D168" i="4"/>
  <c r="F168" i="4" s="1"/>
  <c r="D169" i="4"/>
  <c r="F169" i="4" s="1"/>
  <c r="D170" i="4"/>
  <c r="D171" i="4"/>
  <c r="F171" i="4" s="1"/>
  <c r="D172" i="4"/>
  <c r="F172" i="4" s="1"/>
  <c r="D173" i="4"/>
  <c r="F173" i="4" s="1"/>
  <c r="D174" i="4"/>
  <c r="F174" i="4" s="1"/>
  <c r="D175" i="4"/>
  <c r="F175" i="4" s="1"/>
  <c r="D176" i="4"/>
  <c r="F176" i="4" s="1"/>
  <c r="D177" i="4"/>
  <c r="F177" i="4" s="1"/>
  <c r="D178" i="4"/>
  <c r="F178" i="4" s="1"/>
  <c r="D179" i="4"/>
  <c r="F179" i="4" s="1"/>
  <c r="D180" i="4"/>
  <c r="F180" i="4" s="1"/>
  <c r="D181" i="4"/>
  <c r="F181" i="4" s="1"/>
  <c r="D182" i="4"/>
  <c r="F182" i="4" s="1"/>
  <c r="D183" i="4"/>
  <c r="F183" i="4" s="1"/>
  <c r="D184" i="4"/>
  <c r="F184" i="4" s="1"/>
  <c r="D185" i="4"/>
  <c r="F185" i="4" s="1"/>
  <c r="D186" i="4"/>
  <c r="F186" i="4" s="1"/>
  <c r="D187" i="4"/>
  <c r="F187" i="4" s="1"/>
  <c r="D188" i="4"/>
  <c r="F188" i="4" s="1"/>
  <c r="D189" i="4"/>
  <c r="F189" i="4" s="1"/>
  <c r="D190" i="4"/>
  <c r="F190" i="4" s="1"/>
  <c r="D191" i="4"/>
  <c r="F191" i="4" s="1"/>
  <c r="D192" i="4"/>
  <c r="F192" i="4" s="1"/>
  <c r="D193" i="4"/>
  <c r="F193" i="4" s="1"/>
  <c r="D194" i="4"/>
  <c r="D195" i="4"/>
  <c r="F195" i="4" s="1"/>
  <c r="D196" i="4"/>
  <c r="F196" i="4" s="1"/>
  <c r="D197" i="4"/>
  <c r="F197" i="4" s="1"/>
  <c r="D198" i="4"/>
  <c r="F198" i="4" s="1"/>
  <c r="D199" i="4"/>
  <c r="F199" i="4" s="1"/>
  <c r="D200" i="4"/>
  <c r="F200" i="4" s="1"/>
  <c r="D201" i="4"/>
  <c r="F201" i="4" s="1"/>
  <c r="D202" i="4"/>
  <c r="F202" i="4" s="1"/>
  <c r="D203" i="4"/>
  <c r="F203" i="4" s="1"/>
  <c r="D204" i="4"/>
  <c r="F204" i="4" s="1"/>
  <c r="D205" i="4"/>
  <c r="F205" i="4" s="1"/>
  <c r="D206" i="4"/>
  <c r="F206" i="4" s="1"/>
  <c r="D207" i="4"/>
  <c r="F207" i="4" s="1"/>
  <c r="D208" i="4"/>
  <c r="F208" i="4" s="1"/>
  <c r="D209" i="4"/>
  <c r="F209" i="4" s="1"/>
  <c r="D210" i="4"/>
  <c r="F210" i="4" s="1"/>
  <c r="D211" i="4"/>
  <c r="F211" i="4" s="1"/>
  <c r="D212" i="4"/>
  <c r="F212" i="4" s="1"/>
  <c r="D213" i="4"/>
  <c r="F213" i="4" s="1"/>
  <c r="D214" i="4"/>
  <c r="F214" i="4" s="1"/>
  <c r="D215" i="4"/>
  <c r="F215" i="4" s="1"/>
  <c r="D216" i="4"/>
  <c r="F216" i="4" s="1"/>
  <c r="D217" i="4"/>
  <c r="F217" i="4" s="1"/>
  <c r="D218" i="4"/>
  <c r="D219" i="4"/>
  <c r="F219" i="4" s="1"/>
  <c r="D220" i="4"/>
  <c r="F220" i="4" s="1"/>
  <c r="D221" i="4"/>
  <c r="F221" i="4" s="1"/>
  <c r="D222" i="4"/>
  <c r="F222" i="4" s="1"/>
  <c r="D223" i="4"/>
  <c r="F223" i="4" s="1"/>
  <c r="D224" i="4"/>
  <c r="F224" i="4" s="1"/>
  <c r="D225" i="4"/>
  <c r="F225" i="4" s="1"/>
  <c r="D226" i="4"/>
  <c r="F226" i="4" s="1"/>
  <c r="D227" i="4"/>
  <c r="F227" i="4" s="1"/>
  <c r="D228" i="4"/>
  <c r="F228" i="4" s="1"/>
  <c r="D229" i="4"/>
  <c r="F229" i="4" s="1"/>
  <c r="D230" i="4"/>
  <c r="F230" i="4" s="1"/>
  <c r="D231" i="4"/>
  <c r="F231" i="4" s="1"/>
  <c r="D232" i="4"/>
  <c r="F232" i="4" s="1"/>
  <c r="D233" i="4"/>
  <c r="F233" i="4" s="1"/>
  <c r="D234" i="4"/>
  <c r="F234" i="4" s="1"/>
  <c r="D235" i="4"/>
  <c r="F235" i="4" s="1"/>
  <c r="D236" i="4"/>
  <c r="F236" i="4" s="1"/>
  <c r="D237" i="4"/>
  <c r="F237" i="4" s="1"/>
  <c r="D238" i="4"/>
  <c r="F238" i="4" s="1"/>
  <c r="D239" i="4"/>
  <c r="F239" i="4" s="1"/>
  <c r="D240" i="4"/>
  <c r="F240" i="4" s="1"/>
  <c r="D241" i="4"/>
  <c r="F241" i="4" s="1"/>
  <c r="D242" i="4"/>
  <c r="D243" i="4"/>
  <c r="F243" i="4" s="1"/>
  <c r="D244" i="4"/>
  <c r="F244" i="4" s="1"/>
  <c r="D245" i="4"/>
  <c r="F245" i="4" s="1"/>
  <c r="D246" i="4"/>
  <c r="F246" i="4" s="1"/>
  <c r="D247" i="4"/>
  <c r="F247" i="4" s="1"/>
  <c r="D248" i="4"/>
  <c r="F248" i="4" s="1"/>
  <c r="D249" i="4"/>
  <c r="F249" i="4" s="1"/>
  <c r="D250" i="4"/>
  <c r="F250" i="4" s="1"/>
  <c r="D251" i="4"/>
  <c r="F251" i="4" s="1"/>
  <c r="D252" i="4"/>
  <c r="F252" i="4" s="1"/>
  <c r="D253" i="4"/>
  <c r="F253" i="4" s="1"/>
  <c r="D254" i="4"/>
  <c r="F254" i="4" s="1"/>
  <c r="D255" i="4"/>
  <c r="F255" i="4" s="1"/>
  <c r="D256" i="4"/>
  <c r="F256" i="4" s="1"/>
  <c r="D257" i="4"/>
  <c r="F257" i="4" s="1"/>
  <c r="D258" i="4"/>
  <c r="F258" i="4" s="1"/>
  <c r="D259" i="4"/>
  <c r="F259" i="4" s="1"/>
  <c r="D260" i="4"/>
  <c r="F260" i="4" s="1"/>
  <c r="D261" i="4"/>
  <c r="F261" i="4" s="1"/>
  <c r="D262" i="4"/>
  <c r="F262" i="4" s="1"/>
  <c r="D263" i="4"/>
  <c r="F263" i="4" s="1"/>
  <c r="D264" i="4"/>
  <c r="F264" i="4" s="1"/>
  <c r="D265" i="4"/>
  <c r="F265" i="4" s="1"/>
  <c r="D266" i="4"/>
  <c r="D267" i="4"/>
  <c r="F267" i="4" s="1"/>
  <c r="D268" i="4"/>
  <c r="F268" i="4" s="1"/>
  <c r="D269" i="4"/>
  <c r="F269" i="4" s="1"/>
  <c r="D270" i="4"/>
  <c r="F270" i="4" s="1"/>
  <c r="D271" i="4"/>
  <c r="F271" i="4" s="1"/>
  <c r="D272" i="4"/>
  <c r="F272" i="4" s="1"/>
  <c r="D273" i="4"/>
  <c r="F273" i="4" s="1"/>
  <c r="D274" i="4"/>
  <c r="F274" i="4" s="1"/>
  <c r="D275" i="4"/>
  <c r="F275" i="4" s="1"/>
  <c r="D276" i="4"/>
  <c r="F276" i="4" s="1"/>
  <c r="D277" i="4"/>
  <c r="F277" i="4" s="1"/>
  <c r="D278" i="4"/>
  <c r="F278" i="4" s="1"/>
  <c r="D279" i="4"/>
  <c r="F279" i="4" s="1"/>
  <c r="D280" i="4"/>
  <c r="F280" i="4" s="1"/>
  <c r="D281" i="4"/>
  <c r="F281" i="4" s="1"/>
  <c r="D282" i="4"/>
  <c r="F282" i="4" s="1"/>
  <c r="D283" i="4"/>
  <c r="F283" i="4" s="1"/>
  <c r="D284" i="4"/>
  <c r="F284" i="4" s="1"/>
  <c r="D285" i="4"/>
  <c r="F285" i="4" s="1"/>
  <c r="D286" i="4"/>
  <c r="F286" i="4" s="1"/>
  <c r="D287" i="4"/>
  <c r="F287" i="4" s="1"/>
  <c r="D288" i="4"/>
  <c r="F288" i="4" s="1"/>
  <c r="D289" i="4"/>
  <c r="F289" i="4" s="1"/>
  <c r="D290" i="4"/>
  <c r="D291" i="4"/>
  <c r="F291" i="4" s="1"/>
  <c r="D292" i="4"/>
  <c r="F292" i="4" s="1"/>
  <c r="D293" i="4"/>
  <c r="F293" i="4" s="1"/>
  <c r="D294" i="4"/>
  <c r="F294" i="4" s="1"/>
  <c r="D295" i="4"/>
  <c r="F295" i="4" s="1"/>
  <c r="D296" i="4"/>
  <c r="F296" i="4" s="1"/>
  <c r="D297" i="4"/>
  <c r="F297" i="4" s="1"/>
  <c r="D298" i="4"/>
  <c r="F298" i="4" s="1"/>
  <c r="D299" i="4"/>
  <c r="F299" i="4" s="1"/>
  <c r="D300" i="4"/>
  <c r="F300" i="4" s="1"/>
  <c r="D301" i="4"/>
  <c r="F301" i="4" s="1"/>
  <c r="D302" i="4"/>
  <c r="F302" i="4" s="1"/>
  <c r="D303" i="4"/>
  <c r="F303" i="4" s="1"/>
  <c r="D304" i="4"/>
  <c r="F304" i="4" s="1"/>
  <c r="D305" i="4"/>
  <c r="F305" i="4" s="1"/>
  <c r="D306" i="4"/>
  <c r="F306" i="4" s="1"/>
  <c r="D307" i="4"/>
  <c r="F307" i="4" s="1"/>
  <c r="D308" i="4"/>
  <c r="F308" i="4" s="1"/>
  <c r="D309" i="4"/>
  <c r="F309" i="4" s="1"/>
  <c r="D310" i="4"/>
  <c r="F310" i="4" s="1"/>
  <c r="D311" i="4"/>
  <c r="F311" i="4" s="1"/>
  <c r="D312" i="4"/>
  <c r="F312" i="4" s="1"/>
  <c r="D313" i="4"/>
  <c r="F313" i="4" s="1"/>
  <c r="D314" i="4"/>
  <c r="D315" i="4"/>
  <c r="F315" i="4" s="1"/>
  <c r="D316" i="4"/>
  <c r="F316" i="4" s="1"/>
  <c r="D317" i="4"/>
  <c r="F317" i="4" s="1"/>
  <c r="D318" i="4"/>
  <c r="F318" i="4" s="1"/>
  <c r="D319" i="4"/>
  <c r="F319" i="4" s="1"/>
  <c r="D320" i="4"/>
  <c r="F320" i="4" s="1"/>
  <c r="D321" i="4"/>
  <c r="F321" i="4" s="1"/>
  <c r="D322" i="4"/>
  <c r="F322" i="4" s="1"/>
  <c r="D323" i="4"/>
  <c r="F323" i="4" s="1"/>
  <c r="D324" i="4"/>
  <c r="F324" i="4" s="1"/>
  <c r="D325" i="4"/>
  <c r="F325" i="4" s="1"/>
  <c r="D326" i="4"/>
  <c r="F326" i="4" s="1"/>
  <c r="D327" i="4"/>
  <c r="F327" i="4" s="1"/>
  <c r="D328" i="4"/>
  <c r="F328" i="4" s="1"/>
  <c r="D329" i="4"/>
  <c r="F329" i="4" s="1"/>
  <c r="D330" i="4"/>
  <c r="F330" i="4" s="1"/>
  <c r="D331" i="4"/>
  <c r="F331" i="4" s="1"/>
  <c r="D332" i="4"/>
  <c r="F332" i="4" s="1"/>
  <c r="D333" i="4"/>
  <c r="F333" i="4" s="1"/>
  <c r="D334" i="4"/>
  <c r="F334" i="4" s="1"/>
  <c r="D335" i="4"/>
  <c r="F335" i="4" s="1"/>
  <c r="D336" i="4"/>
  <c r="F336" i="4" s="1"/>
  <c r="D337" i="4"/>
  <c r="F337" i="4" s="1"/>
  <c r="D338" i="4"/>
  <c r="D339" i="4"/>
  <c r="F339" i="4" s="1"/>
  <c r="D340" i="4"/>
  <c r="F340" i="4" s="1"/>
  <c r="D341" i="4"/>
  <c r="F341" i="4" s="1"/>
  <c r="D342" i="4"/>
  <c r="F342" i="4" s="1"/>
  <c r="D343" i="4"/>
  <c r="F343" i="4" s="1"/>
  <c r="D344" i="4"/>
  <c r="F344" i="4" s="1"/>
  <c r="D345" i="4"/>
  <c r="F345" i="4" s="1"/>
  <c r="D346" i="4"/>
  <c r="F346" i="4" s="1"/>
  <c r="D347" i="4"/>
  <c r="F347" i="4" s="1"/>
  <c r="D348" i="4"/>
  <c r="F348" i="4" s="1"/>
  <c r="D349" i="4"/>
  <c r="F349" i="4" s="1"/>
  <c r="D350" i="4"/>
  <c r="F350" i="4" s="1"/>
  <c r="D351" i="4"/>
  <c r="F351" i="4" s="1"/>
  <c r="D352" i="4"/>
  <c r="F352" i="4" s="1"/>
  <c r="D353" i="4"/>
  <c r="F353" i="4" s="1"/>
  <c r="D354" i="4"/>
  <c r="F354" i="4" s="1"/>
  <c r="D355" i="4"/>
  <c r="F355" i="4" s="1"/>
  <c r="D356" i="4"/>
  <c r="F356" i="4" s="1"/>
  <c r="D357" i="4"/>
  <c r="F357" i="4" s="1"/>
  <c r="D358" i="4"/>
  <c r="F358" i="4" s="1"/>
  <c r="D359" i="4"/>
  <c r="F359" i="4" s="1"/>
  <c r="D360" i="4"/>
  <c r="F360" i="4" s="1"/>
  <c r="D361" i="4"/>
  <c r="F361" i="4" s="1"/>
  <c r="D362" i="4"/>
  <c r="D363" i="4"/>
  <c r="F363" i="4" s="1"/>
  <c r="D364" i="4"/>
  <c r="F364" i="4" s="1"/>
  <c r="D365" i="4"/>
  <c r="F365" i="4" s="1"/>
  <c r="D366" i="4"/>
  <c r="F366" i="4" s="1"/>
  <c r="D367" i="4"/>
  <c r="F367" i="4" s="1"/>
  <c r="D368" i="4"/>
  <c r="F368" i="4" s="1"/>
  <c r="D369" i="4"/>
  <c r="F369" i="4" s="1"/>
  <c r="D370" i="4"/>
  <c r="F370" i="4" s="1"/>
  <c r="D371" i="4"/>
  <c r="F371" i="4" s="1"/>
  <c r="D372" i="4"/>
  <c r="F372" i="4" s="1"/>
  <c r="D373" i="4"/>
  <c r="F373" i="4" s="1"/>
  <c r="D374" i="4"/>
  <c r="F374" i="4" s="1"/>
  <c r="D375" i="4"/>
  <c r="F375" i="4" s="1"/>
  <c r="D376" i="4"/>
  <c r="F376" i="4" s="1"/>
  <c r="D377" i="4"/>
  <c r="F377" i="4" s="1"/>
  <c r="D378" i="4"/>
  <c r="F378" i="4" s="1"/>
  <c r="D379" i="4"/>
  <c r="F379" i="4" s="1"/>
  <c r="D380" i="4"/>
  <c r="F380" i="4" s="1"/>
  <c r="D381" i="4"/>
  <c r="F381" i="4" s="1"/>
  <c r="D382" i="4"/>
  <c r="F382" i="4" s="1"/>
  <c r="D383" i="4"/>
  <c r="F383" i="4" s="1"/>
  <c r="D384" i="4"/>
  <c r="F384" i="4" s="1"/>
  <c r="D385" i="4"/>
  <c r="F385" i="4" s="1"/>
  <c r="D386" i="4"/>
  <c r="D387" i="4"/>
  <c r="F387" i="4" s="1"/>
  <c r="D388" i="4"/>
  <c r="F388" i="4" s="1"/>
  <c r="D389" i="4"/>
  <c r="F389" i="4" s="1"/>
  <c r="D390" i="4"/>
  <c r="F390" i="4" s="1"/>
  <c r="D391" i="4"/>
  <c r="F391" i="4" s="1"/>
  <c r="D392" i="4"/>
  <c r="F392" i="4" s="1"/>
  <c r="D393" i="4"/>
  <c r="F393" i="4" s="1"/>
  <c r="D394" i="4"/>
  <c r="F394" i="4" s="1"/>
  <c r="D395" i="4"/>
  <c r="F395" i="4" s="1"/>
  <c r="D396" i="4"/>
  <c r="F396" i="4" s="1"/>
  <c r="D397" i="4"/>
  <c r="F397" i="4" s="1"/>
  <c r="D398" i="4"/>
  <c r="F398" i="4" s="1"/>
  <c r="D399" i="4"/>
  <c r="F399" i="4" s="1"/>
  <c r="D400" i="4"/>
  <c r="F400" i="4" s="1"/>
  <c r="D401" i="4"/>
  <c r="F401" i="4" s="1"/>
  <c r="D402" i="4"/>
  <c r="F402" i="4" s="1"/>
  <c r="D403" i="4"/>
  <c r="F403" i="4" s="1"/>
  <c r="D404" i="4"/>
  <c r="F404" i="4" s="1"/>
  <c r="D405" i="4"/>
  <c r="F405" i="4" s="1"/>
  <c r="D406" i="4"/>
  <c r="F406" i="4" s="1"/>
  <c r="D407" i="4"/>
  <c r="F407" i="4" s="1"/>
  <c r="D408" i="4"/>
  <c r="F408" i="4" s="1"/>
  <c r="D409" i="4"/>
  <c r="F409" i="4" s="1"/>
  <c r="D410" i="4"/>
  <c r="D411" i="4"/>
  <c r="F411" i="4" s="1"/>
  <c r="D412" i="4"/>
  <c r="F412" i="4" s="1"/>
  <c r="D413" i="4"/>
  <c r="F413" i="4" s="1"/>
  <c r="D414" i="4"/>
  <c r="F414" i="4" s="1"/>
  <c r="D415" i="4"/>
  <c r="F415" i="4" s="1"/>
  <c r="D416" i="4"/>
  <c r="F416" i="4" s="1"/>
  <c r="D417" i="4"/>
  <c r="F417" i="4" s="1"/>
  <c r="D418" i="4"/>
  <c r="F418" i="4" s="1"/>
  <c r="D419" i="4"/>
  <c r="F419" i="4" s="1"/>
  <c r="D420" i="4"/>
  <c r="F420" i="4" s="1"/>
  <c r="D421" i="4"/>
  <c r="F421" i="4" s="1"/>
  <c r="D422" i="4"/>
  <c r="F422" i="4" s="1"/>
  <c r="D423" i="4"/>
  <c r="F423" i="4" s="1"/>
  <c r="D424" i="4"/>
  <c r="F424" i="4" s="1"/>
  <c r="D425" i="4"/>
  <c r="F425" i="4" s="1"/>
  <c r="D426" i="4"/>
  <c r="F426" i="4" s="1"/>
  <c r="D427" i="4"/>
  <c r="F427" i="4" s="1"/>
  <c r="D428" i="4"/>
  <c r="F428" i="4" s="1"/>
  <c r="D429" i="4"/>
  <c r="F429" i="4" s="1"/>
  <c r="D430" i="4"/>
  <c r="F430" i="4" s="1"/>
  <c r="D431" i="4"/>
  <c r="F431" i="4" s="1"/>
  <c r="D432" i="4"/>
  <c r="F432" i="4" s="1"/>
  <c r="D433" i="4"/>
  <c r="F433" i="4" s="1"/>
  <c r="D434" i="4"/>
  <c r="D435" i="4"/>
  <c r="F435" i="4" s="1"/>
  <c r="D436" i="4"/>
  <c r="F436" i="4" s="1"/>
  <c r="D437" i="4"/>
  <c r="F437" i="4" s="1"/>
  <c r="D438" i="4"/>
  <c r="F438" i="4" s="1"/>
  <c r="D439" i="4"/>
  <c r="F439" i="4" s="1"/>
  <c r="D440" i="4"/>
  <c r="F440" i="4" s="1"/>
  <c r="D441" i="4"/>
  <c r="F441" i="4" s="1"/>
  <c r="D442" i="4"/>
  <c r="F442" i="4" s="1"/>
  <c r="D443" i="4"/>
  <c r="F443" i="4" s="1"/>
  <c r="D444" i="4"/>
  <c r="F444" i="4" s="1"/>
  <c r="D445" i="4"/>
  <c r="F445" i="4" s="1"/>
  <c r="D446" i="4"/>
  <c r="F446" i="4" s="1"/>
  <c r="D447" i="4"/>
  <c r="F447" i="4" s="1"/>
  <c r="D448" i="4"/>
  <c r="F448" i="4" s="1"/>
  <c r="D449" i="4"/>
  <c r="F449" i="4" s="1"/>
  <c r="D450" i="4"/>
  <c r="F450" i="4" s="1"/>
  <c r="D451" i="4"/>
  <c r="F451" i="4" s="1"/>
  <c r="D452" i="4"/>
  <c r="F452" i="4" s="1"/>
  <c r="D453" i="4"/>
  <c r="F453" i="4" s="1"/>
  <c r="D454" i="4"/>
  <c r="F454" i="4" s="1"/>
  <c r="D455" i="4"/>
  <c r="F455" i="4" s="1"/>
  <c r="D456" i="4"/>
  <c r="F456" i="4" s="1"/>
  <c r="D457" i="4"/>
  <c r="F457" i="4" s="1"/>
  <c r="D458" i="4"/>
  <c r="D459" i="4"/>
  <c r="F459" i="4" s="1"/>
  <c r="D460" i="4"/>
  <c r="F460" i="4" s="1"/>
  <c r="D461" i="4"/>
  <c r="F461" i="4" s="1"/>
  <c r="D462" i="4"/>
  <c r="F462" i="4" s="1"/>
  <c r="D463" i="4"/>
  <c r="F463" i="4" s="1"/>
  <c r="D464" i="4"/>
  <c r="F464" i="4" s="1"/>
  <c r="D465" i="4"/>
  <c r="F465" i="4" s="1"/>
  <c r="D466" i="4"/>
  <c r="F466" i="4" s="1"/>
  <c r="D467" i="4"/>
  <c r="F467" i="4" s="1"/>
  <c r="D468" i="4"/>
  <c r="F468" i="4" s="1"/>
  <c r="D469" i="4"/>
  <c r="F469" i="4" s="1"/>
  <c r="D470" i="4"/>
  <c r="F470" i="4" s="1"/>
  <c r="D471" i="4"/>
  <c r="F471" i="4" s="1"/>
  <c r="D472" i="4"/>
  <c r="F472" i="4" s="1"/>
  <c r="D473" i="4"/>
  <c r="F473" i="4" s="1"/>
  <c r="D474" i="4"/>
  <c r="F474" i="4" s="1"/>
  <c r="D475" i="4"/>
  <c r="F475" i="4" s="1"/>
  <c r="D476" i="4"/>
  <c r="F476" i="4" s="1"/>
  <c r="D477" i="4"/>
  <c r="F477" i="4" s="1"/>
  <c r="D478" i="4"/>
  <c r="F478" i="4" s="1"/>
  <c r="D479" i="4"/>
  <c r="F479" i="4" s="1"/>
  <c r="D480" i="4"/>
  <c r="F480" i="4" s="1"/>
  <c r="D481" i="4"/>
  <c r="F481" i="4" s="1"/>
  <c r="D482" i="4"/>
  <c r="D483" i="4"/>
  <c r="F483" i="4" s="1"/>
  <c r="D484" i="4"/>
  <c r="F484" i="4" s="1"/>
  <c r="D485" i="4"/>
  <c r="F485" i="4" s="1"/>
  <c r="D486" i="4"/>
  <c r="F486" i="4" s="1"/>
  <c r="D487" i="4"/>
  <c r="F487" i="4" s="1"/>
  <c r="D488" i="4"/>
  <c r="F488" i="4" s="1"/>
  <c r="D489" i="4"/>
  <c r="F489" i="4" s="1"/>
  <c r="D490" i="4"/>
  <c r="F490" i="4" s="1"/>
  <c r="D491" i="4"/>
  <c r="F491" i="4" s="1"/>
  <c r="D492" i="4"/>
  <c r="F492" i="4" s="1"/>
  <c r="D493" i="4"/>
  <c r="F493" i="4" s="1"/>
  <c r="D494" i="4"/>
  <c r="F494" i="4" s="1"/>
  <c r="D495" i="4"/>
  <c r="F495" i="4" s="1"/>
  <c r="D496" i="4"/>
  <c r="F496" i="4" s="1"/>
  <c r="D497" i="4"/>
  <c r="F497" i="4" s="1"/>
  <c r="D498" i="4"/>
  <c r="F498" i="4" s="1"/>
  <c r="D499" i="4"/>
  <c r="F499" i="4" s="1"/>
  <c r="D500" i="4"/>
  <c r="F500" i="4" s="1"/>
  <c r="D501" i="4"/>
  <c r="F501" i="4" s="1"/>
  <c r="D502" i="4"/>
  <c r="F502" i="4" s="1"/>
  <c r="D503" i="4"/>
  <c r="F503" i="4" s="1"/>
  <c r="D504" i="4"/>
  <c r="F504" i="4" s="1"/>
  <c r="D505" i="4"/>
  <c r="F505" i="4" s="1"/>
  <c r="D506" i="4"/>
  <c r="D507" i="4"/>
  <c r="F507" i="4" s="1"/>
  <c r="D508" i="4"/>
  <c r="F508" i="4" s="1"/>
  <c r="D509" i="4"/>
  <c r="F509" i="4" s="1"/>
  <c r="D510" i="4"/>
  <c r="F510" i="4" s="1"/>
  <c r="D511" i="4"/>
  <c r="F511" i="4" s="1"/>
  <c r="D512" i="4"/>
  <c r="F512" i="4" s="1"/>
  <c r="D513" i="4"/>
  <c r="F513" i="4" s="1"/>
  <c r="D514" i="4"/>
  <c r="F514" i="4" s="1"/>
  <c r="D515" i="4"/>
  <c r="F515" i="4" s="1"/>
  <c r="D516" i="4"/>
  <c r="F516" i="4" s="1"/>
  <c r="D517" i="4"/>
  <c r="F517" i="4" s="1"/>
  <c r="D518" i="4"/>
  <c r="F518" i="4" s="1"/>
  <c r="D519" i="4"/>
  <c r="F519" i="4" s="1"/>
  <c r="D520" i="4"/>
  <c r="F520" i="4" s="1"/>
  <c r="D521" i="4"/>
  <c r="F521" i="4" s="1"/>
  <c r="D522" i="4"/>
  <c r="F522" i="4" s="1"/>
  <c r="D523" i="4"/>
  <c r="F523" i="4" s="1"/>
  <c r="D524" i="4"/>
  <c r="F524" i="4" s="1"/>
  <c r="D525" i="4"/>
  <c r="F525" i="4" s="1"/>
  <c r="D526" i="4"/>
  <c r="F526" i="4" s="1"/>
  <c r="D527" i="4"/>
  <c r="F527" i="4" s="1"/>
  <c r="D528" i="4"/>
  <c r="F528" i="4" s="1"/>
  <c r="D529" i="4"/>
  <c r="F529" i="4" s="1"/>
  <c r="D530" i="4"/>
  <c r="D531" i="4"/>
  <c r="F531" i="4" s="1"/>
  <c r="D532" i="4"/>
  <c r="F532" i="4" s="1"/>
  <c r="D533" i="4"/>
  <c r="F533" i="4" s="1"/>
  <c r="D534" i="4"/>
  <c r="F534" i="4" s="1"/>
  <c r="D535" i="4"/>
  <c r="F535" i="4" s="1"/>
  <c r="D536" i="4"/>
  <c r="F536" i="4" s="1"/>
  <c r="D537" i="4"/>
  <c r="F537" i="4" s="1"/>
  <c r="D538" i="4"/>
  <c r="F538" i="4" s="1"/>
  <c r="D539" i="4"/>
  <c r="F539" i="4" s="1"/>
  <c r="D540" i="4"/>
  <c r="F540" i="4" s="1"/>
  <c r="D541" i="4"/>
  <c r="F541" i="4" s="1"/>
  <c r="D542" i="4"/>
  <c r="F542" i="4" s="1"/>
  <c r="D543" i="4"/>
  <c r="F543" i="4" s="1"/>
  <c r="D544" i="4"/>
  <c r="F544" i="4" s="1"/>
  <c r="D545" i="4"/>
  <c r="F545" i="4" s="1"/>
  <c r="D546" i="4"/>
  <c r="F546" i="4" s="1"/>
  <c r="D547" i="4"/>
  <c r="F547" i="4" s="1"/>
  <c r="D548" i="4"/>
  <c r="F548" i="4" s="1"/>
  <c r="D549" i="4"/>
  <c r="F549" i="4" s="1"/>
  <c r="D550" i="4"/>
  <c r="F550" i="4" s="1"/>
  <c r="D551" i="4"/>
  <c r="F551" i="4" s="1"/>
  <c r="D552" i="4"/>
  <c r="F552" i="4" s="1"/>
  <c r="D553" i="4"/>
  <c r="F553" i="4" s="1"/>
  <c r="D554" i="4"/>
  <c r="D555" i="4"/>
  <c r="F555" i="4" s="1"/>
  <c r="D556" i="4"/>
  <c r="F556" i="4" s="1"/>
  <c r="D557" i="4"/>
  <c r="F557" i="4" s="1"/>
  <c r="D558" i="4"/>
  <c r="F558" i="4" s="1"/>
  <c r="D559" i="4"/>
  <c r="F559" i="4" s="1"/>
  <c r="D560" i="4"/>
  <c r="F560" i="4" s="1"/>
  <c r="D561" i="4"/>
  <c r="F561" i="4" s="1"/>
  <c r="D562" i="4"/>
  <c r="F562" i="4" s="1"/>
  <c r="D563" i="4"/>
  <c r="F563" i="4" s="1"/>
  <c r="D564" i="4"/>
  <c r="F564" i="4" s="1"/>
  <c r="D565" i="4"/>
  <c r="F565" i="4" s="1"/>
  <c r="D566" i="4"/>
  <c r="F566" i="4" s="1"/>
  <c r="D567" i="4"/>
  <c r="F567" i="4" s="1"/>
  <c r="D568" i="4"/>
  <c r="F568" i="4" s="1"/>
  <c r="D569" i="4"/>
  <c r="F569" i="4" s="1"/>
  <c r="D570" i="4"/>
  <c r="F570" i="4" s="1"/>
  <c r="D571" i="4"/>
  <c r="F571" i="4" s="1"/>
  <c r="D572" i="4"/>
  <c r="F572" i="4" s="1"/>
  <c r="D573" i="4"/>
  <c r="F573" i="4" s="1"/>
  <c r="D574" i="4"/>
  <c r="F574" i="4" s="1"/>
  <c r="D575" i="4"/>
  <c r="F575" i="4" s="1"/>
  <c r="D576" i="4"/>
  <c r="F576" i="4" s="1"/>
  <c r="D577" i="4"/>
  <c r="F577" i="4" s="1"/>
  <c r="D578" i="4"/>
  <c r="D579" i="4"/>
  <c r="F579" i="4" s="1"/>
  <c r="D580" i="4"/>
  <c r="F580" i="4" s="1"/>
  <c r="D581" i="4"/>
  <c r="F581" i="4" s="1"/>
  <c r="D582" i="4"/>
  <c r="F582" i="4" s="1"/>
  <c r="D583" i="4"/>
  <c r="F583" i="4" s="1"/>
  <c r="D584" i="4"/>
  <c r="F584" i="4" s="1"/>
  <c r="D585" i="4"/>
  <c r="F585" i="4" s="1"/>
  <c r="D586" i="4"/>
  <c r="F586" i="4" s="1"/>
  <c r="D587" i="4"/>
  <c r="F587" i="4" s="1"/>
  <c r="D588" i="4"/>
  <c r="F588" i="4" s="1"/>
  <c r="D589" i="4"/>
  <c r="F589" i="4" s="1"/>
  <c r="D590" i="4"/>
  <c r="F590" i="4" s="1"/>
  <c r="D591" i="4"/>
  <c r="F591" i="4" s="1"/>
  <c r="D592" i="4"/>
  <c r="F592" i="4" s="1"/>
  <c r="D593" i="4"/>
  <c r="F593" i="4" s="1"/>
  <c r="D594" i="4"/>
  <c r="F594" i="4" s="1"/>
  <c r="D595" i="4"/>
  <c r="F595" i="4" s="1"/>
  <c r="D596" i="4"/>
  <c r="F596" i="4" s="1"/>
  <c r="D597" i="4"/>
  <c r="F597" i="4" s="1"/>
  <c r="D598" i="4"/>
  <c r="F598" i="4" s="1"/>
  <c r="D599" i="4"/>
  <c r="F599" i="4" s="1"/>
  <c r="D600" i="4"/>
  <c r="F600" i="4" s="1"/>
  <c r="D601" i="4"/>
  <c r="F601" i="4" s="1"/>
  <c r="D602" i="4"/>
  <c r="D603" i="4"/>
  <c r="F603" i="4" s="1"/>
  <c r="D604" i="4"/>
  <c r="F604" i="4" s="1"/>
  <c r="D605" i="4"/>
  <c r="F605" i="4" s="1"/>
  <c r="D606" i="4"/>
  <c r="F606" i="4" s="1"/>
  <c r="D607" i="4"/>
  <c r="F607" i="4" s="1"/>
  <c r="D608" i="4"/>
  <c r="F608" i="4" s="1"/>
  <c r="D609" i="4"/>
  <c r="F609" i="4" s="1"/>
  <c r="D610" i="4"/>
  <c r="F610" i="4" s="1"/>
  <c r="D611" i="4"/>
  <c r="F611" i="4" s="1"/>
  <c r="D612" i="4"/>
  <c r="F612" i="4" s="1"/>
  <c r="D613" i="4"/>
  <c r="F613" i="4" s="1"/>
  <c r="D614" i="4"/>
  <c r="F614" i="4" s="1"/>
  <c r="D615" i="4"/>
  <c r="F615" i="4" s="1"/>
  <c r="D616" i="4"/>
  <c r="F616" i="4" s="1"/>
  <c r="D617" i="4"/>
  <c r="F617" i="4" s="1"/>
  <c r="D618" i="4"/>
  <c r="F618" i="4" s="1"/>
  <c r="D619" i="4"/>
  <c r="F619" i="4" s="1"/>
  <c r="D620" i="4"/>
  <c r="F620" i="4" s="1"/>
  <c r="D621" i="4"/>
  <c r="F621" i="4" s="1"/>
  <c r="D622" i="4"/>
  <c r="F622" i="4" s="1"/>
  <c r="D623" i="4"/>
  <c r="F623" i="4" s="1"/>
  <c r="D624" i="4"/>
  <c r="F624" i="4" s="1"/>
  <c r="D625" i="4"/>
  <c r="F625" i="4" s="1"/>
  <c r="D626" i="4"/>
  <c r="D627" i="4"/>
  <c r="F627" i="4" s="1"/>
  <c r="D628" i="4"/>
  <c r="F628" i="4" s="1"/>
  <c r="D629" i="4"/>
  <c r="F629" i="4" s="1"/>
  <c r="D630" i="4"/>
  <c r="F630" i="4" s="1"/>
  <c r="D631" i="4"/>
  <c r="F631" i="4" s="1"/>
  <c r="D632" i="4"/>
  <c r="F632" i="4" s="1"/>
  <c r="D633" i="4"/>
  <c r="F633" i="4" s="1"/>
  <c r="D634" i="4"/>
  <c r="F634" i="4" s="1"/>
  <c r="D635" i="4"/>
  <c r="F635" i="4" s="1"/>
  <c r="D636" i="4"/>
  <c r="F636" i="4" s="1"/>
  <c r="D637" i="4"/>
  <c r="F637" i="4" s="1"/>
  <c r="D638" i="4"/>
  <c r="F638" i="4" s="1"/>
  <c r="D639" i="4"/>
  <c r="F639" i="4" s="1"/>
  <c r="D640" i="4"/>
  <c r="F640" i="4" s="1"/>
  <c r="D641" i="4"/>
  <c r="F641" i="4" s="1"/>
  <c r="D642" i="4"/>
  <c r="F642" i="4" s="1"/>
  <c r="D643" i="4"/>
  <c r="F643" i="4" s="1"/>
  <c r="D644" i="4"/>
  <c r="F644" i="4" s="1"/>
  <c r="D645" i="4"/>
  <c r="F645" i="4" s="1"/>
  <c r="D646" i="4"/>
  <c r="F646" i="4" s="1"/>
  <c r="D647" i="4"/>
  <c r="F647" i="4" s="1"/>
  <c r="D648" i="4"/>
  <c r="F648" i="4" s="1"/>
  <c r="D649" i="4"/>
  <c r="F649" i="4" s="1"/>
  <c r="D650" i="4"/>
  <c r="D651" i="4"/>
  <c r="F651" i="4" s="1"/>
  <c r="D652" i="4"/>
  <c r="F652" i="4" s="1"/>
  <c r="D653" i="4"/>
  <c r="F653" i="4" s="1"/>
  <c r="D654" i="4"/>
  <c r="F654" i="4" s="1"/>
  <c r="D655" i="4"/>
  <c r="F655" i="4" s="1"/>
  <c r="D656" i="4"/>
  <c r="F656" i="4" s="1"/>
  <c r="D657" i="4"/>
  <c r="F657" i="4" s="1"/>
  <c r="D658" i="4"/>
  <c r="F658" i="4" s="1"/>
  <c r="D659" i="4"/>
  <c r="F659" i="4" s="1"/>
  <c r="D660" i="4"/>
  <c r="F660" i="4" s="1"/>
  <c r="D661" i="4"/>
  <c r="F661" i="4" s="1"/>
  <c r="D662" i="4"/>
  <c r="F662" i="4" s="1"/>
  <c r="D663" i="4"/>
  <c r="F663" i="4" s="1"/>
  <c r="D664" i="4"/>
  <c r="F664" i="4" s="1"/>
  <c r="D665" i="4"/>
  <c r="F665" i="4" s="1"/>
  <c r="D666" i="4"/>
  <c r="F666" i="4" s="1"/>
  <c r="D667" i="4"/>
  <c r="F667" i="4" s="1"/>
  <c r="D668" i="4"/>
  <c r="F668" i="4" s="1"/>
  <c r="D669" i="4"/>
  <c r="F669" i="4" s="1"/>
  <c r="D670" i="4"/>
  <c r="F670" i="4" s="1"/>
  <c r="D671" i="4"/>
  <c r="F671" i="4" s="1"/>
  <c r="D672" i="4"/>
  <c r="F672" i="4" s="1"/>
  <c r="D673" i="4"/>
  <c r="F673" i="4" s="1"/>
  <c r="D674" i="4"/>
  <c r="D675" i="4"/>
  <c r="F675" i="4" s="1"/>
  <c r="D676" i="4"/>
  <c r="F676" i="4" s="1"/>
  <c r="D677" i="4"/>
  <c r="F677" i="4" s="1"/>
  <c r="D678" i="4"/>
  <c r="F678" i="4" s="1"/>
  <c r="D679" i="4"/>
  <c r="F679" i="4" s="1"/>
  <c r="D680" i="4"/>
  <c r="F680" i="4" s="1"/>
  <c r="D681" i="4"/>
  <c r="F681" i="4" s="1"/>
  <c r="D682" i="4"/>
  <c r="F682" i="4" s="1"/>
  <c r="D683" i="4"/>
  <c r="F683" i="4" s="1"/>
  <c r="D684" i="4"/>
  <c r="F684" i="4" s="1"/>
  <c r="D685" i="4"/>
  <c r="F685" i="4" s="1"/>
  <c r="D686" i="4"/>
  <c r="F686" i="4" s="1"/>
  <c r="D687" i="4"/>
  <c r="F687" i="4" s="1"/>
  <c r="D688" i="4"/>
  <c r="F688" i="4" s="1"/>
  <c r="D689" i="4"/>
  <c r="F689" i="4" s="1"/>
  <c r="D690" i="4"/>
  <c r="F690" i="4" s="1"/>
  <c r="D691" i="4"/>
  <c r="F691" i="4" s="1"/>
  <c r="D692" i="4"/>
  <c r="F692" i="4" s="1"/>
  <c r="D693" i="4"/>
  <c r="F693" i="4" s="1"/>
  <c r="D694" i="4"/>
  <c r="F694" i="4" s="1"/>
  <c r="D695" i="4"/>
  <c r="F695" i="4" s="1"/>
  <c r="D696" i="4"/>
  <c r="F696" i="4" s="1"/>
  <c r="D697" i="4"/>
  <c r="F697" i="4" s="1"/>
  <c r="D698" i="4"/>
  <c r="D699" i="4"/>
  <c r="F699" i="4" s="1"/>
  <c r="D700" i="4"/>
  <c r="F700" i="4" s="1"/>
  <c r="D701" i="4"/>
  <c r="F701" i="4" s="1"/>
  <c r="D702" i="4"/>
  <c r="F702" i="4" s="1"/>
  <c r="D703" i="4"/>
  <c r="F703" i="4" s="1"/>
  <c r="D704" i="4"/>
  <c r="F704" i="4" s="1"/>
  <c r="D705" i="4"/>
  <c r="F705" i="4" s="1"/>
  <c r="D706" i="4"/>
  <c r="F706" i="4" s="1"/>
  <c r="D707" i="4"/>
  <c r="F707" i="4" s="1"/>
  <c r="D708" i="4"/>
  <c r="F708" i="4" s="1"/>
  <c r="D709" i="4"/>
  <c r="F709" i="4" s="1"/>
  <c r="D710" i="4"/>
  <c r="F710" i="4" s="1"/>
  <c r="D711" i="4"/>
  <c r="F711" i="4" s="1"/>
  <c r="D712" i="4"/>
  <c r="F712" i="4" s="1"/>
  <c r="D713" i="4"/>
  <c r="F713" i="4" s="1"/>
  <c r="D714" i="4"/>
  <c r="F714" i="4" s="1"/>
  <c r="D715" i="4"/>
  <c r="F715" i="4" s="1"/>
  <c r="D716" i="4"/>
  <c r="F716" i="4" s="1"/>
  <c r="D717" i="4"/>
  <c r="F717" i="4" s="1"/>
  <c r="D718" i="4"/>
  <c r="F718" i="4" s="1"/>
  <c r="D719" i="4"/>
  <c r="F719" i="4" s="1"/>
  <c r="D720" i="4"/>
  <c r="F720" i="4" s="1"/>
  <c r="D721" i="4"/>
  <c r="F721" i="4" s="1"/>
  <c r="D722" i="4"/>
  <c r="D723" i="4"/>
  <c r="F723" i="4" s="1"/>
  <c r="D724" i="4"/>
  <c r="F724" i="4" s="1"/>
  <c r="D725" i="4"/>
  <c r="F725" i="4" s="1"/>
  <c r="D726" i="4"/>
  <c r="F726" i="4" s="1"/>
  <c r="D727" i="4"/>
  <c r="F727" i="4" s="1"/>
  <c r="D728" i="4"/>
  <c r="F728" i="4" s="1"/>
  <c r="D729" i="4"/>
  <c r="F729" i="4" s="1"/>
  <c r="D730" i="4"/>
  <c r="F730" i="4" s="1"/>
  <c r="D731" i="4"/>
  <c r="F731" i="4" s="1"/>
  <c r="D732" i="4"/>
  <c r="F732" i="4" s="1"/>
  <c r="D733" i="4"/>
  <c r="F733" i="4" s="1"/>
  <c r="D734" i="4"/>
  <c r="F734" i="4" s="1"/>
  <c r="D735" i="4"/>
  <c r="F735" i="4" s="1"/>
  <c r="D736" i="4"/>
  <c r="F736" i="4" s="1"/>
  <c r="D737" i="4"/>
  <c r="F737" i="4" s="1"/>
  <c r="D738" i="4"/>
  <c r="F738" i="4" s="1"/>
  <c r="D739" i="4"/>
  <c r="F739" i="4" s="1"/>
  <c r="D740" i="4"/>
  <c r="F740" i="4" s="1"/>
  <c r="D741" i="4"/>
  <c r="F741" i="4" s="1"/>
  <c r="D742" i="4"/>
  <c r="F742" i="4" s="1"/>
  <c r="D743" i="4"/>
  <c r="F743" i="4" s="1"/>
  <c r="D744" i="4"/>
  <c r="F744" i="4" s="1"/>
  <c r="D745" i="4"/>
  <c r="F745" i="4" s="1"/>
  <c r="D746" i="4"/>
  <c r="D747" i="4"/>
  <c r="F747" i="4" s="1"/>
  <c r="D748" i="4"/>
  <c r="F748" i="4" s="1"/>
  <c r="D749" i="4"/>
  <c r="F749" i="4" s="1"/>
  <c r="D750" i="4"/>
  <c r="F750" i="4" s="1"/>
  <c r="D751" i="4"/>
  <c r="F751" i="4" s="1"/>
  <c r="D752" i="4"/>
  <c r="F752" i="4" s="1"/>
  <c r="D753" i="4"/>
  <c r="F753" i="4" s="1"/>
  <c r="D754" i="4"/>
  <c r="F754" i="4" s="1"/>
  <c r="D755" i="4"/>
  <c r="F755" i="4" s="1"/>
  <c r="D756" i="4"/>
  <c r="F756" i="4" s="1"/>
  <c r="D757" i="4"/>
  <c r="F757" i="4" s="1"/>
  <c r="D758" i="4"/>
  <c r="F758" i="4" s="1"/>
  <c r="D759" i="4"/>
  <c r="F759" i="4" s="1"/>
  <c r="D760" i="4"/>
  <c r="F760" i="4" s="1"/>
  <c r="D761" i="4"/>
  <c r="F761" i="4" s="1"/>
  <c r="D762" i="4"/>
  <c r="F762" i="4" s="1"/>
  <c r="D763" i="4"/>
  <c r="F763" i="4" s="1"/>
  <c r="D764" i="4"/>
  <c r="F764" i="4" s="1"/>
  <c r="D765" i="4"/>
  <c r="F765" i="4" s="1"/>
  <c r="D766" i="4"/>
  <c r="F766" i="4" s="1"/>
  <c r="D767" i="4"/>
  <c r="F767" i="4" s="1"/>
  <c r="D768" i="4"/>
  <c r="F768" i="4" s="1"/>
  <c r="D769" i="4"/>
  <c r="F769" i="4" s="1"/>
  <c r="D770" i="4"/>
  <c r="D771" i="4"/>
  <c r="F771" i="4" s="1"/>
  <c r="D772" i="4"/>
  <c r="F772" i="4" s="1"/>
  <c r="D773" i="4"/>
  <c r="F773" i="4" s="1"/>
  <c r="D774" i="4"/>
  <c r="F774" i="4" s="1"/>
  <c r="D775" i="4"/>
  <c r="F775" i="4" s="1"/>
  <c r="D776" i="4"/>
  <c r="F776" i="4" s="1"/>
  <c r="D777" i="4"/>
  <c r="F777" i="4" s="1"/>
  <c r="D778" i="4"/>
  <c r="F778" i="4" s="1"/>
  <c r="D779" i="4"/>
  <c r="F779" i="4" s="1"/>
  <c r="D780" i="4"/>
  <c r="F780" i="4" s="1"/>
  <c r="D781" i="4"/>
  <c r="F781" i="4" s="1"/>
  <c r="D782" i="4"/>
  <c r="F782" i="4" s="1"/>
  <c r="D783" i="4"/>
  <c r="F783" i="4" s="1"/>
  <c r="D784" i="4"/>
  <c r="F784" i="4" s="1"/>
  <c r="D785" i="4"/>
  <c r="F785" i="4" s="1"/>
  <c r="D786" i="4"/>
  <c r="F786" i="4" s="1"/>
  <c r="D787" i="4"/>
  <c r="F787" i="4" s="1"/>
  <c r="D788" i="4"/>
  <c r="F788" i="4" s="1"/>
  <c r="D789" i="4"/>
  <c r="F789" i="4" s="1"/>
  <c r="D790" i="4"/>
  <c r="F790" i="4" s="1"/>
  <c r="D791" i="4"/>
  <c r="F791" i="4" s="1"/>
  <c r="D792" i="4"/>
  <c r="F792" i="4" s="1"/>
  <c r="D793" i="4"/>
  <c r="F793" i="4" s="1"/>
  <c r="D794" i="4"/>
  <c r="D795" i="4"/>
  <c r="F795" i="4" s="1"/>
  <c r="D796" i="4"/>
  <c r="F796" i="4" s="1"/>
  <c r="D797" i="4"/>
  <c r="F797" i="4" s="1"/>
  <c r="D798" i="4"/>
  <c r="F798" i="4" s="1"/>
  <c r="D799" i="4"/>
  <c r="F799" i="4" s="1"/>
  <c r="D800" i="4"/>
  <c r="F800" i="4" s="1"/>
  <c r="D801" i="4"/>
  <c r="F801" i="4" s="1"/>
  <c r="D802" i="4"/>
  <c r="F802" i="4" s="1"/>
  <c r="D803" i="4"/>
  <c r="F803" i="4" s="1"/>
  <c r="D804" i="4"/>
  <c r="F804" i="4" s="1"/>
  <c r="D805" i="4"/>
  <c r="F805" i="4" s="1"/>
  <c r="D806" i="4"/>
  <c r="F806" i="4" s="1"/>
  <c r="D807" i="4"/>
  <c r="F807" i="4" s="1"/>
  <c r="D808" i="4"/>
  <c r="F808" i="4" s="1"/>
  <c r="D809" i="4"/>
  <c r="F809" i="4" s="1"/>
  <c r="D810" i="4"/>
  <c r="F810" i="4" s="1"/>
  <c r="D811" i="4"/>
  <c r="F811" i="4" s="1"/>
  <c r="D812" i="4"/>
  <c r="F812" i="4" s="1"/>
  <c r="D813" i="4"/>
  <c r="F813" i="4" s="1"/>
  <c r="D814" i="4"/>
  <c r="F814" i="4" s="1"/>
  <c r="D815" i="4"/>
  <c r="F815" i="4" s="1"/>
  <c r="D816" i="4"/>
  <c r="F816" i="4" s="1"/>
  <c r="D817" i="4"/>
  <c r="F817" i="4" s="1"/>
  <c r="D818" i="4"/>
  <c r="D819" i="4"/>
  <c r="F819" i="4" s="1"/>
  <c r="D820" i="4"/>
  <c r="F820" i="4" s="1"/>
  <c r="D821" i="4"/>
  <c r="F821" i="4" s="1"/>
  <c r="D822" i="4"/>
  <c r="F822" i="4" s="1"/>
  <c r="D823" i="4"/>
  <c r="F823" i="4" s="1"/>
  <c r="D824" i="4"/>
  <c r="F824" i="4" s="1"/>
  <c r="D825" i="4"/>
  <c r="F825" i="4" s="1"/>
  <c r="D826" i="4"/>
  <c r="F826" i="4" s="1"/>
  <c r="D827" i="4"/>
  <c r="F827" i="4" s="1"/>
  <c r="D828" i="4"/>
  <c r="F828" i="4" s="1"/>
  <c r="D829" i="4"/>
  <c r="F829" i="4" s="1"/>
  <c r="D830" i="4"/>
  <c r="F830" i="4" s="1"/>
  <c r="D831" i="4"/>
  <c r="F831" i="4" s="1"/>
  <c r="D832" i="4"/>
  <c r="F832" i="4" s="1"/>
  <c r="D833" i="4"/>
  <c r="F833" i="4" s="1"/>
  <c r="D834" i="4"/>
  <c r="F834" i="4" s="1"/>
  <c r="D835" i="4"/>
  <c r="F835" i="4" s="1"/>
  <c r="D836" i="4"/>
  <c r="F836" i="4" s="1"/>
  <c r="D837" i="4"/>
  <c r="F837" i="4" s="1"/>
  <c r="D838" i="4"/>
  <c r="F838" i="4" s="1"/>
  <c r="D839" i="4"/>
  <c r="F839" i="4" s="1"/>
  <c r="D840" i="4"/>
  <c r="F840" i="4" s="1"/>
  <c r="D841" i="4"/>
  <c r="F841" i="4" s="1"/>
  <c r="D842" i="4"/>
  <c r="D843" i="4"/>
  <c r="F843" i="4" s="1"/>
  <c r="D844" i="4"/>
  <c r="F844" i="4" s="1"/>
  <c r="D845" i="4"/>
  <c r="F845" i="4" s="1"/>
  <c r="D846" i="4"/>
  <c r="F846" i="4" s="1"/>
  <c r="D847" i="4"/>
  <c r="F847" i="4" s="1"/>
  <c r="D848" i="4"/>
  <c r="F848" i="4" s="1"/>
  <c r="D849" i="4"/>
  <c r="F849" i="4" s="1"/>
  <c r="D850" i="4"/>
  <c r="F850" i="4" s="1"/>
  <c r="D851" i="4"/>
  <c r="F851" i="4" s="1"/>
  <c r="D852" i="4"/>
  <c r="F852" i="4" s="1"/>
  <c r="D853" i="4"/>
  <c r="F853" i="4" s="1"/>
  <c r="D854" i="4"/>
  <c r="F854" i="4" s="1"/>
  <c r="D855" i="4"/>
  <c r="F855" i="4" s="1"/>
  <c r="D856" i="4"/>
  <c r="F856" i="4" s="1"/>
  <c r="D857" i="4"/>
  <c r="F857" i="4" s="1"/>
  <c r="D858" i="4"/>
  <c r="F858" i="4" s="1"/>
  <c r="D859" i="4"/>
  <c r="F859" i="4" s="1"/>
  <c r="D860" i="4"/>
  <c r="F860" i="4" s="1"/>
  <c r="D861" i="4"/>
  <c r="F861" i="4" s="1"/>
  <c r="D862" i="4"/>
  <c r="F862" i="4" s="1"/>
  <c r="D863" i="4"/>
  <c r="F863" i="4" s="1"/>
  <c r="D864" i="4"/>
  <c r="F864" i="4" s="1"/>
  <c r="D865" i="4"/>
  <c r="F865" i="4" s="1"/>
  <c r="D866" i="4"/>
  <c r="D867" i="4"/>
  <c r="F867" i="4" s="1"/>
  <c r="D868" i="4"/>
  <c r="F868" i="4" s="1"/>
  <c r="D869" i="4"/>
  <c r="F869" i="4" s="1"/>
  <c r="D870" i="4"/>
  <c r="F870" i="4" s="1"/>
  <c r="D871" i="4"/>
  <c r="F871" i="4" s="1"/>
  <c r="D872" i="4"/>
  <c r="F872" i="4" s="1"/>
  <c r="D873" i="4"/>
  <c r="F873" i="4" s="1"/>
  <c r="D874" i="4"/>
  <c r="F874" i="4" s="1"/>
  <c r="D875" i="4"/>
  <c r="F875" i="4" s="1"/>
  <c r="D876" i="4"/>
  <c r="F876" i="4" s="1"/>
  <c r="D877" i="4"/>
  <c r="F877" i="4" s="1"/>
  <c r="D878" i="4"/>
  <c r="F878" i="4" s="1"/>
  <c r="D879" i="4"/>
  <c r="F879" i="4" s="1"/>
  <c r="D880" i="4"/>
  <c r="F880" i="4" s="1"/>
  <c r="D881" i="4"/>
  <c r="F881" i="4" s="1"/>
  <c r="D882" i="4"/>
  <c r="F882" i="4" s="1"/>
  <c r="D883" i="4"/>
  <c r="F883" i="4" s="1"/>
  <c r="D884" i="4"/>
  <c r="F884" i="4" s="1"/>
  <c r="D885" i="4"/>
  <c r="F885" i="4" s="1"/>
  <c r="D886" i="4"/>
  <c r="F886" i="4" s="1"/>
  <c r="D887" i="4"/>
  <c r="F887" i="4" s="1"/>
  <c r="D888" i="4"/>
  <c r="F888" i="4" s="1"/>
  <c r="D889" i="4"/>
  <c r="F889" i="4" s="1"/>
  <c r="D890" i="4"/>
  <c r="D891" i="4"/>
  <c r="F891" i="4" s="1"/>
  <c r="D892" i="4"/>
  <c r="F892" i="4" s="1"/>
  <c r="D893" i="4"/>
  <c r="F893" i="4" s="1"/>
  <c r="D894" i="4"/>
  <c r="F894" i="4" s="1"/>
  <c r="D895" i="4"/>
  <c r="F895" i="4" s="1"/>
  <c r="D896" i="4"/>
  <c r="F896" i="4" s="1"/>
  <c r="D897" i="4"/>
  <c r="F897" i="4" s="1"/>
  <c r="D898" i="4"/>
  <c r="F898" i="4" s="1"/>
  <c r="D899" i="4"/>
  <c r="F899" i="4" s="1"/>
  <c r="D900" i="4"/>
  <c r="F900" i="4" s="1"/>
  <c r="D901" i="4"/>
  <c r="F901" i="4" s="1"/>
  <c r="D902" i="4"/>
  <c r="F902" i="4" s="1"/>
  <c r="D903" i="4"/>
  <c r="F903" i="4" s="1"/>
  <c r="D904" i="4"/>
  <c r="F904" i="4" s="1"/>
  <c r="D905" i="4"/>
  <c r="F905" i="4" s="1"/>
  <c r="D906" i="4"/>
  <c r="F906" i="4" s="1"/>
  <c r="D907" i="4"/>
  <c r="F907" i="4" s="1"/>
  <c r="D908" i="4"/>
  <c r="F908" i="4" s="1"/>
  <c r="D909" i="4"/>
  <c r="F909" i="4" s="1"/>
  <c r="D910" i="4"/>
  <c r="F910" i="4" s="1"/>
  <c r="D911" i="4"/>
  <c r="F911" i="4" s="1"/>
  <c r="D912" i="4"/>
  <c r="F912" i="4" s="1"/>
  <c r="D913" i="4"/>
  <c r="F913" i="4" s="1"/>
  <c r="D914" i="4"/>
  <c r="D915" i="4"/>
  <c r="F915" i="4" s="1"/>
  <c r="D916" i="4"/>
  <c r="F916" i="4" s="1"/>
  <c r="D917" i="4"/>
  <c r="F917" i="4" s="1"/>
  <c r="D918" i="4"/>
  <c r="F918" i="4" s="1"/>
  <c r="D919" i="4"/>
  <c r="F919" i="4" s="1"/>
  <c r="D920" i="4"/>
  <c r="F920" i="4" s="1"/>
  <c r="D921" i="4"/>
  <c r="F921" i="4" s="1"/>
  <c r="D922" i="4"/>
  <c r="F922" i="4" s="1"/>
  <c r="D923" i="4"/>
  <c r="F923" i="4" s="1"/>
  <c r="D924" i="4"/>
  <c r="F924" i="4" s="1"/>
  <c r="D925" i="4"/>
  <c r="F925" i="4" s="1"/>
  <c r="D926" i="4"/>
  <c r="F926" i="4" s="1"/>
  <c r="D927" i="4"/>
  <c r="F927" i="4" s="1"/>
  <c r="D928" i="4"/>
  <c r="F928" i="4" s="1"/>
  <c r="D929" i="4"/>
  <c r="F929" i="4" s="1"/>
  <c r="D930" i="4"/>
  <c r="F930" i="4" s="1"/>
  <c r="D931" i="4"/>
  <c r="F931" i="4" s="1"/>
  <c r="D932" i="4"/>
  <c r="F932" i="4" s="1"/>
  <c r="D933" i="4"/>
  <c r="F933" i="4" s="1"/>
  <c r="D934" i="4"/>
  <c r="F934" i="4" s="1"/>
  <c r="D935" i="4"/>
  <c r="F935" i="4" s="1"/>
  <c r="D936" i="4"/>
  <c r="F936" i="4" s="1"/>
  <c r="D937" i="4"/>
  <c r="F937" i="4" s="1"/>
  <c r="D938" i="4"/>
  <c r="D939" i="4"/>
  <c r="F939" i="4" s="1"/>
  <c r="D940" i="4"/>
  <c r="F940" i="4" s="1"/>
  <c r="D941" i="4"/>
  <c r="F941" i="4" s="1"/>
  <c r="D942" i="4"/>
  <c r="F942" i="4" s="1"/>
  <c r="D943" i="4"/>
  <c r="F943" i="4" s="1"/>
  <c r="D944" i="4"/>
  <c r="F944" i="4" s="1"/>
  <c r="D945" i="4"/>
  <c r="F945" i="4" s="1"/>
  <c r="D946" i="4"/>
  <c r="F946" i="4" s="1"/>
  <c r="D947" i="4"/>
  <c r="F947" i="4" s="1"/>
  <c r="D948" i="4"/>
  <c r="F948" i="4" s="1"/>
  <c r="D949" i="4"/>
  <c r="F949" i="4" s="1"/>
  <c r="D950" i="4"/>
  <c r="F950" i="4" s="1"/>
  <c r="D951" i="4"/>
  <c r="F951" i="4" s="1"/>
  <c r="D952" i="4"/>
  <c r="F952" i="4" s="1"/>
  <c r="D953" i="4"/>
  <c r="F953" i="4" s="1"/>
  <c r="D954" i="4"/>
  <c r="F954" i="4" s="1"/>
  <c r="D955" i="4"/>
  <c r="F955" i="4" s="1"/>
  <c r="D956" i="4"/>
  <c r="F956" i="4" s="1"/>
  <c r="D957" i="4"/>
  <c r="F957" i="4" s="1"/>
  <c r="D958" i="4"/>
  <c r="F958" i="4" s="1"/>
  <c r="D959" i="4"/>
  <c r="F959" i="4" s="1"/>
  <c r="D960" i="4"/>
  <c r="F960" i="4" s="1"/>
  <c r="D961" i="4"/>
  <c r="F961" i="4" s="1"/>
  <c r="D962" i="4"/>
  <c r="D963" i="4"/>
  <c r="F963" i="4" s="1"/>
  <c r="D964" i="4"/>
  <c r="F964" i="4" s="1"/>
  <c r="D965" i="4"/>
  <c r="F965" i="4" s="1"/>
  <c r="D966" i="4"/>
  <c r="F966" i="4" s="1"/>
  <c r="D967" i="4"/>
  <c r="F967" i="4" s="1"/>
  <c r="D968" i="4"/>
  <c r="F968" i="4" s="1"/>
  <c r="D969" i="4"/>
  <c r="F969" i="4" s="1"/>
  <c r="D970" i="4"/>
  <c r="F970" i="4" s="1"/>
  <c r="D971" i="4"/>
  <c r="F971" i="4" s="1"/>
  <c r="D972" i="4"/>
  <c r="F972" i="4" s="1"/>
  <c r="D973" i="4"/>
  <c r="F973" i="4" s="1"/>
  <c r="D974" i="4"/>
  <c r="F974" i="4" s="1"/>
  <c r="D975" i="4"/>
  <c r="F975" i="4" s="1"/>
  <c r="D976" i="4"/>
  <c r="F976" i="4" s="1"/>
  <c r="D977" i="4"/>
  <c r="F977" i="4" s="1"/>
  <c r="D978" i="4"/>
  <c r="F978" i="4" s="1"/>
  <c r="D979" i="4"/>
  <c r="F979" i="4" s="1"/>
  <c r="D980" i="4"/>
  <c r="F980" i="4" s="1"/>
  <c r="D981" i="4"/>
  <c r="F981" i="4" s="1"/>
  <c r="D982" i="4"/>
  <c r="F982" i="4" s="1"/>
  <c r="D983" i="4"/>
  <c r="F983" i="4" s="1"/>
  <c r="D984" i="4"/>
  <c r="F984" i="4" s="1"/>
  <c r="D985" i="4"/>
  <c r="F985" i="4" s="1"/>
  <c r="D986" i="4"/>
  <c r="D987" i="4"/>
  <c r="F987" i="4" s="1"/>
  <c r="D988" i="4"/>
  <c r="F988" i="4" s="1"/>
  <c r="D989" i="4"/>
  <c r="F989" i="4" s="1"/>
  <c r="D990" i="4"/>
  <c r="F990" i="4" s="1"/>
  <c r="D991" i="4"/>
  <c r="F991" i="4" s="1"/>
  <c r="D992" i="4"/>
  <c r="F992" i="4" s="1"/>
  <c r="D993" i="4"/>
  <c r="F993" i="4" s="1"/>
  <c r="D994" i="4"/>
  <c r="F994" i="4" s="1"/>
  <c r="D995" i="4"/>
  <c r="F995" i="4" s="1"/>
  <c r="D996" i="4"/>
  <c r="F996" i="4" s="1"/>
  <c r="D997" i="4"/>
  <c r="F997" i="4" s="1"/>
  <c r="D998" i="4"/>
  <c r="F998" i="4" s="1"/>
  <c r="D999" i="4"/>
  <c r="F999" i="4" s="1"/>
  <c r="D1000" i="4"/>
  <c r="F1000" i="4" s="1"/>
  <c r="D1001" i="4"/>
  <c r="F1001" i="4" s="1"/>
  <c r="D1002" i="4"/>
  <c r="F1002" i="4" s="1"/>
  <c r="D1003" i="4"/>
  <c r="F1003" i="4" s="1"/>
  <c r="D1004" i="4"/>
  <c r="F1004" i="4" s="1"/>
  <c r="D1005" i="4"/>
  <c r="F1005" i="4" s="1"/>
  <c r="D1006" i="4"/>
  <c r="F1006" i="4" s="1"/>
  <c r="D1007" i="4"/>
  <c r="F1007" i="4" s="1"/>
  <c r="D1008" i="4"/>
  <c r="F1008" i="4" s="1"/>
  <c r="D1009" i="4"/>
  <c r="F1009" i="4" s="1"/>
  <c r="D1010" i="4"/>
  <c r="D1011" i="4"/>
  <c r="F1011" i="4" s="1"/>
  <c r="D1012" i="4"/>
  <c r="F1012" i="4" s="1"/>
  <c r="D1013" i="4"/>
  <c r="F1013" i="4" s="1"/>
  <c r="D1014" i="4"/>
  <c r="F1014" i="4" s="1"/>
  <c r="D1015" i="4"/>
  <c r="F1015" i="4" s="1"/>
  <c r="D1016" i="4"/>
  <c r="F1016" i="4" s="1"/>
  <c r="D1017" i="4"/>
  <c r="F1017" i="4" s="1"/>
  <c r="D1018" i="4"/>
  <c r="F1018" i="4" s="1"/>
  <c r="D1019" i="4"/>
  <c r="F1019" i="4" s="1"/>
  <c r="D1020" i="4"/>
  <c r="F1020" i="4" s="1"/>
  <c r="D1021" i="4"/>
  <c r="F1021" i="4" s="1"/>
  <c r="D1022" i="4"/>
  <c r="F1022" i="4" s="1"/>
  <c r="D1023" i="4"/>
  <c r="F1023" i="4" s="1"/>
  <c r="D1024" i="4"/>
  <c r="F1024" i="4" s="1"/>
  <c r="D1025" i="4"/>
  <c r="F1025" i="4" s="1"/>
  <c r="D1026" i="4"/>
  <c r="F1026" i="4" s="1"/>
  <c r="D1027" i="4"/>
  <c r="F1027" i="4" s="1"/>
  <c r="D1028" i="4"/>
  <c r="F1028" i="4" s="1"/>
  <c r="D1029" i="4"/>
  <c r="F1029" i="4" s="1"/>
  <c r="D1030" i="4"/>
  <c r="F1030" i="4" s="1"/>
  <c r="D1031" i="4"/>
  <c r="F1031" i="4" s="1"/>
  <c r="D1032" i="4"/>
  <c r="F1032" i="4" s="1"/>
  <c r="D1033" i="4"/>
  <c r="F1033" i="4" s="1"/>
  <c r="D1034" i="4"/>
  <c r="D1035" i="4"/>
  <c r="F1035" i="4" s="1"/>
  <c r="D1036" i="4"/>
  <c r="F1036" i="4" s="1"/>
  <c r="D1037" i="4"/>
  <c r="F1037" i="4" s="1"/>
  <c r="D1038" i="4"/>
  <c r="F1038" i="4" s="1"/>
  <c r="D1039" i="4"/>
  <c r="F1039" i="4" s="1"/>
  <c r="D1040" i="4"/>
  <c r="F1040" i="4" s="1"/>
  <c r="D1041" i="4"/>
  <c r="F1041" i="4" s="1"/>
  <c r="D1042" i="4"/>
  <c r="F1042" i="4" s="1"/>
  <c r="D1043" i="4"/>
  <c r="F1043" i="4" s="1"/>
  <c r="D1044" i="4"/>
  <c r="F1044" i="4" s="1"/>
  <c r="D1045" i="4"/>
  <c r="F1045" i="4" s="1"/>
  <c r="D1046" i="4"/>
  <c r="F1046" i="4" s="1"/>
  <c r="D1047" i="4"/>
  <c r="F1047" i="4" s="1"/>
  <c r="D1048" i="4"/>
  <c r="F1048" i="4" s="1"/>
  <c r="D1049" i="4"/>
  <c r="F1049" i="4" s="1"/>
  <c r="D1050" i="4"/>
  <c r="F1050" i="4" s="1"/>
  <c r="D1051" i="4"/>
  <c r="F1051" i="4" s="1"/>
  <c r="D1052" i="4"/>
  <c r="F1052" i="4" s="1"/>
  <c r="D1053" i="4"/>
  <c r="F1053" i="4" s="1"/>
  <c r="D1054" i="4"/>
  <c r="F1054" i="4" s="1"/>
  <c r="D1055" i="4"/>
  <c r="F1055" i="4" s="1"/>
  <c r="D1056" i="4"/>
  <c r="F1056" i="4" s="1"/>
  <c r="D1057" i="4"/>
  <c r="F1057" i="4" s="1"/>
  <c r="D1058" i="4"/>
  <c r="D1059" i="4"/>
  <c r="F1059" i="4" s="1"/>
  <c r="D1060" i="4"/>
  <c r="F1060" i="4" s="1"/>
  <c r="D1061" i="4"/>
  <c r="F1061" i="4" s="1"/>
  <c r="D1062" i="4"/>
  <c r="F1062" i="4" s="1"/>
  <c r="D1063" i="4"/>
  <c r="F1063" i="4" s="1"/>
  <c r="D1064" i="4"/>
  <c r="F1064" i="4" s="1"/>
  <c r="D1065" i="4"/>
  <c r="F1065" i="4" s="1"/>
  <c r="D1066" i="4"/>
  <c r="F1066" i="4" s="1"/>
  <c r="D1067" i="4"/>
  <c r="F1067" i="4" s="1"/>
  <c r="D1068" i="4"/>
  <c r="F1068" i="4" s="1"/>
  <c r="D1069" i="4"/>
  <c r="F1069" i="4" s="1"/>
  <c r="D1070" i="4"/>
  <c r="F1070" i="4" s="1"/>
  <c r="D1071" i="4"/>
  <c r="F1071" i="4" s="1"/>
  <c r="D1072" i="4"/>
  <c r="F1072" i="4" s="1"/>
  <c r="D1073" i="4"/>
  <c r="F1073" i="4" s="1"/>
  <c r="D1074" i="4"/>
  <c r="F1074" i="4" s="1"/>
  <c r="D1075" i="4"/>
  <c r="F1075" i="4" s="1"/>
  <c r="D1076" i="4"/>
  <c r="F1076" i="4" s="1"/>
  <c r="D1077" i="4"/>
  <c r="F1077" i="4" s="1"/>
  <c r="D1078" i="4"/>
  <c r="F1078" i="4" s="1"/>
  <c r="D1079" i="4"/>
  <c r="F1079" i="4" s="1"/>
  <c r="D1080" i="4"/>
  <c r="F1080" i="4" s="1"/>
  <c r="D1081" i="4"/>
  <c r="F1081" i="4" s="1"/>
  <c r="D1082" i="4"/>
  <c r="D1083" i="4"/>
  <c r="F1083" i="4" s="1"/>
  <c r="D1084" i="4"/>
  <c r="F1084" i="4" s="1"/>
  <c r="D1085" i="4"/>
  <c r="F1085" i="4" s="1"/>
  <c r="D1086" i="4"/>
  <c r="F1086" i="4" s="1"/>
  <c r="D1087" i="4"/>
  <c r="F1087" i="4" s="1"/>
  <c r="D1088" i="4"/>
  <c r="F1088" i="4" s="1"/>
  <c r="D1089" i="4"/>
  <c r="F1089" i="4" s="1"/>
  <c r="D1090" i="4"/>
  <c r="F1090" i="4" s="1"/>
  <c r="D1091" i="4"/>
  <c r="F1091" i="4" s="1"/>
  <c r="D1092" i="4"/>
  <c r="F1092" i="4" s="1"/>
  <c r="D1093" i="4"/>
  <c r="F1093" i="4" s="1"/>
  <c r="D1094" i="4"/>
  <c r="F1094" i="4" s="1"/>
  <c r="D1095" i="4"/>
  <c r="F1095" i="4" s="1"/>
  <c r="D1096" i="4"/>
  <c r="F1096" i="4" s="1"/>
  <c r="D1097" i="4"/>
  <c r="F1097" i="4" s="1"/>
  <c r="D1098" i="4"/>
  <c r="F1098" i="4" s="1"/>
  <c r="D1099" i="4"/>
  <c r="F1099" i="4" s="1"/>
  <c r="D1100" i="4"/>
  <c r="F1100" i="4" s="1"/>
  <c r="D1101" i="4"/>
  <c r="F1101" i="4" s="1"/>
  <c r="D1102" i="4"/>
  <c r="F1102" i="4" s="1"/>
  <c r="D1103" i="4"/>
  <c r="F1103" i="4" s="1"/>
  <c r="D1104" i="4"/>
  <c r="F1104" i="4" s="1"/>
  <c r="D1105" i="4"/>
  <c r="F1105" i="4" s="1"/>
  <c r="D1106" i="4"/>
  <c r="D1107" i="4"/>
  <c r="F1107" i="4" s="1"/>
  <c r="D1108" i="4"/>
  <c r="F1108" i="4" s="1"/>
  <c r="D1109" i="4"/>
  <c r="F1109" i="4" s="1"/>
  <c r="D1110" i="4"/>
  <c r="F1110" i="4" s="1"/>
  <c r="D1111" i="4"/>
  <c r="F1111" i="4" s="1"/>
  <c r="D1112" i="4"/>
  <c r="F1112" i="4" s="1"/>
  <c r="D1113" i="4"/>
  <c r="F1113" i="4" s="1"/>
  <c r="D1114" i="4"/>
  <c r="F1114" i="4" s="1"/>
  <c r="D1115" i="4"/>
  <c r="F1115" i="4" s="1"/>
  <c r="D1116" i="4"/>
  <c r="F1116" i="4" s="1"/>
  <c r="D1117" i="4"/>
  <c r="F1117" i="4" s="1"/>
  <c r="D1118" i="4"/>
  <c r="F1118" i="4" s="1"/>
  <c r="D1119" i="4"/>
  <c r="F1119" i="4" s="1"/>
  <c r="D1120" i="4"/>
  <c r="F1120" i="4" s="1"/>
  <c r="D1121" i="4"/>
  <c r="F1121" i="4" s="1"/>
  <c r="D1122" i="4"/>
  <c r="F1122" i="4" s="1"/>
  <c r="D1123" i="4"/>
  <c r="F1123" i="4" s="1"/>
  <c r="D1124" i="4"/>
  <c r="F1124" i="4" s="1"/>
  <c r="D1125" i="4"/>
  <c r="F1125" i="4" s="1"/>
  <c r="D1126" i="4"/>
  <c r="F1126" i="4" s="1"/>
  <c r="D1127" i="4"/>
  <c r="F1127" i="4" s="1"/>
  <c r="D1128" i="4"/>
  <c r="F1128" i="4" s="1"/>
  <c r="D1129" i="4"/>
  <c r="F1129" i="4" s="1"/>
  <c r="D1130" i="4"/>
  <c r="D1131" i="4"/>
  <c r="F1131" i="4" s="1"/>
  <c r="D1132" i="4"/>
  <c r="F1132" i="4" s="1"/>
  <c r="D1133" i="4"/>
  <c r="F1133" i="4" s="1"/>
  <c r="D1134" i="4"/>
  <c r="F1134" i="4" s="1"/>
  <c r="D1135" i="4"/>
  <c r="F1135" i="4" s="1"/>
  <c r="D1136" i="4"/>
  <c r="F1136" i="4" s="1"/>
  <c r="D1137" i="4"/>
  <c r="F1137" i="4" s="1"/>
  <c r="D1138" i="4"/>
  <c r="F1138" i="4" s="1"/>
  <c r="D1139" i="4"/>
  <c r="F1139" i="4" s="1"/>
  <c r="D1140" i="4"/>
  <c r="F1140" i="4" s="1"/>
  <c r="D1141" i="4"/>
  <c r="F1141" i="4" s="1"/>
  <c r="D1142" i="4"/>
  <c r="F1142" i="4" s="1"/>
  <c r="D1143" i="4"/>
  <c r="F1143" i="4" s="1"/>
  <c r="D1144" i="4"/>
  <c r="F1144" i="4" s="1"/>
  <c r="D1145" i="4"/>
  <c r="F1145" i="4" s="1"/>
  <c r="D1146" i="4"/>
  <c r="F1146" i="4" s="1"/>
  <c r="D1147" i="4"/>
  <c r="F1147" i="4" s="1"/>
  <c r="D1148" i="4"/>
  <c r="F1148" i="4" s="1"/>
  <c r="D1149" i="4"/>
  <c r="F1149" i="4" s="1"/>
  <c r="D1150" i="4"/>
  <c r="F1150" i="4" s="1"/>
  <c r="D1151" i="4"/>
  <c r="F1151" i="4" s="1"/>
  <c r="D1152" i="4"/>
  <c r="F1152" i="4" s="1"/>
  <c r="D1153" i="4"/>
  <c r="F1153" i="4" s="1"/>
  <c r="D1154" i="4"/>
  <c r="D1155" i="4"/>
  <c r="F1155" i="4" s="1"/>
  <c r="D1156" i="4"/>
  <c r="F1156" i="4" s="1"/>
  <c r="D1157" i="4"/>
  <c r="F1157" i="4" s="1"/>
  <c r="D1158" i="4"/>
  <c r="F1158" i="4" s="1"/>
  <c r="D1159" i="4"/>
  <c r="F1159" i="4" s="1"/>
  <c r="D1160" i="4"/>
  <c r="F1160" i="4" s="1"/>
  <c r="D1161" i="4"/>
  <c r="F1161" i="4" s="1"/>
  <c r="D1162" i="4"/>
  <c r="F1162" i="4" s="1"/>
  <c r="D1163" i="4"/>
  <c r="F1163" i="4" s="1"/>
  <c r="D1164" i="4"/>
  <c r="F1164" i="4" s="1"/>
  <c r="D1165" i="4"/>
  <c r="F1165" i="4" s="1"/>
  <c r="D1166" i="4"/>
  <c r="F1166" i="4" s="1"/>
  <c r="D1167" i="4"/>
  <c r="F1167" i="4" s="1"/>
  <c r="D1168" i="4"/>
  <c r="F1168" i="4" s="1"/>
  <c r="D1169" i="4"/>
  <c r="F1169" i="4" s="1"/>
  <c r="D1170" i="4"/>
  <c r="F1170" i="4" s="1"/>
  <c r="D1171" i="4"/>
  <c r="F1171" i="4" s="1"/>
  <c r="D1172" i="4"/>
  <c r="F1172" i="4" s="1"/>
  <c r="D1173" i="4"/>
  <c r="F1173" i="4" s="1"/>
  <c r="D1174" i="4"/>
  <c r="F1174" i="4" s="1"/>
  <c r="D1175" i="4"/>
  <c r="F1175" i="4" s="1"/>
  <c r="D1176" i="4"/>
  <c r="F1176" i="4" s="1"/>
  <c r="D1177" i="4"/>
  <c r="F1177" i="4" s="1"/>
  <c r="D1178" i="4"/>
  <c r="D1179" i="4"/>
  <c r="F1179" i="4" s="1"/>
  <c r="D1180" i="4"/>
  <c r="F1180" i="4" s="1"/>
  <c r="D1181" i="4"/>
  <c r="F1181" i="4" s="1"/>
  <c r="D1182" i="4"/>
  <c r="F1182" i="4" s="1"/>
  <c r="D1183" i="4"/>
  <c r="F1183" i="4" s="1"/>
  <c r="D1184" i="4"/>
  <c r="F1184" i="4" s="1"/>
  <c r="D1185" i="4"/>
  <c r="F1185" i="4" s="1"/>
  <c r="D1186" i="4"/>
  <c r="F1186" i="4" s="1"/>
  <c r="D1187" i="4"/>
  <c r="F1187" i="4" s="1"/>
  <c r="D1188" i="4"/>
  <c r="F1188" i="4" s="1"/>
  <c r="D1189" i="4"/>
  <c r="F1189" i="4" s="1"/>
  <c r="D1190" i="4"/>
  <c r="F1190" i="4" s="1"/>
  <c r="D1191" i="4"/>
  <c r="F1191" i="4" s="1"/>
  <c r="D1192" i="4"/>
  <c r="F1192" i="4" s="1"/>
  <c r="D1193" i="4"/>
  <c r="F1193" i="4" s="1"/>
  <c r="D1194" i="4"/>
  <c r="F1194" i="4" s="1"/>
  <c r="D1195" i="4"/>
  <c r="F1195" i="4" s="1"/>
  <c r="D1196" i="4"/>
  <c r="F1196" i="4" s="1"/>
  <c r="D1197" i="4"/>
  <c r="F1197" i="4" s="1"/>
  <c r="D1198" i="4"/>
  <c r="F1198" i="4" s="1"/>
  <c r="D1199" i="4"/>
  <c r="F1199" i="4" s="1"/>
  <c r="D1200" i="4"/>
  <c r="F1200" i="4" s="1"/>
  <c r="D1201" i="4"/>
  <c r="F1201" i="4" s="1"/>
  <c r="D1202" i="4"/>
  <c r="D1203" i="4"/>
  <c r="F1203" i="4" s="1"/>
  <c r="D1204" i="4"/>
  <c r="F1204" i="4" s="1"/>
  <c r="D1205" i="4"/>
  <c r="F1205" i="4" s="1"/>
  <c r="D1206" i="4"/>
  <c r="F1206" i="4" s="1"/>
  <c r="D1207" i="4"/>
  <c r="F1207" i="4" s="1"/>
  <c r="D1208" i="4"/>
  <c r="F1208" i="4" s="1"/>
  <c r="D1209" i="4"/>
  <c r="F1209" i="4" s="1"/>
  <c r="D1210" i="4"/>
  <c r="F1210" i="4" s="1"/>
  <c r="D1211" i="4"/>
  <c r="F1211" i="4" s="1"/>
  <c r="D1212" i="4"/>
  <c r="F1212" i="4" s="1"/>
  <c r="D1213" i="4"/>
  <c r="F1213" i="4" s="1"/>
  <c r="D1214" i="4"/>
  <c r="F1214" i="4" s="1"/>
  <c r="D1215" i="4"/>
  <c r="F1215" i="4" s="1"/>
  <c r="D1216" i="4"/>
  <c r="F1216" i="4" s="1"/>
  <c r="D1217" i="4"/>
  <c r="F1217" i="4" s="1"/>
  <c r="D1218" i="4"/>
  <c r="F1218" i="4" s="1"/>
  <c r="D1219" i="4"/>
  <c r="F1219" i="4" s="1"/>
  <c r="D1220" i="4"/>
  <c r="F1220" i="4" s="1"/>
  <c r="D1221" i="4"/>
  <c r="F1221" i="4" s="1"/>
  <c r="D1222" i="4"/>
  <c r="F1222" i="4" s="1"/>
  <c r="D1223" i="4"/>
  <c r="F1223" i="4" s="1"/>
  <c r="D1224" i="4"/>
  <c r="F1224" i="4" s="1"/>
  <c r="D1225" i="4"/>
  <c r="F1225" i="4" s="1"/>
  <c r="D1226" i="4"/>
  <c r="D1227" i="4"/>
  <c r="F1227" i="4" s="1"/>
  <c r="D1228" i="4"/>
  <c r="F1228" i="4" s="1"/>
  <c r="D1229" i="4"/>
  <c r="F1229" i="4" s="1"/>
  <c r="D1230" i="4"/>
  <c r="F1230" i="4" s="1"/>
  <c r="D1231" i="4"/>
  <c r="F1231" i="4" s="1"/>
  <c r="D1232" i="4"/>
  <c r="F1232" i="4" s="1"/>
  <c r="D1233" i="4"/>
  <c r="F1233" i="4" s="1"/>
  <c r="D1234" i="4"/>
  <c r="F1234" i="4" s="1"/>
  <c r="D1235" i="4"/>
  <c r="F1235" i="4" s="1"/>
  <c r="D1236" i="4"/>
  <c r="F1236" i="4" s="1"/>
  <c r="D1237" i="4"/>
  <c r="F1237" i="4" s="1"/>
  <c r="D1238" i="4"/>
  <c r="F1238" i="4" s="1"/>
  <c r="D1239" i="4"/>
  <c r="F1239" i="4" s="1"/>
  <c r="D1240" i="4"/>
  <c r="F1240" i="4" s="1"/>
  <c r="D1241" i="4"/>
  <c r="F1241" i="4" s="1"/>
  <c r="D1242" i="4"/>
  <c r="F1242" i="4" s="1"/>
  <c r="D1243" i="4"/>
  <c r="F1243" i="4" s="1"/>
  <c r="D1244" i="4"/>
  <c r="F1244" i="4" s="1"/>
  <c r="D1245" i="4"/>
  <c r="F1245" i="4" s="1"/>
  <c r="D1246" i="4"/>
  <c r="F1246" i="4" s="1"/>
  <c r="D1247" i="4"/>
  <c r="F1247" i="4" s="1"/>
  <c r="D1248" i="4"/>
  <c r="F1248" i="4" s="1"/>
  <c r="D1249" i="4"/>
  <c r="F1249" i="4" s="1"/>
  <c r="D1250" i="4"/>
  <c r="D1251" i="4"/>
  <c r="F1251" i="4" s="1"/>
  <c r="D1252" i="4"/>
  <c r="F1252" i="4" s="1"/>
  <c r="D1253" i="4"/>
  <c r="F1253" i="4" s="1"/>
  <c r="D1254" i="4"/>
  <c r="F1254" i="4" s="1"/>
  <c r="D1255" i="4"/>
  <c r="F1255" i="4" s="1"/>
  <c r="D1256" i="4"/>
  <c r="F1256" i="4" s="1"/>
  <c r="D1257" i="4"/>
  <c r="F1257" i="4" s="1"/>
  <c r="D1258" i="4"/>
  <c r="F1258" i="4" s="1"/>
  <c r="D1259" i="4"/>
  <c r="F1259" i="4" s="1"/>
  <c r="D1260" i="4"/>
  <c r="F1260" i="4" s="1"/>
  <c r="D1261" i="4"/>
  <c r="F1261" i="4" s="1"/>
  <c r="D1262" i="4"/>
  <c r="F1262" i="4" s="1"/>
  <c r="D1263" i="4"/>
  <c r="F1263" i="4" s="1"/>
  <c r="D1264" i="4"/>
  <c r="F1264" i="4" s="1"/>
  <c r="D1265" i="4"/>
  <c r="F1265" i="4" s="1"/>
  <c r="D1266" i="4"/>
  <c r="F1266" i="4" s="1"/>
  <c r="D1267" i="4"/>
  <c r="F1267" i="4" s="1"/>
  <c r="D1268" i="4"/>
  <c r="F1268" i="4" s="1"/>
  <c r="D1269" i="4"/>
  <c r="F1269" i="4" s="1"/>
  <c r="D1270" i="4"/>
  <c r="F1270" i="4" s="1"/>
  <c r="D1271" i="4"/>
  <c r="F1271" i="4" s="1"/>
  <c r="D1272" i="4"/>
  <c r="F1272" i="4" s="1"/>
  <c r="D1273" i="4"/>
  <c r="F1273" i="4" s="1"/>
  <c r="D1274" i="4"/>
  <c r="D1275" i="4"/>
  <c r="F1275" i="4" s="1"/>
  <c r="D1276" i="4"/>
  <c r="F1276" i="4" s="1"/>
  <c r="D1277" i="4"/>
  <c r="F1277" i="4" s="1"/>
  <c r="D1278" i="4"/>
  <c r="F1278" i="4" s="1"/>
  <c r="D1279" i="4"/>
  <c r="F1279" i="4" s="1"/>
  <c r="D1280" i="4"/>
  <c r="F1280" i="4" s="1"/>
  <c r="D1281" i="4"/>
  <c r="F1281" i="4" s="1"/>
  <c r="D1282" i="4"/>
  <c r="F1282" i="4" s="1"/>
  <c r="D1283" i="4"/>
  <c r="F1283" i="4" s="1"/>
  <c r="D1284" i="4"/>
  <c r="F1284" i="4" s="1"/>
  <c r="D1285" i="4"/>
  <c r="F1285" i="4" s="1"/>
  <c r="D1286" i="4"/>
  <c r="F1286" i="4" s="1"/>
  <c r="D1287" i="4"/>
  <c r="F1287" i="4" s="1"/>
  <c r="D1288" i="4"/>
  <c r="F1288" i="4" s="1"/>
  <c r="D1289" i="4"/>
  <c r="F1289" i="4" s="1"/>
  <c r="D1290" i="4"/>
  <c r="F1290" i="4" s="1"/>
  <c r="D1291" i="4"/>
  <c r="F1291" i="4" s="1"/>
  <c r="D1292" i="4"/>
  <c r="F1292" i="4" s="1"/>
  <c r="D1293" i="4"/>
  <c r="F1293" i="4" s="1"/>
  <c r="D1294" i="4"/>
  <c r="F1294" i="4" s="1"/>
  <c r="D1295" i="4"/>
  <c r="F1295" i="4" s="1"/>
  <c r="D1296" i="4"/>
  <c r="F1296" i="4" s="1"/>
  <c r="D1297" i="4"/>
  <c r="F1297" i="4" s="1"/>
  <c r="D1298" i="4"/>
  <c r="D1299" i="4"/>
  <c r="F1299" i="4" s="1"/>
  <c r="D1300" i="4"/>
  <c r="F1300" i="4" s="1"/>
  <c r="D1301" i="4"/>
  <c r="F1301" i="4" s="1"/>
  <c r="D1302" i="4"/>
  <c r="F1302" i="4" s="1"/>
  <c r="D1303" i="4"/>
  <c r="F1303" i="4" s="1"/>
  <c r="D1304" i="4"/>
  <c r="F1304" i="4" s="1"/>
  <c r="D1305" i="4"/>
  <c r="F1305" i="4" s="1"/>
  <c r="D1306" i="4"/>
  <c r="F1306" i="4" s="1"/>
  <c r="D1307" i="4"/>
  <c r="F1307" i="4" s="1"/>
  <c r="D1308" i="4"/>
  <c r="F1308" i="4" s="1"/>
  <c r="D1309" i="4"/>
  <c r="F1309" i="4" s="1"/>
  <c r="D1310" i="4"/>
  <c r="F1310" i="4" s="1"/>
  <c r="D1311" i="4"/>
  <c r="F1311" i="4" s="1"/>
  <c r="D1312" i="4"/>
  <c r="F1312" i="4" s="1"/>
  <c r="D1313" i="4"/>
  <c r="F1313" i="4" s="1"/>
  <c r="D1314" i="4"/>
  <c r="F1314" i="4" s="1"/>
  <c r="D1315" i="4"/>
  <c r="F1315" i="4" s="1"/>
  <c r="D1316" i="4"/>
  <c r="F1316" i="4" s="1"/>
  <c r="D1317" i="4"/>
  <c r="F1317" i="4" s="1"/>
  <c r="D1318" i="4"/>
  <c r="F1318" i="4" s="1"/>
  <c r="D1319" i="4"/>
  <c r="F1319" i="4" s="1"/>
  <c r="D1320" i="4"/>
  <c r="F1320" i="4" s="1"/>
  <c r="D1321" i="4"/>
  <c r="F1321" i="4" s="1"/>
  <c r="D1322" i="4"/>
  <c r="D1323" i="4"/>
  <c r="F1323" i="4" s="1"/>
  <c r="D1324" i="4"/>
  <c r="F1324" i="4" s="1"/>
  <c r="D1325" i="4"/>
  <c r="F1325" i="4" s="1"/>
  <c r="D1326" i="4"/>
  <c r="F1326" i="4" s="1"/>
  <c r="D1327" i="4"/>
  <c r="F1327" i="4" s="1"/>
  <c r="D1328" i="4"/>
  <c r="F1328" i="4" s="1"/>
  <c r="D1329" i="4"/>
  <c r="F1329" i="4" s="1"/>
  <c r="D1330" i="4"/>
  <c r="F1330" i="4" s="1"/>
  <c r="D1331" i="4"/>
  <c r="F1331" i="4" s="1"/>
  <c r="D1332" i="4"/>
  <c r="F1332" i="4" s="1"/>
  <c r="D1333" i="4"/>
  <c r="F1333" i="4" s="1"/>
  <c r="D1334" i="4"/>
  <c r="F1334" i="4" s="1"/>
  <c r="D1335" i="4"/>
  <c r="F1335" i="4" s="1"/>
  <c r="D1336" i="4"/>
  <c r="F1336" i="4" s="1"/>
  <c r="D1337" i="4"/>
  <c r="F1337" i="4" s="1"/>
  <c r="D1338" i="4"/>
  <c r="F1338" i="4" s="1"/>
  <c r="D1339" i="4"/>
  <c r="F1339" i="4" s="1"/>
  <c r="D1340" i="4"/>
  <c r="F1340" i="4" s="1"/>
  <c r="D1341" i="4"/>
  <c r="F1341" i="4" s="1"/>
  <c r="D1342" i="4"/>
  <c r="F1342" i="4" s="1"/>
  <c r="D1343" i="4"/>
  <c r="F1343" i="4" s="1"/>
  <c r="D1344" i="4"/>
  <c r="F1344" i="4" s="1"/>
  <c r="D1345" i="4"/>
  <c r="F1345" i="4" s="1"/>
  <c r="D1346" i="4"/>
  <c r="D1347" i="4"/>
  <c r="F1347" i="4" s="1"/>
  <c r="D1348" i="4"/>
  <c r="F1348" i="4" s="1"/>
  <c r="D1349" i="4"/>
  <c r="F1349" i="4" s="1"/>
  <c r="D1350" i="4"/>
  <c r="F1350" i="4" s="1"/>
  <c r="D1351" i="4"/>
  <c r="F1351" i="4" s="1"/>
  <c r="D1352" i="4"/>
  <c r="F1352" i="4" s="1"/>
  <c r="D1353" i="4"/>
  <c r="F1353" i="4" s="1"/>
  <c r="D1354" i="4"/>
  <c r="F1354" i="4" s="1"/>
  <c r="D1355" i="4"/>
  <c r="F1355" i="4" s="1"/>
  <c r="D1356" i="4"/>
  <c r="F1356" i="4" s="1"/>
  <c r="D1357" i="4"/>
  <c r="F1357" i="4" s="1"/>
  <c r="D1358" i="4"/>
  <c r="F1358" i="4" s="1"/>
  <c r="D1359" i="4"/>
  <c r="F1359" i="4" s="1"/>
  <c r="D1360" i="4"/>
  <c r="F1360" i="4" s="1"/>
  <c r="D1361" i="4"/>
  <c r="F1361" i="4" s="1"/>
  <c r="D1362" i="4"/>
  <c r="F1362" i="4" s="1"/>
  <c r="D1363" i="4"/>
  <c r="F1363" i="4" s="1"/>
  <c r="D1364" i="4"/>
  <c r="F1364" i="4" s="1"/>
  <c r="D1365" i="4"/>
  <c r="F1365" i="4" s="1"/>
  <c r="D1366" i="4"/>
  <c r="F1366" i="4" s="1"/>
  <c r="D1367" i="4"/>
  <c r="F1367" i="4" s="1"/>
  <c r="D1368" i="4"/>
  <c r="F1368" i="4" s="1"/>
  <c r="D1369" i="4"/>
  <c r="F1369" i="4" s="1"/>
  <c r="D1370" i="4"/>
  <c r="D1371" i="4"/>
  <c r="F1371" i="4" s="1"/>
  <c r="D1372" i="4"/>
  <c r="F1372" i="4" s="1"/>
  <c r="D1373" i="4"/>
  <c r="F1373" i="4" s="1"/>
  <c r="D1374" i="4"/>
  <c r="F1374" i="4" s="1"/>
  <c r="D1375" i="4"/>
  <c r="F1375" i="4" s="1"/>
  <c r="D1376" i="4"/>
  <c r="F1376" i="4" s="1"/>
  <c r="D1377" i="4"/>
  <c r="F1377" i="4" s="1"/>
  <c r="D1378" i="4"/>
  <c r="F1378" i="4" s="1"/>
  <c r="D1379" i="4"/>
  <c r="F1379" i="4" s="1"/>
  <c r="D1380" i="4"/>
  <c r="F1380" i="4" s="1"/>
  <c r="D1381" i="4"/>
  <c r="F1381" i="4" s="1"/>
  <c r="D1382" i="4"/>
  <c r="F1382" i="4" s="1"/>
  <c r="D1383" i="4"/>
  <c r="F1383" i="4" s="1"/>
  <c r="D1384" i="4"/>
  <c r="F1384" i="4" s="1"/>
  <c r="D1385" i="4"/>
  <c r="F1385" i="4" s="1"/>
  <c r="D1386" i="4"/>
  <c r="F1386" i="4" s="1"/>
  <c r="D1387" i="4"/>
  <c r="F1387" i="4" s="1"/>
  <c r="D1388" i="4"/>
  <c r="F1388" i="4" s="1"/>
  <c r="D1389" i="4"/>
  <c r="F1389" i="4" s="1"/>
  <c r="D1390" i="4"/>
  <c r="F1390" i="4" s="1"/>
  <c r="D1391" i="4"/>
  <c r="F1391" i="4" s="1"/>
  <c r="D1392" i="4"/>
  <c r="F1392" i="4" s="1"/>
  <c r="D1393" i="4"/>
  <c r="F1393" i="4" s="1"/>
  <c r="D1394" i="4"/>
  <c r="D1395" i="4"/>
  <c r="F1395" i="4" s="1"/>
  <c r="D1396" i="4"/>
  <c r="F1396" i="4" s="1"/>
  <c r="D1397" i="4"/>
  <c r="F1397" i="4" s="1"/>
  <c r="D1398" i="4"/>
  <c r="F1398" i="4" s="1"/>
  <c r="D1399" i="4"/>
  <c r="F1399" i="4" s="1"/>
  <c r="D1400" i="4"/>
  <c r="F1400" i="4" s="1"/>
  <c r="D1401" i="4"/>
  <c r="F1401" i="4" s="1"/>
  <c r="D1402" i="4"/>
  <c r="F1402" i="4" s="1"/>
  <c r="D1403" i="4"/>
  <c r="F1403" i="4" s="1"/>
  <c r="D1404" i="4"/>
  <c r="F1404" i="4" s="1"/>
  <c r="D1405" i="4"/>
  <c r="F1405" i="4" s="1"/>
  <c r="D1406" i="4"/>
  <c r="F1406" i="4" s="1"/>
  <c r="D1407" i="4"/>
  <c r="F1407" i="4" s="1"/>
  <c r="D1408" i="4"/>
  <c r="F1408" i="4" s="1"/>
  <c r="D1409" i="4"/>
  <c r="F1409" i="4" s="1"/>
  <c r="D1410" i="4"/>
  <c r="F1410" i="4" s="1"/>
  <c r="D1411" i="4"/>
  <c r="F1411" i="4" s="1"/>
  <c r="D1412" i="4"/>
  <c r="F1412" i="4" s="1"/>
  <c r="D1413" i="4"/>
  <c r="F1413" i="4" s="1"/>
  <c r="D1414" i="4"/>
  <c r="F1414" i="4" s="1"/>
  <c r="D1415" i="4"/>
  <c r="F1415" i="4" s="1"/>
  <c r="D1416" i="4"/>
  <c r="F1416" i="4" s="1"/>
  <c r="D1417" i="4"/>
  <c r="F1417" i="4" s="1"/>
  <c r="D1418" i="4"/>
  <c r="D1419" i="4"/>
  <c r="F1419" i="4" s="1"/>
  <c r="D1420" i="4"/>
  <c r="F1420" i="4" s="1"/>
  <c r="D1421" i="4"/>
  <c r="F1421" i="4" s="1"/>
  <c r="D1422" i="4"/>
  <c r="F1422" i="4" s="1"/>
  <c r="D1423" i="4"/>
  <c r="F1423" i="4" s="1"/>
  <c r="D1424" i="4"/>
  <c r="F1424" i="4" s="1"/>
  <c r="D1425" i="4"/>
  <c r="F1425" i="4" s="1"/>
  <c r="D1426" i="4"/>
  <c r="F1426" i="4" s="1"/>
  <c r="D1427" i="4"/>
  <c r="F1427" i="4" s="1"/>
  <c r="D1428" i="4"/>
  <c r="F1428" i="4" s="1"/>
  <c r="D1429" i="4"/>
  <c r="F1429" i="4" s="1"/>
  <c r="D1430" i="4"/>
  <c r="F1430" i="4" s="1"/>
  <c r="D1431" i="4"/>
  <c r="F1431" i="4" s="1"/>
  <c r="D1432" i="4"/>
  <c r="F1432" i="4" s="1"/>
  <c r="D1433" i="4"/>
  <c r="F1433" i="4" s="1"/>
  <c r="D1434" i="4"/>
  <c r="F1434" i="4" s="1"/>
  <c r="D1435" i="4"/>
  <c r="F1435" i="4" s="1"/>
  <c r="D1436" i="4"/>
  <c r="F1436" i="4" s="1"/>
  <c r="D1437" i="4"/>
  <c r="F1437" i="4" s="1"/>
  <c r="D1438" i="4"/>
  <c r="F1438" i="4" s="1"/>
  <c r="D1439" i="4"/>
  <c r="F1439" i="4" s="1"/>
  <c r="D1440" i="4"/>
  <c r="F1440" i="4" s="1"/>
  <c r="D1441" i="4"/>
  <c r="F1441" i="4" s="1"/>
  <c r="D1442" i="4"/>
  <c r="D1443" i="4"/>
  <c r="F1443" i="4" s="1"/>
  <c r="D1444" i="4"/>
  <c r="F1444" i="4" s="1"/>
  <c r="D1445" i="4"/>
  <c r="F1445" i="4" s="1"/>
  <c r="D1446" i="4"/>
  <c r="F1446" i="4" s="1"/>
  <c r="D1447" i="4"/>
  <c r="F1447" i="4" s="1"/>
  <c r="D1448" i="4"/>
  <c r="F1448" i="4" s="1"/>
  <c r="D1449" i="4"/>
  <c r="F1449" i="4" s="1"/>
  <c r="D1450" i="4"/>
  <c r="F1450" i="4" s="1"/>
  <c r="D1451" i="4"/>
  <c r="F1451" i="4" s="1"/>
  <c r="D1452" i="4"/>
  <c r="F1452" i="4" s="1"/>
  <c r="D1453" i="4"/>
  <c r="F1453" i="4" s="1"/>
  <c r="D1454" i="4"/>
  <c r="F1454" i="4" s="1"/>
  <c r="D1455" i="4"/>
  <c r="F1455" i="4" s="1"/>
  <c r="D1456" i="4"/>
  <c r="F1456" i="4" s="1"/>
  <c r="D1457" i="4"/>
  <c r="F1457" i="4" s="1"/>
  <c r="D1458" i="4"/>
  <c r="F1458" i="4" s="1"/>
  <c r="D1459" i="4"/>
  <c r="F1459" i="4" s="1"/>
  <c r="D1460" i="4"/>
  <c r="F1460" i="4" s="1"/>
  <c r="D1461" i="4"/>
  <c r="F1461" i="4" s="1"/>
  <c r="D1462" i="4"/>
  <c r="F1462" i="4" s="1"/>
  <c r="D1463" i="4"/>
  <c r="F1463" i="4" s="1"/>
  <c r="D1464" i="4"/>
  <c r="F1464" i="4" s="1"/>
  <c r="D1465" i="4"/>
  <c r="F1465" i="4" s="1"/>
  <c r="D1466" i="4"/>
  <c r="D1467" i="4"/>
  <c r="F1467" i="4" s="1"/>
  <c r="D1468" i="4"/>
  <c r="F1468" i="4" s="1"/>
  <c r="D1469" i="4"/>
  <c r="F1469" i="4" s="1"/>
  <c r="D1470" i="4"/>
  <c r="F1470" i="4" s="1"/>
  <c r="D1471" i="4"/>
  <c r="F1471" i="4" s="1"/>
  <c r="D1472" i="4"/>
  <c r="F1472" i="4" s="1"/>
  <c r="D1473" i="4"/>
  <c r="F1473" i="4" s="1"/>
  <c r="D1474" i="4"/>
  <c r="F1474" i="4" s="1"/>
  <c r="D1475" i="4"/>
  <c r="F1475" i="4" s="1"/>
  <c r="D1476" i="4"/>
  <c r="F1476" i="4" s="1"/>
  <c r="D1477" i="4"/>
  <c r="F1477" i="4" s="1"/>
  <c r="D1478" i="4"/>
  <c r="F1478" i="4" s="1"/>
  <c r="D1479" i="4"/>
  <c r="F1479" i="4" s="1"/>
  <c r="D1480" i="4"/>
  <c r="F1480" i="4" s="1"/>
  <c r="D1481" i="4"/>
  <c r="F1481" i="4" s="1"/>
  <c r="D1482" i="4"/>
  <c r="F1482" i="4" s="1"/>
  <c r="D1483" i="4"/>
  <c r="F1483" i="4" s="1"/>
  <c r="D1484" i="4"/>
  <c r="F1484" i="4" s="1"/>
  <c r="D1485" i="4"/>
  <c r="F1485" i="4" s="1"/>
  <c r="D1486" i="4"/>
  <c r="F1486" i="4" s="1"/>
  <c r="D1487" i="4"/>
  <c r="F1487" i="4" s="1"/>
  <c r="D1488" i="4"/>
  <c r="F1488" i="4" s="1"/>
  <c r="D1489" i="4"/>
  <c r="F1489" i="4" s="1"/>
  <c r="D1490" i="4"/>
  <c r="D1491" i="4"/>
  <c r="F1491" i="4" s="1"/>
  <c r="D1492" i="4"/>
  <c r="F1492" i="4" s="1"/>
  <c r="D1493" i="4"/>
  <c r="F1493" i="4" s="1"/>
  <c r="D1494" i="4"/>
  <c r="F1494" i="4" s="1"/>
  <c r="D1495" i="4"/>
  <c r="F1495" i="4" s="1"/>
  <c r="D1496" i="4"/>
  <c r="F1496" i="4" s="1"/>
  <c r="D1497" i="4"/>
  <c r="F1497" i="4" s="1"/>
  <c r="D1498" i="4"/>
  <c r="F1498" i="4" s="1"/>
  <c r="D1499" i="4"/>
  <c r="F1499" i="4" s="1"/>
  <c r="D1500" i="4"/>
  <c r="F1500" i="4" s="1"/>
  <c r="D1501" i="4"/>
  <c r="F1501" i="4" s="1"/>
  <c r="D1502" i="4"/>
  <c r="F1502" i="4" s="1"/>
  <c r="D1503" i="4"/>
  <c r="F1503" i="4" s="1"/>
  <c r="D1504" i="4"/>
  <c r="F1504" i="4" s="1"/>
  <c r="D1505" i="4"/>
  <c r="F1505" i="4" s="1"/>
  <c r="D1506" i="4"/>
  <c r="F1506" i="4" s="1"/>
  <c r="D1507" i="4"/>
  <c r="F1507" i="4" s="1"/>
  <c r="D1508" i="4"/>
  <c r="F1508" i="4" s="1"/>
  <c r="D1509" i="4"/>
  <c r="F1509" i="4" s="1"/>
  <c r="D1510" i="4"/>
  <c r="F1510" i="4" s="1"/>
  <c r="D1511" i="4"/>
  <c r="F1511" i="4" s="1"/>
  <c r="D1512" i="4"/>
  <c r="F1512" i="4" s="1"/>
  <c r="D1513" i="4"/>
  <c r="F1513" i="4" s="1"/>
  <c r="D1514" i="4"/>
  <c r="D1515" i="4"/>
  <c r="F1515" i="4" s="1"/>
  <c r="D1516" i="4"/>
  <c r="F1516" i="4" s="1"/>
  <c r="D1517" i="4"/>
  <c r="F1517" i="4" s="1"/>
  <c r="D1518" i="4"/>
  <c r="F1518" i="4" s="1"/>
  <c r="D1519" i="4"/>
  <c r="F1519" i="4" s="1"/>
  <c r="D1520" i="4"/>
  <c r="F1520" i="4" s="1"/>
  <c r="D1521" i="4"/>
  <c r="F1521" i="4" s="1"/>
  <c r="D1522" i="4"/>
  <c r="F1522" i="4" s="1"/>
  <c r="D1523" i="4"/>
  <c r="F1523" i="4" s="1"/>
  <c r="D1524" i="4"/>
  <c r="F1524" i="4" s="1"/>
  <c r="D1525" i="4"/>
  <c r="F1525" i="4" s="1"/>
  <c r="D1526" i="4"/>
  <c r="F1526" i="4" s="1"/>
  <c r="D1527" i="4"/>
  <c r="F1527" i="4" s="1"/>
  <c r="D1528" i="4"/>
  <c r="F1528" i="4" s="1"/>
  <c r="D1529" i="4"/>
  <c r="F1529" i="4" s="1"/>
  <c r="D1530" i="4"/>
  <c r="F1530" i="4" s="1"/>
  <c r="D1531" i="4"/>
  <c r="F1531" i="4" s="1"/>
  <c r="D1532" i="4"/>
  <c r="F1532" i="4" s="1"/>
  <c r="D1533" i="4"/>
  <c r="F1533" i="4" s="1"/>
  <c r="D1534" i="4"/>
  <c r="F1534" i="4" s="1"/>
  <c r="D1535" i="4"/>
  <c r="F1535" i="4" s="1"/>
  <c r="D1536" i="4"/>
  <c r="F1536" i="4" s="1"/>
  <c r="D1537" i="4"/>
  <c r="F1537" i="4" s="1"/>
  <c r="D1538" i="4"/>
  <c r="D1539" i="4"/>
  <c r="F1539" i="4" s="1"/>
  <c r="D1540" i="4"/>
  <c r="F1540" i="4" s="1"/>
  <c r="D1541" i="4"/>
  <c r="F1541" i="4" s="1"/>
  <c r="D1542" i="4"/>
  <c r="F1542" i="4" s="1"/>
  <c r="D1543" i="4"/>
  <c r="F1543" i="4" s="1"/>
  <c r="D1544" i="4"/>
  <c r="F1544" i="4" s="1"/>
  <c r="D1545" i="4"/>
  <c r="F1545" i="4" s="1"/>
  <c r="D1546" i="4"/>
  <c r="F1546" i="4" s="1"/>
  <c r="D1547" i="4"/>
  <c r="F1547" i="4" s="1"/>
  <c r="D1548" i="4"/>
  <c r="F1548" i="4" s="1"/>
  <c r="D1549" i="4"/>
  <c r="F1549" i="4" s="1"/>
  <c r="D1550" i="4"/>
  <c r="F1550" i="4" s="1"/>
  <c r="D1551" i="4"/>
  <c r="F1551" i="4" s="1"/>
  <c r="D1552" i="4"/>
  <c r="F1552" i="4" s="1"/>
  <c r="D1553" i="4"/>
  <c r="F1553" i="4" s="1"/>
  <c r="D1554" i="4"/>
  <c r="F1554" i="4" s="1"/>
  <c r="D1555" i="4"/>
  <c r="F1555" i="4" s="1"/>
  <c r="D1556" i="4"/>
  <c r="F1556" i="4" s="1"/>
  <c r="D1557" i="4"/>
  <c r="F1557" i="4" s="1"/>
  <c r="D1558" i="4"/>
  <c r="F1558" i="4" s="1"/>
  <c r="D1559" i="4"/>
  <c r="F1559" i="4" s="1"/>
  <c r="D1560" i="4"/>
  <c r="F1560" i="4" s="1"/>
  <c r="D1561" i="4"/>
  <c r="F1561" i="4" s="1"/>
  <c r="D1562" i="4"/>
  <c r="D1563" i="4"/>
  <c r="F1563" i="4" s="1"/>
  <c r="D1564" i="4"/>
  <c r="F1564" i="4" s="1"/>
  <c r="D1565" i="4"/>
  <c r="F1565" i="4" s="1"/>
  <c r="D1566" i="4"/>
  <c r="F1566" i="4" s="1"/>
  <c r="D1567" i="4"/>
  <c r="F1567" i="4" s="1"/>
  <c r="D1568" i="4"/>
  <c r="F1568" i="4" s="1"/>
  <c r="D1569" i="4"/>
  <c r="F1569" i="4" s="1"/>
  <c r="D1570" i="4"/>
  <c r="F1570" i="4" s="1"/>
  <c r="D1571" i="4"/>
  <c r="F1571" i="4" s="1"/>
  <c r="D1572" i="4"/>
  <c r="F1572" i="4" s="1"/>
  <c r="D1573" i="4"/>
  <c r="F1573" i="4" s="1"/>
  <c r="D1574" i="4"/>
  <c r="F1574" i="4" s="1"/>
  <c r="D1575" i="4"/>
  <c r="F1575" i="4" s="1"/>
  <c r="D1576" i="4"/>
  <c r="F1576" i="4" s="1"/>
  <c r="D1577" i="4"/>
  <c r="F1577" i="4" s="1"/>
  <c r="D1578" i="4"/>
  <c r="F1578" i="4" s="1"/>
  <c r="D1579" i="4"/>
  <c r="F1579" i="4" s="1"/>
  <c r="D1580" i="4"/>
  <c r="F1580" i="4" s="1"/>
  <c r="D1581" i="4"/>
  <c r="F1581" i="4" s="1"/>
  <c r="D1582" i="4"/>
  <c r="F1582" i="4" s="1"/>
  <c r="D1583" i="4"/>
  <c r="F1583" i="4" s="1"/>
  <c r="D1584" i="4"/>
  <c r="F1584" i="4" s="1"/>
  <c r="D1585" i="4"/>
  <c r="F1585" i="4" s="1"/>
  <c r="D1586" i="4"/>
  <c r="D1587" i="4"/>
  <c r="F1587" i="4" s="1"/>
  <c r="D1588" i="4"/>
  <c r="F1588" i="4" s="1"/>
  <c r="D1589" i="4"/>
  <c r="F1589" i="4" s="1"/>
  <c r="D1590" i="4"/>
  <c r="F1590" i="4" s="1"/>
  <c r="D1591" i="4"/>
  <c r="F1591" i="4" s="1"/>
  <c r="D1592" i="4"/>
  <c r="F1592" i="4" s="1"/>
  <c r="D1593" i="4"/>
  <c r="F1593" i="4" s="1"/>
  <c r="D1594" i="4"/>
  <c r="F1594" i="4" s="1"/>
  <c r="D1595" i="4"/>
  <c r="F1595" i="4" s="1"/>
  <c r="D1596" i="4"/>
  <c r="F1596" i="4" s="1"/>
  <c r="D1597" i="4"/>
  <c r="F1597" i="4" s="1"/>
  <c r="D1598" i="4"/>
  <c r="F1598" i="4" s="1"/>
  <c r="D1599" i="4"/>
  <c r="F1599" i="4" s="1"/>
  <c r="D1600" i="4"/>
  <c r="F1600" i="4" s="1"/>
  <c r="D1601" i="4"/>
  <c r="F1601" i="4" s="1"/>
  <c r="D1602" i="4"/>
  <c r="F1602" i="4" s="1"/>
  <c r="D1603" i="4"/>
  <c r="F1603" i="4" s="1"/>
  <c r="D1604" i="4"/>
  <c r="F1604" i="4" s="1"/>
  <c r="D1605" i="4"/>
  <c r="F1605" i="4" s="1"/>
  <c r="D1606" i="4"/>
  <c r="F1606" i="4" s="1"/>
  <c r="D1607" i="4"/>
  <c r="F1607" i="4" s="1"/>
  <c r="D1608" i="4"/>
  <c r="F1608" i="4" s="1"/>
  <c r="D1609" i="4"/>
  <c r="F1609" i="4" s="1"/>
  <c r="D1610" i="4"/>
  <c r="D1611" i="4"/>
  <c r="F1611" i="4" s="1"/>
  <c r="D1612" i="4"/>
  <c r="F1612" i="4" s="1"/>
  <c r="D1613" i="4"/>
  <c r="F1613" i="4" s="1"/>
  <c r="D1614" i="4"/>
  <c r="F1614" i="4" s="1"/>
  <c r="D1615" i="4"/>
  <c r="F1615" i="4" s="1"/>
  <c r="D1616" i="4"/>
  <c r="F1616" i="4" s="1"/>
  <c r="D1617" i="4"/>
  <c r="F1617" i="4" s="1"/>
  <c r="D1618" i="4"/>
  <c r="F1618" i="4" s="1"/>
  <c r="D1619" i="4"/>
  <c r="F1619" i="4" s="1"/>
  <c r="D1620" i="4"/>
  <c r="F1620" i="4" s="1"/>
  <c r="D1621" i="4"/>
  <c r="F1621" i="4" s="1"/>
  <c r="D1622" i="4"/>
  <c r="F1622" i="4" s="1"/>
  <c r="D1623" i="4"/>
  <c r="F1623" i="4" s="1"/>
  <c r="D1624" i="4"/>
  <c r="F1624" i="4" s="1"/>
  <c r="D1625" i="4"/>
  <c r="F1625" i="4" s="1"/>
  <c r="D1626" i="4"/>
  <c r="F1626" i="4" s="1"/>
  <c r="D1627" i="4"/>
  <c r="F1627" i="4" s="1"/>
  <c r="D1628" i="4"/>
  <c r="F1628" i="4" s="1"/>
  <c r="D1629" i="4"/>
  <c r="F1629" i="4" s="1"/>
  <c r="D1630" i="4"/>
  <c r="F1630" i="4" s="1"/>
  <c r="D1631" i="4"/>
  <c r="F1631" i="4" s="1"/>
  <c r="D1632" i="4"/>
  <c r="F1632" i="4" s="1"/>
  <c r="D1633" i="4"/>
  <c r="F1633" i="4" s="1"/>
  <c r="D1634" i="4"/>
  <c r="D1635" i="4"/>
  <c r="F1635" i="4" s="1"/>
  <c r="D1636" i="4"/>
  <c r="F1636" i="4" s="1"/>
  <c r="D1637" i="4"/>
  <c r="F1637" i="4" s="1"/>
  <c r="D1638" i="4"/>
  <c r="F1638" i="4" s="1"/>
  <c r="D1639" i="4"/>
  <c r="F1639" i="4" s="1"/>
  <c r="D1640" i="4"/>
  <c r="F1640" i="4" s="1"/>
  <c r="D1641" i="4"/>
  <c r="F1641" i="4" s="1"/>
  <c r="D1642" i="4"/>
  <c r="F1642" i="4" s="1"/>
  <c r="D1643" i="4"/>
  <c r="F1643" i="4" s="1"/>
  <c r="D1644" i="4"/>
  <c r="F1644" i="4" s="1"/>
  <c r="D1645" i="4"/>
  <c r="F1645" i="4" s="1"/>
  <c r="D1646" i="4"/>
  <c r="F1646" i="4" s="1"/>
  <c r="D1647" i="4"/>
  <c r="F1647" i="4" s="1"/>
  <c r="D1648" i="4"/>
  <c r="F1648" i="4" s="1"/>
  <c r="D1649" i="4"/>
  <c r="F1649" i="4" s="1"/>
  <c r="D1650" i="4"/>
  <c r="F1650" i="4" s="1"/>
  <c r="D1651" i="4"/>
  <c r="F1651" i="4" s="1"/>
  <c r="D1652" i="4"/>
  <c r="F1652" i="4" s="1"/>
  <c r="D1653" i="4"/>
  <c r="F1653" i="4" s="1"/>
  <c r="D1654" i="4"/>
  <c r="F1654" i="4" s="1"/>
  <c r="D1655" i="4"/>
  <c r="F1655" i="4" s="1"/>
  <c r="D1656" i="4"/>
  <c r="F1656" i="4" s="1"/>
  <c r="D1657" i="4"/>
  <c r="F1657" i="4" s="1"/>
  <c r="D1658" i="4"/>
  <c r="D1659" i="4"/>
  <c r="F1659" i="4" s="1"/>
  <c r="D1660" i="4"/>
  <c r="F1660" i="4" s="1"/>
  <c r="D1661" i="4"/>
  <c r="F1661" i="4" s="1"/>
  <c r="D1662" i="4"/>
  <c r="F1662" i="4" s="1"/>
  <c r="D1663" i="4"/>
  <c r="F1663" i="4" s="1"/>
  <c r="D1664" i="4"/>
  <c r="F1664" i="4" s="1"/>
  <c r="D1665" i="4"/>
  <c r="F1665" i="4" s="1"/>
  <c r="D1666" i="4"/>
  <c r="F1666" i="4" s="1"/>
  <c r="D1667" i="4"/>
  <c r="F1667" i="4" s="1"/>
  <c r="D1668" i="4"/>
  <c r="F1668" i="4" s="1"/>
  <c r="D1669" i="4"/>
  <c r="F1669" i="4" s="1"/>
  <c r="D1670" i="4"/>
  <c r="F1670" i="4" s="1"/>
  <c r="D1671" i="4"/>
  <c r="F1671" i="4" s="1"/>
  <c r="D1672" i="4"/>
  <c r="F1672" i="4" s="1"/>
  <c r="D1673" i="4"/>
  <c r="F1673" i="4" s="1"/>
  <c r="D1674" i="4"/>
  <c r="F1674" i="4" s="1"/>
  <c r="D1675" i="4"/>
  <c r="F1675" i="4" s="1"/>
  <c r="D1676" i="4"/>
  <c r="F1676" i="4" s="1"/>
  <c r="D1677" i="4"/>
  <c r="F1677" i="4" s="1"/>
  <c r="D1678" i="4"/>
  <c r="F1678" i="4" s="1"/>
  <c r="D1679" i="4"/>
  <c r="F1679" i="4" s="1"/>
  <c r="D1680" i="4"/>
  <c r="F1680" i="4" s="1"/>
  <c r="D1681" i="4"/>
  <c r="F1681" i="4" s="1"/>
  <c r="D1682" i="4"/>
  <c r="D1683" i="4"/>
  <c r="F1683" i="4" s="1"/>
  <c r="D1684" i="4"/>
  <c r="F1684" i="4" s="1"/>
  <c r="D1685" i="4"/>
  <c r="F1685" i="4" s="1"/>
  <c r="D1686" i="4"/>
  <c r="F1686" i="4" s="1"/>
  <c r="D1687" i="4"/>
  <c r="F1687" i="4" s="1"/>
  <c r="D1688" i="4"/>
  <c r="F1688" i="4" s="1"/>
  <c r="D1689" i="4"/>
  <c r="F1689" i="4" s="1"/>
  <c r="D1690" i="4"/>
  <c r="F1690" i="4" s="1"/>
  <c r="D1691" i="4"/>
  <c r="F1691" i="4" s="1"/>
  <c r="D1692" i="4"/>
  <c r="F1692" i="4" s="1"/>
  <c r="D1693" i="4"/>
  <c r="F1693" i="4" s="1"/>
  <c r="D1694" i="4"/>
  <c r="F1694" i="4" s="1"/>
  <c r="D1695" i="4"/>
  <c r="F1695" i="4" s="1"/>
  <c r="D1696" i="4"/>
  <c r="F1696" i="4" s="1"/>
  <c r="D1697" i="4"/>
  <c r="F1697" i="4" s="1"/>
  <c r="D1698" i="4"/>
  <c r="F1698" i="4" s="1"/>
  <c r="D1699" i="4"/>
  <c r="F1699" i="4" s="1"/>
  <c r="D1700" i="4"/>
  <c r="F1700" i="4" s="1"/>
  <c r="D1701" i="4"/>
  <c r="F1701" i="4" s="1"/>
  <c r="D1702" i="4"/>
  <c r="F1702" i="4" s="1"/>
  <c r="D1703" i="4"/>
  <c r="F1703" i="4" s="1"/>
  <c r="D1704" i="4"/>
  <c r="F1704" i="4" s="1"/>
  <c r="D1705" i="4"/>
  <c r="F1705" i="4" s="1"/>
  <c r="D1706" i="4"/>
  <c r="D1707" i="4"/>
  <c r="F1707" i="4" s="1"/>
  <c r="D1708" i="4"/>
  <c r="F1708" i="4" s="1"/>
  <c r="D1709" i="4"/>
  <c r="F1709" i="4" s="1"/>
  <c r="D1710" i="4"/>
  <c r="F1710" i="4" s="1"/>
  <c r="D1711" i="4"/>
  <c r="F1711" i="4" s="1"/>
  <c r="D1712" i="4"/>
  <c r="F1712" i="4" s="1"/>
  <c r="D1713" i="4"/>
  <c r="F1713" i="4" s="1"/>
  <c r="D1714" i="4"/>
  <c r="F1714" i="4" s="1"/>
  <c r="D1715" i="4"/>
  <c r="F1715" i="4" s="1"/>
  <c r="D1716" i="4"/>
  <c r="F1716" i="4" s="1"/>
  <c r="D1717" i="4"/>
  <c r="F1717" i="4" s="1"/>
  <c r="D1718" i="4"/>
  <c r="F1718" i="4" s="1"/>
  <c r="D1719" i="4"/>
  <c r="F1719" i="4" s="1"/>
  <c r="D1720" i="4"/>
  <c r="F1720" i="4" s="1"/>
  <c r="D1721" i="4"/>
  <c r="F1721" i="4" s="1"/>
  <c r="D1722" i="4"/>
  <c r="F1722" i="4" s="1"/>
  <c r="D1723" i="4"/>
  <c r="F1723" i="4" s="1"/>
  <c r="D1724" i="4"/>
  <c r="F1724" i="4" s="1"/>
  <c r="D1725" i="4"/>
  <c r="F1725" i="4" s="1"/>
  <c r="D1726" i="4"/>
  <c r="F1726" i="4" s="1"/>
  <c r="D1727" i="4"/>
  <c r="F1727" i="4" s="1"/>
  <c r="D1728" i="4"/>
  <c r="F1728" i="4" s="1"/>
  <c r="D1729" i="4"/>
  <c r="F1729" i="4" s="1"/>
  <c r="D1730" i="4"/>
  <c r="D1731" i="4"/>
  <c r="F1731" i="4" s="1"/>
  <c r="D1732" i="4"/>
  <c r="F1732" i="4" s="1"/>
  <c r="D1733" i="4"/>
  <c r="F1733" i="4" s="1"/>
  <c r="D1734" i="4"/>
  <c r="F1734" i="4" s="1"/>
  <c r="D1735" i="4"/>
  <c r="F1735" i="4" s="1"/>
  <c r="D1736" i="4"/>
  <c r="F1736" i="4" s="1"/>
  <c r="D1737" i="4"/>
  <c r="F1737" i="4" s="1"/>
  <c r="D1738" i="4"/>
  <c r="F1738" i="4" s="1"/>
  <c r="D1739" i="4"/>
  <c r="F1739" i="4" s="1"/>
  <c r="D1740" i="4"/>
  <c r="F1740" i="4" s="1"/>
  <c r="D1741" i="4"/>
  <c r="F1741" i="4" s="1"/>
  <c r="D1742" i="4"/>
  <c r="F1742" i="4" s="1"/>
  <c r="D1743" i="4"/>
  <c r="F1743" i="4" s="1"/>
  <c r="D1744" i="4"/>
  <c r="F1744" i="4" s="1"/>
  <c r="D1745" i="4"/>
  <c r="F1745" i="4" s="1"/>
  <c r="D1746" i="4"/>
  <c r="F1746" i="4" s="1"/>
  <c r="D1747" i="4"/>
  <c r="F1747" i="4" s="1"/>
  <c r="D1748" i="4"/>
  <c r="F1748" i="4" s="1"/>
  <c r="D1749" i="4"/>
  <c r="F1749" i="4" s="1"/>
  <c r="D1750" i="4"/>
  <c r="F1750" i="4" s="1"/>
  <c r="D1751" i="4"/>
  <c r="F1751" i="4" s="1"/>
  <c r="D1752" i="4"/>
  <c r="F1752" i="4" s="1"/>
  <c r="D1753" i="4"/>
  <c r="F1753" i="4" s="1"/>
  <c r="D1754" i="4"/>
  <c r="D1755" i="4"/>
  <c r="F1755" i="4" s="1"/>
  <c r="D1756" i="4"/>
  <c r="F1756" i="4" s="1"/>
  <c r="D1757" i="4"/>
  <c r="F1757" i="4" s="1"/>
  <c r="D1758" i="4"/>
  <c r="F1758" i="4" s="1"/>
  <c r="D1759" i="4"/>
  <c r="F1759" i="4" s="1"/>
  <c r="D1760" i="4"/>
  <c r="F1760" i="4" s="1"/>
  <c r="D1761" i="4"/>
  <c r="F1761" i="4" s="1"/>
  <c r="D1762" i="4"/>
  <c r="F1762" i="4" s="1"/>
  <c r="D1763" i="4"/>
  <c r="F1763" i="4" s="1"/>
  <c r="D1764" i="4"/>
  <c r="F1764" i="4" s="1"/>
  <c r="D1765" i="4"/>
  <c r="F1765" i="4" s="1"/>
  <c r="D1766" i="4"/>
  <c r="F1766" i="4" s="1"/>
  <c r="D1767" i="4"/>
  <c r="F1767" i="4" s="1"/>
  <c r="D1768" i="4"/>
  <c r="F1768" i="4" s="1"/>
  <c r="D1769" i="4"/>
  <c r="F1769" i="4" s="1"/>
  <c r="D1770" i="4"/>
  <c r="F1770" i="4" s="1"/>
  <c r="D1771" i="4"/>
  <c r="F1771" i="4" s="1"/>
  <c r="D1772" i="4"/>
  <c r="F1772" i="4" s="1"/>
  <c r="D1773" i="4"/>
  <c r="F1773" i="4" s="1"/>
  <c r="D1774" i="4"/>
  <c r="F1774" i="4" s="1"/>
  <c r="D1775" i="4"/>
  <c r="F1775" i="4" s="1"/>
  <c r="D1776" i="4"/>
  <c r="F1776" i="4" s="1"/>
  <c r="D1777" i="4"/>
  <c r="F1777" i="4" s="1"/>
  <c r="D1778" i="4"/>
  <c r="D1779" i="4"/>
  <c r="F1779" i="4" s="1"/>
  <c r="D1780" i="4"/>
  <c r="F1780" i="4" s="1"/>
  <c r="D1781" i="4"/>
  <c r="F1781" i="4" s="1"/>
  <c r="D1782" i="4"/>
  <c r="F1782" i="4" s="1"/>
  <c r="D1783" i="4"/>
  <c r="F1783" i="4" s="1"/>
  <c r="D1784" i="4"/>
  <c r="F1784" i="4" s="1"/>
  <c r="D1785" i="4"/>
  <c r="F1785" i="4" s="1"/>
  <c r="D1786" i="4"/>
  <c r="F1786" i="4" s="1"/>
  <c r="D1787" i="4"/>
  <c r="F1787" i="4" s="1"/>
  <c r="D1788" i="4"/>
  <c r="F1788" i="4" s="1"/>
  <c r="D1789" i="4"/>
  <c r="F1789" i="4" s="1"/>
  <c r="D1790" i="4"/>
  <c r="F1790" i="4" s="1"/>
  <c r="D1791" i="4"/>
  <c r="F1791" i="4" s="1"/>
  <c r="D1792" i="4"/>
  <c r="F1792" i="4" s="1"/>
  <c r="D1793" i="4"/>
  <c r="F1793" i="4" s="1"/>
  <c r="D1794" i="4"/>
  <c r="F1794" i="4" s="1"/>
  <c r="D1795" i="4"/>
  <c r="F1795" i="4" s="1"/>
  <c r="D1796" i="4"/>
  <c r="F1796" i="4" s="1"/>
  <c r="D1797" i="4"/>
  <c r="F1797" i="4" s="1"/>
  <c r="D1798" i="4"/>
  <c r="F1798" i="4" s="1"/>
  <c r="D1799" i="4"/>
  <c r="F1799" i="4" s="1"/>
  <c r="D1800" i="4"/>
  <c r="F1800" i="4" s="1"/>
  <c r="D1801" i="4"/>
  <c r="F1801" i="4" s="1"/>
  <c r="D1802" i="4"/>
  <c r="D1803" i="4"/>
  <c r="F1803" i="4" s="1"/>
  <c r="D1804" i="4"/>
  <c r="F1804" i="4" s="1"/>
  <c r="D1805" i="4"/>
  <c r="F1805" i="4" s="1"/>
  <c r="D1806" i="4"/>
  <c r="F1806" i="4" s="1"/>
  <c r="D1807" i="4"/>
  <c r="F1807" i="4" s="1"/>
  <c r="D1808" i="4"/>
  <c r="F1808" i="4" s="1"/>
  <c r="D1809" i="4"/>
  <c r="F1809" i="4" s="1"/>
  <c r="D1810" i="4"/>
  <c r="F1810" i="4" s="1"/>
  <c r="D1811" i="4"/>
  <c r="F1811" i="4" s="1"/>
  <c r="D1812" i="4"/>
  <c r="F1812" i="4" s="1"/>
  <c r="D1813" i="4"/>
  <c r="F1813" i="4" s="1"/>
  <c r="D1814" i="4"/>
  <c r="F1814" i="4" s="1"/>
  <c r="D1815" i="4"/>
  <c r="F1815" i="4" s="1"/>
  <c r="D1816" i="4"/>
  <c r="F1816" i="4" s="1"/>
  <c r="D1817" i="4"/>
  <c r="F1817" i="4" s="1"/>
  <c r="D1818" i="4"/>
  <c r="F1818" i="4" s="1"/>
  <c r="D1819" i="4"/>
  <c r="F1819" i="4" s="1"/>
  <c r="D1820" i="4"/>
  <c r="F1820" i="4" s="1"/>
  <c r="D1821" i="4"/>
  <c r="F1821" i="4" s="1"/>
  <c r="D1822" i="4"/>
  <c r="F1822" i="4" s="1"/>
  <c r="D1823" i="4"/>
  <c r="F1823" i="4" s="1"/>
  <c r="D1824" i="4"/>
  <c r="F1824" i="4" s="1"/>
  <c r="D1825" i="4"/>
  <c r="F1825" i="4" s="1"/>
  <c r="D1826" i="4"/>
  <c r="D1827" i="4"/>
  <c r="F1827" i="4" s="1"/>
  <c r="D1828" i="4"/>
  <c r="F1828" i="4" s="1"/>
  <c r="D1829" i="4"/>
  <c r="F1829" i="4" s="1"/>
  <c r="D1830" i="4"/>
  <c r="F1830" i="4" s="1"/>
  <c r="D1831" i="4"/>
  <c r="F1831" i="4" s="1"/>
  <c r="D1832" i="4"/>
  <c r="F1832" i="4" s="1"/>
  <c r="D1833" i="4"/>
  <c r="F1833" i="4" s="1"/>
  <c r="D1834" i="4"/>
  <c r="F1834" i="4" s="1"/>
  <c r="D1835" i="4"/>
  <c r="F1835" i="4" s="1"/>
  <c r="D1836" i="4"/>
  <c r="F1836" i="4" s="1"/>
  <c r="D1837" i="4"/>
  <c r="F1837" i="4" s="1"/>
  <c r="D1838" i="4"/>
  <c r="F1838" i="4" s="1"/>
  <c r="D1839" i="4"/>
  <c r="F1839" i="4" s="1"/>
  <c r="D1840" i="4"/>
  <c r="F1840" i="4" s="1"/>
  <c r="D1841" i="4"/>
  <c r="F1841" i="4" s="1"/>
  <c r="D1842" i="4"/>
  <c r="F1842" i="4" s="1"/>
  <c r="D1843" i="4"/>
  <c r="F1843" i="4" s="1"/>
  <c r="D1844" i="4"/>
  <c r="F1844" i="4" s="1"/>
  <c r="D1845" i="4"/>
  <c r="F1845" i="4" s="1"/>
  <c r="D1846" i="4"/>
  <c r="F1846" i="4" s="1"/>
  <c r="D1847" i="4"/>
  <c r="F1847" i="4" s="1"/>
  <c r="D1848" i="4"/>
  <c r="F1848" i="4" s="1"/>
  <c r="D1849" i="4"/>
  <c r="F1849" i="4" s="1"/>
  <c r="D1850" i="4"/>
  <c r="D1851" i="4"/>
  <c r="F1851" i="4" s="1"/>
  <c r="D1852" i="4"/>
  <c r="F1852" i="4" s="1"/>
  <c r="D1853" i="4"/>
  <c r="F1853" i="4" s="1"/>
  <c r="D1854" i="4"/>
  <c r="F1854" i="4" s="1"/>
  <c r="D1855" i="4"/>
  <c r="F1855" i="4" s="1"/>
  <c r="D1856" i="4"/>
  <c r="F1856" i="4" s="1"/>
  <c r="D1857" i="4"/>
  <c r="F1857" i="4" s="1"/>
  <c r="D1858" i="4"/>
  <c r="F1858" i="4" s="1"/>
  <c r="D1859" i="4"/>
  <c r="F1859" i="4" s="1"/>
  <c r="D1860" i="4"/>
  <c r="F1860" i="4" s="1"/>
  <c r="D1861" i="4"/>
  <c r="F1861" i="4" s="1"/>
  <c r="D1862" i="4"/>
  <c r="F1862" i="4" s="1"/>
  <c r="D1863" i="4"/>
  <c r="F1863" i="4" s="1"/>
  <c r="D1864" i="4"/>
  <c r="F1864" i="4" s="1"/>
  <c r="D1865" i="4"/>
  <c r="F1865" i="4" s="1"/>
  <c r="D1866" i="4"/>
  <c r="F1866" i="4" s="1"/>
  <c r="D1867" i="4"/>
  <c r="F1867" i="4" s="1"/>
  <c r="D1868" i="4"/>
  <c r="F1868" i="4" s="1"/>
  <c r="D1869" i="4"/>
  <c r="F1869" i="4" s="1"/>
  <c r="D1870" i="4"/>
  <c r="F1870" i="4" s="1"/>
  <c r="D1871" i="4"/>
  <c r="F1871" i="4" s="1"/>
  <c r="D1872" i="4"/>
  <c r="F1872" i="4" s="1"/>
  <c r="D1873" i="4"/>
  <c r="F1873" i="4" s="1"/>
  <c r="D1874" i="4"/>
  <c r="D1875" i="4"/>
  <c r="F1875" i="4" s="1"/>
  <c r="D1876" i="4"/>
  <c r="F1876" i="4" s="1"/>
  <c r="D1877" i="4"/>
  <c r="F1877" i="4" s="1"/>
  <c r="D1878" i="4"/>
  <c r="F1878" i="4" s="1"/>
  <c r="D1879" i="4"/>
  <c r="F1879" i="4" s="1"/>
  <c r="D1880" i="4"/>
  <c r="F1880" i="4" s="1"/>
  <c r="D1881" i="4"/>
  <c r="F1881" i="4" s="1"/>
  <c r="D1882" i="4"/>
  <c r="F1882" i="4" s="1"/>
  <c r="D1883" i="4"/>
  <c r="F1883" i="4" s="1"/>
  <c r="D1884" i="4"/>
  <c r="F1884" i="4" s="1"/>
  <c r="D1885" i="4"/>
  <c r="F1885" i="4" s="1"/>
  <c r="D1886" i="4"/>
  <c r="F1886" i="4" s="1"/>
  <c r="D1887" i="4"/>
  <c r="F1887" i="4" s="1"/>
  <c r="D1888" i="4"/>
  <c r="F1888" i="4" s="1"/>
  <c r="D1889" i="4"/>
  <c r="F1889" i="4" s="1"/>
  <c r="D1890" i="4"/>
  <c r="F1890" i="4" s="1"/>
  <c r="D1891" i="4"/>
  <c r="F1891" i="4" s="1"/>
  <c r="D1892" i="4"/>
  <c r="F1892" i="4" s="1"/>
  <c r="D1893" i="4"/>
  <c r="F1893" i="4" s="1"/>
  <c r="D1894" i="4"/>
  <c r="F1894" i="4" s="1"/>
  <c r="D1895" i="4"/>
  <c r="F1895" i="4" s="1"/>
  <c r="D1896" i="4"/>
  <c r="F1896" i="4" s="1"/>
  <c r="D1897" i="4"/>
  <c r="F1897" i="4" s="1"/>
  <c r="D1898" i="4"/>
  <c r="D1899" i="4"/>
  <c r="F1899" i="4" s="1"/>
  <c r="D1900" i="4"/>
  <c r="F1900" i="4" s="1"/>
  <c r="D1901" i="4"/>
  <c r="F1901" i="4" s="1"/>
  <c r="D1902" i="4"/>
  <c r="F1902" i="4" s="1"/>
  <c r="D1903" i="4"/>
  <c r="F1903" i="4" s="1"/>
  <c r="D1904" i="4"/>
  <c r="F1904" i="4" s="1"/>
  <c r="D1905" i="4"/>
  <c r="F1905" i="4" s="1"/>
  <c r="D1906" i="4"/>
  <c r="F1906" i="4" s="1"/>
  <c r="D1907" i="4"/>
  <c r="F1907" i="4" s="1"/>
  <c r="D1908" i="4"/>
  <c r="F1908" i="4" s="1"/>
  <c r="D1909" i="4"/>
  <c r="F1909" i="4" s="1"/>
  <c r="D1910" i="4"/>
  <c r="F1910" i="4" s="1"/>
  <c r="D1911" i="4"/>
  <c r="F1911" i="4" s="1"/>
  <c r="D1912" i="4"/>
  <c r="F1912" i="4" s="1"/>
  <c r="D1913" i="4"/>
  <c r="F1913" i="4" s="1"/>
  <c r="D1914" i="4"/>
  <c r="F1914" i="4" s="1"/>
  <c r="D1915" i="4"/>
  <c r="F1915" i="4" s="1"/>
  <c r="D1916" i="4"/>
  <c r="F1916" i="4" s="1"/>
  <c r="D1917" i="4"/>
  <c r="F1917" i="4" s="1"/>
  <c r="D1918" i="4"/>
  <c r="F1918" i="4" s="1"/>
  <c r="D1919" i="4"/>
  <c r="F1919" i="4" s="1"/>
  <c r="D1920" i="4"/>
  <c r="F1920" i="4" s="1"/>
  <c r="D1921" i="4"/>
  <c r="F1921" i="4" s="1"/>
  <c r="D1922" i="4"/>
  <c r="D1923" i="4"/>
  <c r="F1923" i="4" s="1"/>
  <c r="D1924" i="4"/>
  <c r="F1924" i="4" s="1"/>
  <c r="D1925" i="4"/>
  <c r="F1925" i="4" s="1"/>
  <c r="D1926" i="4"/>
  <c r="F1926" i="4" s="1"/>
  <c r="D1927" i="4"/>
  <c r="F1927" i="4" s="1"/>
  <c r="D1928" i="4"/>
  <c r="F1928" i="4" s="1"/>
  <c r="D1929" i="4"/>
  <c r="F1929" i="4" s="1"/>
  <c r="D1930" i="4"/>
  <c r="F1930" i="4" s="1"/>
  <c r="D1931" i="4"/>
  <c r="F1931" i="4" s="1"/>
  <c r="D1932" i="4"/>
  <c r="F1932" i="4" s="1"/>
  <c r="D1933" i="4"/>
  <c r="F1933" i="4" s="1"/>
  <c r="D1934" i="4"/>
  <c r="F1934" i="4" s="1"/>
  <c r="D1935" i="4"/>
  <c r="F1935" i="4" s="1"/>
  <c r="D1936" i="4"/>
  <c r="F1936" i="4" s="1"/>
  <c r="D1937" i="4"/>
  <c r="F1937" i="4" s="1"/>
  <c r="D1938" i="4"/>
  <c r="F1938" i="4" s="1"/>
  <c r="D1939" i="4"/>
  <c r="F1939" i="4" s="1"/>
  <c r="D1940" i="4"/>
  <c r="F1940" i="4" s="1"/>
  <c r="D1941" i="4"/>
  <c r="F1941" i="4" s="1"/>
  <c r="D1942" i="4"/>
  <c r="F1942" i="4" s="1"/>
  <c r="D1943" i="4"/>
  <c r="F1943" i="4" s="1"/>
  <c r="D1944" i="4"/>
  <c r="F1944" i="4" s="1"/>
  <c r="D1945" i="4"/>
  <c r="F1945" i="4" s="1"/>
  <c r="D1946" i="4"/>
  <c r="D1947" i="4"/>
  <c r="F1947" i="4" s="1"/>
  <c r="D1948" i="4"/>
  <c r="F1948" i="4" s="1"/>
  <c r="D1949" i="4"/>
  <c r="F1949" i="4" s="1"/>
  <c r="D1950" i="4"/>
  <c r="F1950" i="4" s="1"/>
  <c r="D1951" i="4"/>
  <c r="F1951" i="4" s="1"/>
  <c r="D1952" i="4"/>
  <c r="F1952" i="4" s="1"/>
  <c r="D1953" i="4"/>
  <c r="F1953" i="4" s="1"/>
  <c r="D1954" i="4"/>
  <c r="F1954" i="4" s="1"/>
  <c r="D1955" i="4"/>
  <c r="F1955" i="4" s="1"/>
  <c r="D1956" i="4"/>
  <c r="F1956" i="4" s="1"/>
  <c r="D1957" i="4"/>
  <c r="F1957" i="4" s="1"/>
  <c r="D1958" i="4"/>
  <c r="F1958" i="4" s="1"/>
  <c r="D1959" i="4"/>
  <c r="F1959" i="4" s="1"/>
  <c r="D1960" i="4"/>
  <c r="F1960" i="4" s="1"/>
  <c r="D1961" i="4"/>
  <c r="F1961" i="4" s="1"/>
  <c r="D1962" i="4"/>
  <c r="F1962" i="4" s="1"/>
  <c r="D1963" i="4"/>
  <c r="F1963" i="4" s="1"/>
  <c r="D1964" i="4"/>
  <c r="F1964" i="4" s="1"/>
  <c r="D1965" i="4"/>
  <c r="F1965" i="4" s="1"/>
  <c r="D1966" i="4"/>
  <c r="F1966" i="4" s="1"/>
  <c r="D1967" i="4"/>
  <c r="F1967" i="4" s="1"/>
  <c r="D1968" i="4"/>
  <c r="F1968" i="4" s="1"/>
  <c r="D1969" i="4"/>
  <c r="F1969" i="4" s="1"/>
  <c r="D1970" i="4"/>
  <c r="D1971" i="4"/>
  <c r="F1971" i="4" s="1"/>
  <c r="D1972" i="4"/>
  <c r="F1972" i="4" s="1"/>
  <c r="D1973" i="4"/>
  <c r="F1973" i="4" s="1"/>
  <c r="D1974" i="4"/>
  <c r="F1974" i="4" s="1"/>
  <c r="D1975" i="4"/>
  <c r="F1975" i="4" s="1"/>
  <c r="D1976" i="4"/>
  <c r="F1976" i="4" s="1"/>
  <c r="D1977" i="4"/>
  <c r="F1977" i="4" s="1"/>
  <c r="D1978" i="4"/>
  <c r="F1978" i="4" s="1"/>
  <c r="D1979" i="4"/>
  <c r="F1979" i="4" s="1"/>
  <c r="D1980" i="4"/>
  <c r="F1980" i="4" s="1"/>
  <c r="D1981" i="4"/>
  <c r="F1981" i="4" s="1"/>
  <c r="D1982" i="4"/>
  <c r="F1982" i="4" s="1"/>
  <c r="D1983" i="4"/>
  <c r="F1983" i="4" s="1"/>
  <c r="D1984" i="4"/>
  <c r="F1984" i="4" s="1"/>
  <c r="D1985" i="4"/>
  <c r="F1985" i="4" s="1"/>
  <c r="D1986" i="4"/>
  <c r="F1986" i="4" s="1"/>
  <c r="D1987" i="4"/>
  <c r="F1987" i="4" s="1"/>
  <c r="D1988" i="4"/>
  <c r="F1988" i="4" s="1"/>
  <c r="D1989" i="4"/>
  <c r="F1989" i="4" s="1"/>
  <c r="D1990" i="4"/>
  <c r="F1990" i="4" s="1"/>
  <c r="D1991" i="4"/>
  <c r="F1991" i="4" s="1"/>
  <c r="D1992" i="4"/>
  <c r="F1992" i="4" s="1"/>
  <c r="D1993" i="4"/>
  <c r="F1993" i="4" s="1"/>
  <c r="D1994" i="4"/>
  <c r="D1995" i="4"/>
  <c r="F1995" i="4" s="1"/>
  <c r="D1996" i="4"/>
  <c r="F1996" i="4" s="1"/>
  <c r="D1997" i="4"/>
  <c r="F1997" i="4" s="1"/>
  <c r="D1998" i="4"/>
  <c r="F1998" i="4" s="1"/>
  <c r="D1999" i="4"/>
  <c r="F1999" i="4" s="1"/>
  <c r="D2000" i="4"/>
  <c r="F2000" i="4" s="1"/>
  <c r="D2001" i="4"/>
  <c r="F2001" i="4" s="1"/>
  <c r="D2002" i="4"/>
  <c r="F2002" i="4" s="1"/>
  <c r="D2003" i="4"/>
  <c r="F2003" i="4" s="1"/>
  <c r="D2004" i="4"/>
  <c r="F2004" i="4" s="1"/>
  <c r="D2005" i="4"/>
  <c r="F2005" i="4" s="1"/>
  <c r="D2006" i="4"/>
  <c r="F2006" i="4" s="1"/>
  <c r="D2007" i="4"/>
  <c r="F2007" i="4" s="1"/>
  <c r="D2008" i="4"/>
  <c r="F2008" i="4" s="1"/>
  <c r="D2009" i="4"/>
  <c r="F2009" i="4" s="1"/>
  <c r="D2010" i="4"/>
  <c r="F2010" i="4" s="1"/>
  <c r="D2011" i="4"/>
  <c r="F2011" i="4" s="1"/>
  <c r="D2012" i="4"/>
  <c r="F2012" i="4" s="1"/>
  <c r="D2013" i="4"/>
  <c r="F2013" i="4" s="1"/>
  <c r="D2014" i="4"/>
  <c r="F2014" i="4" s="1"/>
  <c r="D2015" i="4"/>
  <c r="F2015" i="4" s="1"/>
  <c r="D2016" i="4"/>
  <c r="F2016" i="4" s="1"/>
  <c r="D2017" i="4"/>
  <c r="F2017" i="4" s="1"/>
  <c r="D2018" i="4"/>
  <c r="D2019" i="4"/>
  <c r="F2019" i="4" s="1"/>
  <c r="D2020" i="4"/>
  <c r="F2020" i="4" s="1"/>
  <c r="D2021" i="4"/>
  <c r="F2021" i="4" s="1"/>
  <c r="D2022" i="4"/>
  <c r="F2022" i="4" s="1"/>
  <c r="D2023" i="4"/>
  <c r="F2023" i="4" s="1"/>
  <c r="D2024" i="4"/>
  <c r="F2024" i="4" s="1"/>
  <c r="D2025" i="4"/>
  <c r="F2025" i="4" s="1"/>
  <c r="D2026" i="4"/>
  <c r="F2026" i="4" s="1"/>
  <c r="D2027" i="4"/>
  <c r="F2027" i="4" s="1"/>
  <c r="D2028" i="4"/>
  <c r="F2028" i="4" s="1"/>
  <c r="D2029" i="4"/>
  <c r="F2029" i="4" s="1"/>
  <c r="D2030" i="4"/>
  <c r="F2030" i="4" s="1"/>
  <c r="D2031" i="4"/>
  <c r="F2031" i="4" s="1"/>
  <c r="D2032" i="4"/>
  <c r="F2032" i="4" s="1"/>
  <c r="D2033" i="4"/>
  <c r="F2033" i="4" s="1"/>
  <c r="D2034" i="4"/>
  <c r="F2034" i="4" s="1"/>
  <c r="D2035" i="4"/>
  <c r="F2035" i="4" s="1"/>
  <c r="D2036" i="4"/>
  <c r="F2036" i="4" s="1"/>
  <c r="D2037" i="4"/>
  <c r="F2037" i="4" s="1"/>
  <c r="D2038" i="4"/>
  <c r="F2038" i="4" s="1"/>
  <c r="D2039" i="4"/>
  <c r="F2039" i="4" s="1"/>
  <c r="D2040" i="4"/>
  <c r="F2040" i="4" s="1"/>
  <c r="D2041" i="4"/>
  <c r="F2041" i="4" s="1"/>
  <c r="D2042" i="4"/>
  <c r="D2043" i="4"/>
  <c r="F2043" i="4" s="1"/>
  <c r="D2044" i="4"/>
  <c r="F2044" i="4" s="1"/>
  <c r="D2045" i="4"/>
  <c r="F2045" i="4" s="1"/>
  <c r="D2046" i="4"/>
  <c r="F2046" i="4" s="1"/>
  <c r="D2047" i="4"/>
  <c r="F2047" i="4" s="1"/>
  <c r="D2048" i="4"/>
  <c r="F2048" i="4" s="1"/>
  <c r="D2049" i="4"/>
  <c r="F2049" i="4" s="1"/>
  <c r="D2050" i="4"/>
  <c r="F2050" i="4" s="1"/>
  <c r="D2051" i="4"/>
  <c r="F2051" i="4" s="1"/>
  <c r="D2052" i="4"/>
  <c r="F2052" i="4" s="1"/>
  <c r="D2053" i="4"/>
  <c r="F2053" i="4" s="1"/>
  <c r="D2054" i="4"/>
  <c r="F2054" i="4" s="1"/>
  <c r="D2055" i="4"/>
  <c r="F2055" i="4" s="1"/>
  <c r="D2056" i="4"/>
  <c r="F2056" i="4" s="1"/>
  <c r="D2057" i="4"/>
  <c r="F2057" i="4" s="1"/>
  <c r="D2058" i="4"/>
  <c r="F2058" i="4" s="1"/>
  <c r="D2059" i="4"/>
  <c r="F2059" i="4" s="1"/>
  <c r="D2060" i="4"/>
  <c r="F2060" i="4" s="1"/>
  <c r="D2061" i="4"/>
  <c r="F2061" i="4" s="1"/>
  <c r="D2062" i="4"/>
  <c r="F2062" i="4" s="1"/>
  <c r="D2063" i="4"/>
  <c r="F2063" i="4" s="1"/>
  <c r="D2064" i="4"/>
  <c r="F2064" i="4" s="1"/>
  <c r="D2065" i="4"/>
  <c r="F2065" i="4" s="1"/>
  <c r="D2066" i="4"/>
  <c r="D2067" i="4"/>
  <c r="F2067" i="4" s="1"/>
  <c r="D2068" i="4"/>
  <c r="F2068" i="4" s="1"/>
  <c r="D2069" i="4"/>
  <c r="F2069" i="4" s="1"/>
  <c r="D2070" i="4"/>
  <c r="F2070" i="4" s="1"/>
  <c r="D2071" i="4"/>
  <c r="F2071" i="4" s="1"/>
  <c r="D2072" i="4"/>
  <c r="F2072" i="4" s="1"/>
  <c r="D2073" i="4"/>
  <c r="F2073" i="4" s="1"/>
  <c r="D2074" i="4"/>
  <c r="F2074" i="4" s="1"/>
  <c r="D2075" i="4"/>
  <c r="F2075" i="4" s="1"/>
  <c r="D2076" i="4"/>
  <c r="F2076" i="4" s="1"/>
  <c r="D2077" i="4"/>
  <c r="F2077" i="4" s="1"/>
  <c r="D2078" i="4"/>
  <c r="F2078" i="4" s="1"/>
  <c r="D2079" i="4"/>
  <c r="F2079" i="4" s="1"/>
  <c r="D2080" i="4"/>
  <c r="F2080" i="4" s="1"/>
  <c r="D2081" i="4"/>
  <c r="F2081" i="4" s="1"/>
  <c r="D2082" i="4"/>
  <c r="F2082" i="4" s="1"/>
  <c r="D2083" i="4"/>
  <c r="F2083" i="4" s="1"/>
  <c r="D2084" i="4"/>
  <c r="F2084" i="4" s="1"/>
  <c r="D2085" i="4"/>
  <c r="F2085" i="4" s="1"/>
  <c r="D2086" i="4"/>
  <c r="F2086" i="4" s="1"/>
  <c r="D2087" i="4"/>
  <c r="F2087" i="4" s="1"/>
  <c r="D2088" i="4"/>
  <c r="F2088" i="4" s="1"/>
  <c r="D2089" i="4"/>
  <c r="F2089" i="4" s="1"/>
  <c r="D2090" i="4"/>
  <c r="D2091" i="4"/>
  <c r="F2091" i="4" s="1"/>
  <c r="D2092" i="4"/>
  <c r="F2092" i="4" s="1"/>
  <c r="D2093" i="4"/>
  <c r="F2093" i="4" s="1"/>
  <c r="D2094" i="4"/>
  <c r="F2094" i="4" s="1"/>
  <c r="D2095" i="4"/>
  <c r="F2095" i="4" s="1"/>
  <c r="D2096" i="4"/>
  <c r="F2096" i="4" s="1"/>
  <c r="D2097" i="4"/>
  <c r="F2097" i="4" s="1"/>
  <c r="D2098" i="4"/>
  <c r="F2098" i="4" s="1"/>
  <c r="D2099" i="4"/>
  <c r="F2099" i="4" s="1"/>
  <c r="D2100" i="4"/>
  <c r="F2100" i="4" s="1"/>
  <c r="D2101" i="4"/>
  <c r="F2101" i="4" s="1"/>
  <c r="D2102" i="4"/>
  <c r="F2102" i="4" s="1"/>
  <c r="D2103" i="4"/>
  <c r="F2103" i="4" s="1"/>
  <c r="D2104" i="4"/>
  <c r="F2104" i="4" s="1"/>
  <c r="D2105" i="4"/>
  <c r="F2105" i="4" s="1"/>
  <c r="D2106" i="4"/>
  <c r="F2106" i="4" s="1"/>
  <c r="D2107" i="4"/>
  <c r="F2107" i="4" s="1"/>
  <c r="D2108" i="4"/>
  <c r="F2108" i="4" s="1"/>
  <c r="D2109" i="4"/>
  <c r="F2109" i="4" s="1"/>
  <c r="D2110" i="4"/>
  <c r="F2110" i="4" s="1"/>
  <c r="D2111" i="4"/>
  <c r="F2111" i="4" s="1"/>
  <c r="D2112" i="4"/>
  <c r="F2112" i="4" s="1"/>
  <c r="D2113" i="4"/>
  <c r="F2113" i="4" s="1"/>
  <c r="D2114" i="4"/>
  <c r="D2115" i="4"/>
  <c r="F2115" i="4" s="1"/>
  <c r="D2116" i="4"/>
  <c r="F2116" i="4" s="1"/>
  <c r="D2117" i="4"/>
  <c r="F2117" i="4" s="1"/>
  <c r="D2118" i="4"/>
  <c r="F2118" i="4" s="1"/>
  <c r="D2119" i="4"/>
  <c r="F2119" i="4" s="1"/>
  <c r="D2120" i="4"/>
  <c r="F2120" i="4" s="1"/>
  <c r="D2121" i="4"/>
  <c r="F2121" i="4" s="1"/>
  <c r="D2122" i="4"/>
  <c r="F2122" i="4" s="1"/>
  <c r="D2123" i="4"/>
  <c r="F2123" i="4" s="1"/>
  <c r="D2124" i="4"/>
  <c r="F2124" i="4" s="1"/>
  <c r="D2125" i="4"/>
  <c r="F2125" i="4" s="1"/>
  <c r="D2126" i="4"/>
  <c r="F2126" i="4" s="1"/>
  <c r="D2127" i="4"/>
  <c r="F2127" i="4" s="1"/>
  <c r="D2128" i="4"/>
  <c r="F2128" i="4" s="1"/>
  <c r="D2129" i="4"/>
  <c r="F2129" i="4" s="1"/>
  <c r="D2130" i="4"/>
  <c r="F2130" i="4" s="1"/>
  <c r="D2131" i="4"/>
  <c r="F2131" i="4" s="1"/>
  <c r="D2132" i="4"/>
  <c r="F2132" i="4" s="1"/>
  <c r="D2133" i="4"/>
  <c r="F2133" i="4" s="1"/>
  <c r="D2134" i="4"/>
  <c r="F2134" i="4" s="1"/>
  <c r="D2135" i="4"/>
  <c r="F2135" i="4" s="1"/>
  <c r="D2136" i="4"/>
  <c r="F2136" i="4" s="1"/>
  <c r="D2137" i="4"/>
  <c r="F2137" i="4" s="1"/>
  <c r="D2138" i="4"/>
  <c r="D2139" i="4"/>
  <c r="F2139" i="4" s="1"/>
  <c r="D2140" i="4"/>
  <c r="F2140" i="4" s="1"/>
  <c r="D2141" i="4"/>
  <c r="F2141" i="4" s="1"/>
  <c r="D2142" i="4"/>
  <c r="F2142" i="4" s="1"/>
  <c r="D2143" i="4"/>
  <c r="F2143" i="4" s="1"/>
  <c r="D2144" i="4"/>
  <c r="F2144" i="4" s="1"/>
  <c r="D2145" i="4"/>
  <c r="F2145" i="4" s="1"/>
  <c r="D2146" i="4"/>
  <c r="F2146" i="4" s="1"/>
  <c r="D2147" i="4"/>
  <c r="F2147" i="4" s="1"/>
  <c r="D2148" i="4"/>
  <c r="F2148" i="4" s="1"/>
  <c r="D2149" i="4"/>
  <c r="F2149" i="4" s="1"/>
  <c r="D2150" i="4"/>
  <c r="F2150" i="4" s="1"/>
  <c r="D2151" i="4"/>
  <c r="F2151" i="4" s="1"/>
  <c r="D2152" i="4"/>
  <c r="F2152" i="4" s="1"/>
  <c r="D2153" i="4"/>
  <c r="F2153" i="4" s="1"/>
  <c r="D2154" i="4"/>
  <c r="F2154" i="4" s="1"/>
  <c r="D2155" i="4"/>
  <c r="F2155" i="4" s="1"/>
  <c r="D2156" i="4"/>
  <c r="F2156" i="4" s="1"/>
  <c r="D2157" i="4"/>
  <c r="F2157" i="4" s="1"/>
  <c r="D2158" i="4"/>
  <c r="F2158" i="4" s="1"/>
  <c r="D2159" i="4"/>
  <c r="F2159" i="4" s="1"/>
  <c r="D2160" i="4"/>
  <c r="F2160" i="4" s="1"/>
  <c r="D2161" i="4"/>
  <c r="F2161" i="4" s="1"/>
  <c r="D2162" i="4"/>
  <c r="D2163" i="4"/>
  <c r="F2163" i="4" s="1"/>
  <c r="D2164" i="4"/>
  <c r="F2164" i="4" s="1"/>
  <c r="D2165" i="4"/>
  <c r="F2165" i="4" s="1"/>
  <c r="D2166" i="4"/>
  <c r="F2166" i="4" s="1"/>
  <c r="D2167" i="4"/>
  <c r="F2167" i="4" s="1"/>
  <c r="D2168" i="4"/>
  <c r="F2168" i="4" s="1"/>
  <c r="D2169" i="4"/>
  <c r="F2169" i="4" s="1"/>
  <c r="D2170" i="4"/>
  <c r="F2170" i="4" s="1"/>
  <c r="D2171" i="4"/>
  <c r="F2171" i="4" s="1"/>
  <c r="D2172" i="4"/>
  <c r="F2172" i="4" s="1"/>
  <c r="D2173" i="4"/>
  <c r="F2173" i="4" s="1"/>
  <c r="D2174" i="4"/>
  <c r="F2174" i="4" s="1"/>
  <c r="D2175" i="4"/>
  <c r="F2175" i="4" s="1"/>
  <c r="D2176" i="4"/>
  <c r="F2176" i="4" s="1"/>
  <c r="D2177" i="4"/>
  <c r="F2177" i="4" s="1"/>
  <c r="D2178" i="4"/>
  <c r="F2178" i="4" s="1"/>
  <c r="D2179" i="4"/>
  <c r="F2179" i="4" s="1"/>
  <c r="D2180" i="4"/>
  <c r="F2180" i="4" s="1"/>
  <c r="D2181" i="4"/>
  <c r="F2181" i="4" s="1"/>
  <c r="D2182" i="4"/>
  <c r="F2182" i="4" s="1"/>
  <c r="D2183" i="4"/>
  <c r="F2183" i="4" s="1"/>
  <c r="D2184" i="4"/>
  <c r="F2184" i="4" s="1"/>
  <c r="D2185" i="4"/>
  <c r="F2185" i="4" s="1"/>
  <c r="D2186" i="4"/>
  <c r="D2187" i="4"/>
  <c r="F2187" i="4" s="1"/>
  <c r="D2188" i="4"/>
  <c r="F2188" i="4" s="1"/>
  <c r="D2189" i="4"/>
  <c r="F2189" i="4" s="1"/>
  <c r="D2190" i="4"/>
  <c r="F2190" i="4" s="1"/>
  <c r="D2191" i="4"/>
  <c r="F2191" i="4" s="1"/>
  <c r="D2192" i="4"/>
  <c r="F2192" i="4" s="1"/>
  <c r="D2193" i="4"/>
  <c r="F2193" i="4" s="1"/>
  <c r="D2194" i="4"/>
  <c r="F2194" i="4" s="1"/>
  <c r="D2195" i="4"/>
  <c r="F2195" i="4" s="1"/>
  <c r="D2196" i="4"/>
  <c r="F2196" i="4" s="1"/>
  <c r="D2197" i="4"/>
  <c r="F2197" i="4" s="1"/>
  <c r="D2198" i="4"/>
  <c r="F2198" i="4" s="1"/>
  <c r="D2199" i="4"/>
  <c r="F2199" i="4" s="1"/>
  <c r="D2200" i="4"/>
  <c r="F2200" i="4" s="1"/>
  <c r="D2201" i="4"/>
  <c r="F2201" i="4" s="1"/>
  <c r="D2202" i="4"/>
  <c r="F2202" i="4" s="1"/>
  <c r="D2203" i="4"/>
  <c r="F2203" i="4" s="1"/>
  <c r="D2204" i="4"/>
  <c r="F2204" i="4" s="1"/>
  <c r="D2205" i="4"/>
  <c r="F2205" i="4" s="1"/>
  <c r="D2206" i="4"/>
  <c r="F2206" i="4" s="1"/>
  <c r="D2207" i="4"/>
  <c r="F2207" i="4" s="1"/>
  <c r="D2208" i="4"/>
  <c r="F2208" i="4" s="1"/>
  <c r="D2209" i="4"/>
  <c r="F2209" i="4" s="1"/>
  <c r="D2" i="4"/>
  <c r="Q6" i="3"/>
  <c r="T6" i="3" s="1"/>
  <c r="Q7" i="3"/>
  <c r="T7" i="3" s="1"/>
  <c r="P8" i="3"/>
  <c r="S8" i="3" s="1"/>
  <c r="P9" i="3"/>
  <c r="S9" i="3" s="1"/>
  <c r="O11" i="3"/>
  <c r="R11" i="3" s="1"/>
  <c r="O12" i="3"/>
  <c r="Q14" i="3"/>
  <c r="T14" i="3" s="1"/>
  <c r="Q15" i="3"/>
  <c r="T15" i="3" s="1"/>
  <c r="P16" i="3"/>
  <c r="S16" i="3" s="1"/>
  <c r="P17" i="3"/>
  <c r="S17" i="3" s="1"/>
  <c r="O19" i="3"/>
  <c r="R19" i="3" s="1"/>
  <c r="O20" i="3"/>
  <c r="Q22" i="3"/>
  <c r="T22" i="3" s="1"/>
  <c r="Q23" i="3"/>
  <c r="T23" i="3" s="1"/>
  <c r="P24" i="3"/>
  <c r="S24" i="3" s="1"/>
  <c r="P25" i="3"/>
  <c r="S25" i="3" s="1"/>
  <c r="Q26" i="3"/>
  <c r="T26" i="3" s="1"/>
  <c r="O27" i="3"/>
  <c r="R27" i="3" s="1"/>
  <c r="O28" i="3"/>
  <c r="P5" i="3"/>
  <c r="S5" i="3" s="1"/>
  <c r="O5" i="3"/>
  <c r="R5" i="3" s="1"/>
  <c r="N6" i="3"/>
  <c r="N7" i="3"/>
  <c r="M8" i="3"/>
  <c r="M9" i="3"/>
  <c r="N10" i="3"/>
  <c r="L11" i="3"/>
  <c r="L13" i="3"/>
  <c r="M13" i="3"/>
  <c r="N14" i="3"/>
  <c r="N15" i="3"/>
  <c r="M16" i="3"/>
  <c r="M17" i="3"/>
  <c r="N18" i="3"/>
  <c r="L19" i="3"/>
  <c r="L21" i="3"/>
  <c r="M21" i="3"/>
  <c r="N22" i="3"/>
  <c r="N23" i="3"/>
  <c r="M24" i="3"/>
  <c r="M25" i="3"/>
  <c r="N26" i="3"/>
  <c r="L27" i="3"/>
  <c r="M5" i="3"/>
  <c r="L5" i="3"/>
  <c r="H6" i="3"/>
  <c r="H7" i="3"/>
  <c r="H8" i="3"/>
  <c r="Q8" i="3" s="1"/>
  <c r="T8" i="3" s="1"/>
  <c r="H9" i="3"/>
  <c r="Q9" i="3" s="1"/>
  <c r="T9" i="3" s="1"/>
  <c r="H10" i="3"/>
  <c r="Q10" i="3" s="1"/>
  <c r="T10" i="3" s="1"/>
  <c r="H11" i="3"/>
  <c r="Q11" i="3" s="1"/>
  <c r="T11" i="3" s="1"/>
  <c r="H12" i="3"/>
  <c r="Q12" i="3" s="1"/>
  <c r="T12" i="3" s="1"/>
  <c r="H13" i="3"/>
  <c r="Q13" i="3" s="1"/>
  <c r="T13" i="3" s="1"/>
  <c r="H14" i="3"/>
  <c r="H15" i="3"/>
  <c r="H16" i="3"/>
  <c r="Q16" i="3" s="1"/>
  <c r="T16" i="3" s="1"/>
  <c r="H17" i="3"/>
  <c r="Q17" i="3" s="1"/>
  <c r="T17" i="3" s="1"/>
  <c r="H18" i="3"/>
  <c r="Q18" i="3" s="1"/>
  <c r="T18" i="3" s="1"/>
  <c r="H19" i="3"/>
  <c r="Q19" i="3" s="1"/>
  <c r="T19" i="3" s="1"/>
  <c r="H20" i="3"/>
  <c r="Q20" i="3" s="1"/>
  <c r="T20" i="3" s="1"/>
  <c r="H21" i="3"/>
  <c r="Q21" i="3" s="1"/>
  <c r="T21" i="3" s="1"/>
  <c r="H22" i="3"/>
  <c r="H23" i="3"/>
  <c r="H24" i="3"/>
  <c r="Q24" i="3" s="1"/>
  <c r="T24" i="3" s="1"/>
  <c r="H25" i="3"/>
  <c r="Q25" i="3" s="1"/>
  <c r="T25" i="3" s="1"/>
  <c r="H26" i="3"/>
  <c r="H27" i="3"/>
  <c r="Q27" i="3" s="1"/>
  <c r="T27" i="3" s="1"/>
  <c r="H28" i="3"/>
  <c r="Q28" i="3" s="1"/>
  <c r="T28" i="3" s="1"/>
  <c r="H5" i="3"/>
  <c r="Q5" i="3" s="1"/>
  <c r="T5" i="3" s="1"/>
  <c r="H4" i="3"/>
  <c r="G6" i="3"/>
  <c r="P6" i="3" s="1"/>
  <c r="S6" i="3" s="1"/>
  <c r="G7" i="3"/>
  <c r="P7" i="3" s="1"/>
  <c r="S7" i="3" s="1"/>
  <c r="G8" i="3"/>
  <c r="G9" i="3"/>
  <c r="G10" i="3"/>
  <c r="P10" i="3" s="1"/>
  <c r="S10" i="3" s="1"/>
  <c r="G11" i="3"/>
  <c r="P11" i="3" s="1"/>
  <c r="S11" i="3" s="1"/>
  <c r="G12" i="3"/>
  <c r="P12" i="3" s="1"/>
  <c r="S12" i="3" s="1"/>
  <c r="G13" i="3"/>
  <c r="P13" i="3" s="1"/>
  <c r="S13" i="3" s="1"/>
  <c r="G14" i="3"/>
  <c r="P14" i="3" s="1"/>
  <c r="S14" i="3" s="1"/>
  <c r="G15" i="3"/>
  <c r="P15" i="3" s="1"/>
  <c r="S15" i="3" s="1"/>
  <c r="G16" i="3"/>
  <c r="G17" i="3"/>
  <c r="G18" i="3"/>
  <c r="P18" i="3" s="1"/>
  <c r="S18" i="3" s="1"/>
  <c r="G19" i="3"/>
  <c r="P19" i="3" s="1"/>
  <c r="S19" i="3" s="1"/>
  <c r="G20" i="3"/>
  <c r="P20" i="3" s="1"/>
  <c r="S20" i="3" s="1"/>
  <c r="G21" i="3"/>
  <c r="P21" i="3" s="1"/>
  <c r="S21" i="3" s="1"/>
  <c r="G22" i="3"/>
  <c r="P22" i="3" s="1"/>
  <c r="S22" i="3" s="1"/>
  <c r="G23" i="3"/>
  <c r="P23" i="3" s="1"/>
  <c r="S23" i="3" s="1"/>
  <c r="G24" i="3"/>
  <c r="G25" i="3"/>
  <c r="G26" i="3"/>
  <c r="P26" i="3" s="1"/>
  <c r="S26" i="3" s="1"/>
  <c r="G27" i="3"/>
  <c r="P27" i="3" s="1"/>
  <c r="S27" i="3" s="1"/>
  <c r="G28" i="3"/>
  <c r="P28" i="3" s="1"/>
  <c r="S28" i="3" s="1"/>
  <c r="G5" i="3"/>
  <c r="G4" i="3"/>
  <c r="F4" i="3"/>
  <c r="L28" i="3" s="1"/>
  <c r="F6" i="3"/>
  <c r="O6" i="3" s="1"/>
  <c r="R6" i="3" s="1"/>
  <c r="F7" i="3"/>
  <c r="O7" i="3" s="1"/>
  <c r="R7" i="3" s="1"/>
  <c r="F8" i="3"/>
  <c r="O8" i="3" s="1"/>
  <c r="R8" i="3" s="1"/>
  <c r="F9" i="3"/>
  <c r="O9" i="3" s="1"/>
  <c r="R9" i="3" s="1"/>
  <c r="F10" i="3"/>
  <c r="O10" i="3" s="1"/>
  <c r="R10" i="3" s="1"/>
  <c r="F11" i="3"/>
  <c r="F12" i="3"/>
  <c r="F13" i="3"/>
  <c r="O13" i="3" s="1"/>
  <c r="R13" i="3" s="1"/>
  <c r="F14" i="3"/>
  <c r="O14" i="3" s="1"/>
  <c r="R14" i="3" s="1"/>
  <c r="F15" i="3"/>
  <c r="O15" i="3" s="1"/>
  <c r="R15" i="3" s="1"/>
  <c r="F16" i="3"/>
  <c r="O16" i="3" s="1"/>
  <c r="R16" i="3" s="1"/>
  <c r="F17" i="3"/>
  <c r="O17" i="3" s="1"/>
  <c r="R17" i="3" s="1"/>
  <c r="F18" i="3"/>
  <c r="O18" i="3" s="1"/>
  <c r="R18" i="3" s="1"/>
  <c r="F19" i="3"/>
  <c r="F20" i="3"/>
  <c r="F21" i="3"/>
  <c r="O21" i="3" s="1"/>
  <c r="R21" i="3" s="1"/>
  <c r="F22" i="3"/>
  <c r="O22" i="3" s="1"/>
  <c r="R22" i="3" s="1"/>
  <c r="F23" i="3"/>
  <c r="O23" i="3" s="1"/>
  <c r="R23" i="3" s="1"/>
  <c r="F24" i="3"/>
  <c r="O24" i="3" s="1"/>
  <c r="R24" i="3" s="1"/>
  <c r="F25" i="3"/>
  <c r="O25" i="3" s="1"/>
  <c r="R25" i="3" s="1"/>
  <c r="F26" i="3"/>
  <c r="O26" i="3" s="1"/>
  <c r="R26" i="3" s="1"/>
  <c r="F27" i="3"/>
  <c r="F28" i="3"/>
  <c r="F5" i="3"/>
  <c r="H72" i="5" l="1"/>
  <c r="H63" i="5"/>
  <c r="H56" i="5"/>
  <c r="H21" i="5"/>
  <c r="H91" i="5"/>
  <c r="H71" i="5"/>
  <c r="H61" i="5"/>
  <c r="H29" i="5"/>
  <c r="N21" i="3"/>
  <c r="D83" i="5"/>
  <c r="E83" i="5"/>
  <c r="G83" i="5" s="1"/>
  <c r="F1946" i="4"/>
  <c r="E81" i="5"/>
  <c r="G81" i="5" s="1"/>
  <c r="D81" i="5"/>
  <c r="I81" i="5" s="1"/>
  <c r="J81" i="5" s="1"/>
  <c r="K81" i="5" s="1"/>
  <c r="F1898" i="4"/>
  <c r="E73" i="5"/>
  <c r="G73" i="5" s="1"/>
  <c r="D73" i="5"/>
  <c r="F1706" i="4"/>
  <c r="E65" i="5"/>
  <c r="G65" i="5" s="1"/>
  <c r="D65" i="5"/>
  <c r="F1514" i="4"/>
  <c r="D63" i="5"/>
  <c r="E63" i="5"/>
  <c r="G63" i="5" s="1"/>
  <c r="F1466" i="4"/>
  <c r="D61" i="5"/>
  <c r="E61" i="5"/>
  <c r="G61" i="5" s="1"/>
  <c r="F1418" i="4"/>
  <c r="E57" i="5"/>
  <c r="G57" i="5" s="1"/>
  <c r="D57" i="5"/>
  <c r="F1322" i="4"/>
  <c r="D53" i="5"/>
  <c r="E53" i="5"/>
  <c r="G53" i="5" s="1"/>
  <c r="F1226" i="4"/>
  <c r="D48" i="5"/>
  <c r="E48" i="5"/>
  <c r="G48" i="5" s="1"/>
  <c r="F1106" i="4"/>
  <c r="D44" i="5"/>
  <c r="E44" i="5"/>
  <c r="G44" i="5" s="1"/>
  <c r="F1010" i="4"/>
  <c r="D42" i="5"/>
  <c r="E42" i="5"/>
  <c r="G42" i="5" s="1"/>
  <c r="F962" i="4"/>
  <c r="D36" i="5"/>
  <c r="E36" i="5"/>
  <c r="G36" i="5" s="1"/>
  <c r="F818" i="4"/>
  <c r="H92" i="5"/>
  <c r="H86" i="5"/>
  <c r="M26" i="3"/>
  <c r="L20" i="3"/>
  <c r="L12" i="3"/>
  <c r="E89" i="5"/>
  <c r="G89" i="5" s="1"/>
  <c r="D89" i="5"/>
  <c r="F2090" i="4"/>
  <c r="D85" i="5"/>
  <c r="E85" i="5"/>
  <c r="G85" i="5" s="1"/>
  <c r="F1994" i="4"/>
  <c r="D77" i="5"/>
  <c r="E77" i="5"/>
  <c r="G77" i="5" s="1"/>
  <c r="F1802" i="4"/>
  <c r="D71" i="5"/>
  <c r="E71" i="5"/>
  <c r="G71" i="5" s="1"/>
  <c r="F1658" i="4"/>
  <c r="D69" i="5"/>
  <c r="E69" i="5"/>
  <c r="G69" i="5" s="1"/>
  <c r="F1610" i="4"/>
  <c r="D55" i="5"/>
  <c r="E55" i="5"/>
  <c r="G55" i="5" s="1"/>
  <c r="F1274" i="4"/>
  <c r="E49" i="5"/>
  <c r="G49" i="5" s="1"/>
  <c r="D49" i="5"/>
  <c r="F1130" i="4"/>
  <c r="E38" i="5"/>
  <c r="G38" i="5" s="1"/>
  <c r="F866" i="4"/>
  <c r="D38" i="5"/>
  <c r="D34" i="5"/>
  <c r="I34" i="5" s="1"/>
  <c r="E34" i="5"/>
  <c r="F770" i="4"/>
  <c r="H81" i="5"/>
  <c r="H52" i="5"/>
  <c r="R12" i="3"/>
  <c r="N27" i="3"/>
  <c r="L25" i="3"/>
  <c r="M22" i="3"/>
  <c r="N19" i="3"/>
  <c r="L17" i="3"/>
  <c r="M14" i="3"/>
  <c r="N11" i="3"/>
  <c r="L9" i="3"/>
  <c r="M6" i="3"/>
  <c r="R28" i="3"/>
  <c r="R20" i="3"/>
  <c r="M27" i="3"/>
  <c r="N24" i="3"/>
  <c r="L22" i="3"/>
  <c r="M19" i="3"/>
  <c r="N16" i="3"/>
  <c r="L14" i="3"/>
  <c r="M11" i="3"/>
  <c r="N8" i="3"/>
  <c r="L6" i="3"/>
  <c r="F2" i="4"/>
  <c r="D92" i="5"/>
  <c r="E92" i="5"/>
  <c r="G92" i="5" s="1"/>
  <c r="F2162" i="4"/>
  <c r="D88" i="5"/>
  <c r="E88" i="5"/>
  <c r="G88" i="5" s="1"/>
  <c r="F2066" i="4"/>
  <c r="D86" i="5"/>
  <c r="I86" i="5" s="1"/>
  <c r="J86" i="5" s="1"/>
  <c r="K86" i="5" s="1"/>
  <c r="F2018" i="4"/>
  <c r="E86" i="5"/>
  <c r="G86" i="5" s="1"/>
  <c r="D78" i="5"/>
  <c r="E78" i="5"/>
  <c r="G78" i="5" s="1"/>
  <c r="F1826" i="4"/>
  <c r="D76" i="5"/>
  <c r="E76" i="5"/>
  <c r="G76" i="5" s="1"/>
  <c r="F1778" i="4"/>
  <c r="D72" i="5"/>
  <c r="E72" i="5"/>
  <c r="G72" i="5" s="1"/>
  <c r="F1682" i="4"/>
  <c r="D66" i="5"/>
  <c r="E66" i="5"/>
  <c r="G66" i="5" s="1"/>
  <c r="F1538" i="4"/>
  <c r="D64" i="5"/>
  <c r="I64" i="5" s="1"/>
  <c r="E64" i="5"/>
  <c r="G64" i="5" s="1"/>
  <c r="F1490" i="4"/>
  <c r="D51" i="5"/>
  <c r="E51" i="5"/>
  <c r="G51" i="5" s="1"/>
  <c r="F1178" i="4"/>
  <c r="D32" i="5"/>
  <c r="E32" i="5"/>
  <c r="F722" i="4"/>
  <c r="F79" i="5"/>
  <c r="F14" i="5"/>
  <c r="F13" i="5"/>
  <c r="F12" i="5"/>
  <c r="F11" i="5"/>
  <c r="H11" i="5" s="1"/>
  <c r="F10" i="5"/>
  <c r="H10" i="5" s="1"/>
  <c r="F9" i="5"/>
  <c r="F8" i="5"/>
  <c r="F7" i="5"/>
  <c r="F6" i="5"/>
  <c r="F5" i="5"/>
  <c r="F4" i="5"/>
  <c r="F3" i="5"/>
  <c r="H3" i="5" s="1"/>
  <c r="H22" i="5"/>
  <c r="F20" i="5"/>
  <c r="F19" i="5"/>
  <c r="F18" i="5"/>
  <c r="F17" i="5"/>
  <c r="F16" i="5"/>
  <c r="N5" i="3"/>
  <c r="L24" i="3"/>
  <c r="L16" i="3"/>
  <c r="L8" i="3"/>
  <c r="N13" i="3"/>
  <c r="D84" i="5"/>
  <c r="E84" i="5"/>
  <c r="G84" i="5" s="1"/>
  <c r="F1970" i="4"/>
  <c r="D82" i="5"/>
  <c r="E82" i="5"/>
  <c r="G82" i="5" s="1"/>
  <c r="F1922" i="4"/>
  <c r="D74" i="5"/>
  <c r="E74" i="5"/>
  <c r="G74" i="5" s="1"/>
  <c r="F1730" i="4"/>
  <c r="D70" i="5"/>
  <c r="E70" i="5"/>
  <c r="G70" i="5" s="1"/>
  <c r="F1634" i="4"/>
  <c r="D60" i="5"/>
  <c r="E60" i="5"/>
  <c r="G60" i="5" s="1"/>
  <c r="F1394" i="4"/>
  <c r="D52" i="5"/>
  <c r="E52" i="5"/>
  <c r="G52" i="5" s="1"/>
  <c r="F1202" i="4"/>
  <c r="D50" i="5"/>
  <c r="E50" i="5"/>
  <c r="G50" i="5" s="1"/>
  <c r="F1154" i="4"/>
  <c r="D45" i="5"/>
  <c r="E45" i="5"/>
  <c r="G45" i="5" s="1"/>
  <c r="F1034" i="4"/>
  <c r="D43" i="5"/>
  <c r="F986" i="4"/>
  <c r="E43" i="5"/>
  <c r="G43" i="5" s="1"/>
  <c r="D39" i="5"/>
  <c r="E39" i="5"/>
  <c r="G39" i="5" s="1"/>
  <c r="F890" i="4"/>
  <c r="D35" i="5"/>
  <c r="E35" i="5"/>
  <c r="F794" i="4"/>
  <c r="D28" i="5"/>
  <c r="E28" i="5"/>
  <c r="F626" i="4"/>
  <c r="D27" i="5"/>
  <c r="E27" i="5"/>
  <c r="G27" i="5" s="1"/>
  <c r="F602" i="4"/>
  <c r="D26" i="5"/>
  <c r="E26" i="5"/>
  <c r="F578" i="4"/>
  <c r="D21" i="5"/>
  <c r="I21" i="5" s="1"/>
  <c r="J21" i="5" s="1"/>
  <c r="K21" i="5" s="1"/>
  <c r="E21" i="5"/>
  <c r="G21" i="5" s="1"/>
  <c r="F458" i="4"/>
  <c r="D19" i="5"/>
  <c r="I19" i="5" s="1"/>
  <c r="E19" i="5"/>
  <c r="G19" i="5" s="1"/>
  <c r="F410" i="4"/>
  <c r="D18" i="5"/>
  <c r="E18" i="5"/>
  <c r="G18" i="5" s="1"/>
  <c r="F386" i="4"/>
  <c r="E17" i="5"/>
  <c r="G17" i="5" s="1"/>
  <c r="D17" i="5"/>
  <c r="I17" i="5" s="1"/>
  <c r="F362" i="4"/>
  <c r="D15" i="5"/>
  <c r="E15" i="5"/>
  <c r="G15" i="5" s="1"/>
  <c r="F314" i="4"/>
  <c r="D8" i="5"/>
  <c r="E8" i="5"/>
  <c r="G8" i="5" s="1"/>
  <c r="F146" i="4"/>
  <c r="E6" i="5"/>
  <c r="G6" i="5" s="1"/>
  <c r="D6" i="5"/>
  <c r="F98" i="4"/>
  <c r="H84" i="5"/>
  <c r="H73" i="5"/>
  <c r="H38" i="5"/>
  <c r="F35" i="5"/>
  <c r="H35" i="5" s="1"/>
  <c r="F34" i="5"/>
  <c r="H34" i="5" s="1"/>
  <c r="F33" i="5"/>
  <c r="F32" i="5"/>
  <c r="H32" i="5" s="1"/>
  <c r="F31" i="5"/>
  <c r="F30" i="5"/>
  <c r="D91" i="5"/>
  <c r="E91" i="5"/>
  <c r="G91" i="5" s="1"/>
  <c r="F2138" i="4"/>
  <c r="D87" i="5"/>
  <c r="E87" i="5"/>
  <c r="G87" i="5" s="1"/>
  <c r="F2042" i="4"/>
  <c r="D79" i="5"/>
  <c r="E79" i="5"/>
  <c r="G79" i="5" s="1"/>
  <c r="F1850" i="4"/>
  <c r="E75" i="5"/>
  <c r="G75" i="5" s="1"/>
  <c r="D75" i="5"/>
  <c r="I75" i="5" s="1"/>
  <c r="F1754" i="4"/>
  <c r="E67" i="5"/>
  <c r="G67" i="5" s="1"/>
  <c r="D67" i="5"/>
  <c r="F1562" i="4"/>
  <c r="E59" i="5"/>
  <c r="G59" i="5" s="1"/>
  <c r="D59" i="5"/>
  <c r="F1370" i="4"/>
  <c r="D58" i="5"/>
  <c r="I58" i="5" s="1"/>
  <c r="E58" i="5"/>
  <c r="G58" i="5" s="1"/>
  <c r="F1346" i="4"/>
  <c r="D56" i="5"/>
  <c r="E56" i="5"/>
  <c r="G56" i="5" s="1"/>
  <c r="F1298" i="4"/>
  <c r="E41" i="5"/>
  <c r="G41" i="5" s="1"/>
  <c r="D41" i="5"/>
  <c r="F938" i="4"/>
  <c r="D40" i="5"/>
  <c r="E40" i="5"/>
  <c r="G40" i="5" s="1"/>
  <c r="F914" i="4"/>
  <c r="D37" i="5"/>
  <c r="E37" i="5"/>
  <c r="G37" i="5" s="1"/>
  <c r="F842" i="4"/>
  <c r="D31" i="5"/>
  <c r="E31" i="5"/>
  <c r="G31" i="5" s="1"/>
  <c r="F698" i="4"/>
  <c r="E30" i="5"/>
  <c r="G30" i="5" s="1"/>
  <c r="D30" i="5"/>
  <c r="F674" i="4"/>
  <c r="E22" i="5"/>
  <c r="G22" i="5" s="1"/>
  <c r="D22" i="5"/>
  <c r="I22" i="5" s="1"/>
  <c r="J22" i="5" s="1"/>
  <c r="K22" i="5" s="1"/>
  <c r="F482" i="4"/>
  <c r="D13" i="5"/>
  <c r="E13" i="5"/>
  <c r="G13" i="5" s="1"/>
  <c r="F266" i="4"/>
  <c r="D12" i="5"/>
  <c r="E12" i="5"/>
  <c r="G12" i="5" s="1"/>
  <c r="F242" i="4"/>
  <c r="D4" i="5"/>
  <c r="I4" i="5" s="1"/>
  <c r="E4" i="5"/>
  <c r="G4" i="5" s="1"/>
  <c r="F50" i="4"/>
  <c r="H89" i="5"/>
  <c r="H65" i="5"/>
  <c r="H42" i="5"/>
  <c r="F28" i="5"/>
  <c r="H28" i="5" s="1"/>
  <c r="F27" i="5"/>
  <c r="F26" i="5"/>
  <c r="H26" i="5" s="1"/>
  <c r="M10" i="3"/>
  <c r="N28" i="3"/>
  <c r="L26" i="3"/>
  <c r="M23" i="3"/>
  <c r="N20" i="3"/>
  <c r="L18" i="3"/>
  <c r="M15" i="3"/>
  <c r="N12" i="3"/>
  <c r="L10" i="3"/>
  <c r="M7" i="3"/>
  <c r="E93" i="5"/>
  <c r="G93" i="5" s="1"/>
  <c r="D93" i="5"/>
  <c r="F2186" i="4"/>
  <c r="D90" i="5"/>
  <c r="E90" i="5"/>
  <c r="G90" i="5" s="1"/>
  <c r="F2114" i="4"/>
  <c r="D80" i="5"/>
  <c r="E80" i="5"/>
  <c r="G80" i="5" s="1"/>
  <c r="F1874" i="4"/>
  <c r="D68" i="5"/>
  <c r="E68" i="5"/>
  <c r="G68" i="5" s="1"/>
  <c r="F1586" i="4"/>
  <c r="D62" i="5"/>
  <c r="E62" i="5"/>
  <c r="G62" i="5" s="1"/>
  <c r="F1442" i="4"/>
  <c r="D54" i="5"/>
  <c r="E54" i="5"/>
  <c r="G54" i="5" s="1"/>
  <c r="F1250" i="4"/>
  <c r="D47" i="5"/>
  <c r="E47" i="5"/>
  <c r="G47" i="5" s="1"/>
  <c r="F1082" i="4"/>
  <c r="E46" i="5"/>
  <c r="G46" i="5" s="1"/>
  <c r="D46" i="5"/>
  <c r="I46" i="5" s="1"/>
  <c r="F1058" i="4"/>
  <c r="E33" i="5"/>
  <c r="G33" i="5" s="1"/>
  <c r="D33" i="5"/>
  <c r="F746" i="4"/>
  <c r="D29" i="5"/>
  <c r="E29" i="5"/>
  <c r="G29" i="5" s="1"/>
  <c r="F650" i="4"/>
  <c r="E25" i="5"/>
  <c r="G25" i="5" s="1"/>
  <c r="D25" i="5"/>
  <c r="F554" i="4"/>
  <c r="D24" i="5"/>
  <c r="F530" i="4"/>
  <c r="E24" i="5"/>
  <c r="G24" i="5" s="1"/>
  <c r="D23" i="5"/>
  <c r="E23" i="5"/>
  <c r="G23" i="5" s="1"/>
  <c r="F506" i="4"/>
  <c r="D20" i="5"/>
  <c r="E20" i="5"/>
  <c r="G20" i="5" s="1"/>
  <c r="F434" i="4"/>
  <c r="D16" i="5"/>
  <c r="E16" i="5"/>
  <c r="G16" i="5" s="1"/>
  <c r="F338" i="4"/>
  <c r="E14" i="5"/>
  <c r="G14" i="5" s="1"/>
  <c r="D14" i="5"/>
  <c r="I14" i="5" s="1"/>
  <c r="F290" i="4"/>
  <c r="E11" i="5"/>
  <c r="D11" i="5"/>
  <c r="F218" i="4"/>
  <c r="D10" i="5"/>
  <c r="I10" i="5" s="1"/>
  <c r="E10" i="5"/>
  <c r="F194" i="4"/>
  <c r="E9" i="5"/>
  <c r="G9" i="5" s="1"/>
  <c r="D9" i="5"/>
  <c r="F170" i="4"/>
  <c r="D7" i="5"/>
  <c r="E7" i="5"/>
  <c r="G7" i="5" s="1"/>
  <c r="F122" i="4"/>
  <c r="D5" i="5"/>
  <c r="E5" i="5"/>
  <c r="G5" i="5" s="1"/>
  <c r="F74" i="4"/>
  <c r="D3" i="5"/>
  <c r="E3" i="5"/>
  <c r="F26" i="4"/>
  <c r="H78" i="5"/>
  <c r="H66" i="5"/>
  <c r="H50" i="5"/>
  <c r="H25" i="5"/>
  <c r="M18" i="3"/>
  <c r="M28" i="3"/>
  <c r="N25" i="3"/>
  <c r="L23" i="3"/>
  <c r="M20" i="3"/>
  <c r="N17" i="3"/>
  <c r="L15" i="3"/>
  <c r="M12" i="3"/>
  <c r="N9" i="3"/>
  <c r="L7" i="3"/>
  <c r="I92" i="5"/>
  <c r="I84" i="5"/>
  <c r="J84" i="5" s="1"/>
  <c r="K84" i="5" s="1"/>
  <c r="I76" i="5"/>
  <c r="I68" i="5"/>
  <c r="I60" i="5"/>
  <c r="I52" i="5"/>
  <c r="J52" i="5" s="1"/>
  <c r="K52" i="5" s="1"/>
  <c r="I44" i="5"/>
  <c r="I36" i="5"/>
  <c r="I28" i="5"/>
  <c r="I20" i="5"/>
  <c r="I12" i="5"/>
  <c r="I91" i="5"/>
  <c r="J91" i="5" s="1"/>
  <c r="K91" i="5" s="1"/>
  <c r="I83" i="5"/>
  <c r="I67" i="5"/>
  <c r="I51" i="5"/>
  <c r="I35" i="5"/>
  <c r="I11" i="5"/>
  <c r="I3" i="5"/>
  <c r="I90" i="5"/>
  <c r="I82" i="5"/>
  <c r="I74" i="5"/>
  <c r="I66" i="5"/>
  <c r="J66" i="5" s="1"/>
  <c r="K66" i="5" s="1"/>
  <c r="I50" i="5"/>
  <c r="I42" i="5"/>
  <c r="J42" i="5" s="1"/>
  <c r="K42" i="5" s="1"/>
  <c r="I26" i="5"/>
  <c r="I18" i="5"/>
  <c r="I89" i="5"/>
  <c r="I73" i="5"/>
  <c r="J73" i="5" s="1"/>
  <c r="K73" i="5" s="1"/>
  <c r="I65" i="5"/>
  <c r="J65" i="5" s="1"/>
  <c r="K65" i="5" s="1"/>
  <c r="I57" i="5"/>
  <c r="I49" i="5"/>
  <c r="I41" i="5"/>
  <c r="I33" i="5"/>
  <c r="I25" i="5"/>
  <c r="I9" i="5"/>
  <c r="I27" i="5"/>
  <c r="I88" i="5"/>
  <c r="I80" i="5"/>
  <c r="I72" i="5"/>
  <c r="J72" i="5" s="1"/>
  <c r="K72" i="5" s="1"/>
  <c r="I56" i="5"/>
  <c r="J56" i="5" s="1"/>
  <c r="K56" i="5" s="1"/>
  <c r="I48" i="5"/>
  <c r="I40" i="5"/>
  <c r="I32" i="5"/>
  <c r="I24" i="5"/>
  <c r="I16" i="5"/>
  <c r="I8" i="5"/>
  <c r="I43" i="5"/>
  <c r="I87" i="5"/>
  <c r="I79" i="5"/>
  <c r="I71" i="5"/>
  <c r="J71" i="5" s="1"/>
  <c r="K71" i="5" s="1"/>
  <c r="I63" i="5"/>
  <c r="J63" i="5" s="1"/>
  <c r="K63" i="5" s="1"/>
  <c r="I55" i="5"/>
  <c r="I47" i="5"/>
  <c r="I39" i="5"/>
  <c r="I31" i="5"/>
  <c r="I23" i="5"/>
  <c r="I15" i="5"/>
  <c r="I7" i="5"/>
  <c r="I59" i="5"/>
  <c r="I78" i="5"/>
  <c r="J78" i="5" s="1"/>
  <c r="K78" i="5" s="1"/>
  <c r="I70" i="5"/>
  <c r="I62" i="5"/>
  <c r="I54" i="5"/>
  <c r="I38" i="5"/>
  <c r="J38" i="5" s="1"/>
  <c r="K38" i="5" s="1"/>
  <c r="I30" i="5"/>
  <c r="I6" i="5"/>
  <c r="I93" i="5"/>
  <c r="I85" i="5"/>
  <c r="I77" i="5"/>
  <c r="I69" i="5"/>
  <c r="I61" i="5"/>
  <c r="J61" i="5" s="1"/>
  <c r="K61" i="5" s="1"/>
  <c r="I53" i="5"/>
  <c r="I45" i="5"/>
  <c r="I37" i="5"/>
  <c r="I29" i="5"/>
  <c r="J29" i="5" s="1"/>
  <c r="K29" i="5" s="1"/>
  <c r="I13" i="5"/>
  <c r="I5" i="5"/>
  <c r="M2" i="5" l="1"/>
  <c r="J64" i="5"/>
  <c r="K64" i="5" s="1"/>
  <c r="J19" i="5"/>
  <c r="K19" i="5" s="1"/>
  <c r="J34" i="5"/>
  <c r="K34" i="5" s="1"/>
  <c r="J8" i="5"/>
  <c r="K8" i="5" s="1"/>
  <c r="H82" i="5"/>
  <c r="P11" i="5"/>
  <c r="H46" i="5"/>
  <c r="J46" i="5" s="1"/>
  <c r="G34" i="5"/>
  <c r="H24" i="5"/>
  <c r="J53" i="5"/>
  <c r="K53" i="5" s="1"/>
  <c r="J60" i="5"/>
  <c r="K60" i="5" s="1"/>
  <c r="H64" i="5"/>
  <c r="J69" i="5"/>
  <c r="K69" i="5" s="1"/>
  <c r="J39" i="5"/>
  <c r="K39" i="5" s="1"/>
  <c r="J41" i="5"/>
  <c r="K41" i="5" s="1"/>
  <c r="J82" i="5"/>
  <c r="K82" i="5" s="1"/>
  <c r="J83" i="5"/>
  <c r="K83" i="5" s="1"/>
  <c r="J26" i="5"/>
  <c r="K26" i="5" s="1"/>
  <c r="J55" i="5"/>
  <c r="K55" i="5" s="1"/>
  <c r="J24" i="5"/>
  <c r="K24" i="5" s="1"/>
  <c r="J68" i="5"/>
  <c r="K68" i="5" s="1"/>
  <c r="G10" i="5"/>
  <c r="J10" i="5" s="1"/>
  <c r="H27" i="5"/>
  <c r="J27" i="5" s="1"/>
  <c r="H4" i="5"/>
  <c r="J4" i="5" s="1"/>
  <c r="H12" i="5"/>
  <c r="G32" i="5"/>
  <c r="H57" i="5"/>
  <c r="J57" i="5" s="1"/>
  <c r="H39" i="5"/>
  <c r="H69" i="5"/>
  <c r="H23" i="5"/>
  <c r="J23" i="5" s="1"/>
  <c r="H67" i="5"/>
  <c r="J67" i="5" s="1"/>
  <c r="J11" i="5"/>
  <c r="K11" i="5" s="1"/>
  <c r="J12" i="5"/>
  <c r="K12" i="5" s="1"/>
  <c r="H58" i="5"/>
  <c r="J58" i="5" s="1"/>
  <c r="G28" i="5"/>
  <c r="H16" i="5"/>
  <c r="J16" i="5" s="1"/>
  <c r="H5" i="5"/>
  <c r="J5" i="5" s="1"/>
  <c r="H13" i="5"/>
  <c r="H62" i="5"/>
  <c r="H40" i="5"/>
  <c r="J40" i="5" s="1"/>
  <c r="H37" i="5"/>
  <c r="J32" i="5"/>
  <c r="K32" i="5" s="1"/>
  <c r="H90" i="5"/>
  <c r="J90" i="5" s="1"/>
  <c r="H30" i="5"/>
  <c r="J30" i="5" s="1"/>
  <c r="H68" i="5"/>
  <c r="H17" i="5"/>
  <c r="J17" i="5" s="1"/>
  <c r="H6" i="5"/>
  <c r="J6" i="5" s="1"/>
  <c r="H14" i="5"/>
  <c r="J14" i="5" s="1"/>
  <c r="H76" i="5"/>
  <c r="J76" i="5" s="1"/>
  <c r="H47" i="5"/>
  <c r="J47" i="5" s="1"/>
  <c r="H75" i="5"/>
  <c r="J75" i="5" s="1"/>
  <c r="H43" i="5"/>
  <c r="J43" i="5" s="1"/>
  <c r="H77" i="5"/>
  <c r="J50" i="5"/>
  <c r="K50" i="5" s="1"/>
  <c r="J85" i="5"/>
  <c r="K85" i="5" s="1"/>
  <c r="J79" i="5"/>
  <c r="K79" i="5" s="1"/>
  <c r="J28" i="5"/>
  <c r="K28" i="5" s="1"/>
  <c r="J92" i="5"/>
  <c r="K92" i="5" s="1"/>
  <c r="H60" i="5"/>
  <c r="H31" i="5"/>
  <c r="G26" i="5"/>
  <c r="H18" i="5"/>
  <c r="J18" i="5" s="1"/>
  <c r="J7" i="5"/>
  <c r="H41" i="5"/>
  <c r="H44" i="5"/>
  <c r="H53" i="5"/>
  <c r="H83" i="5"/>
  <c r="H45" i="5"/>
  <c r="J45" i="5" s="1"/>
  <c r="H80" i="5"/>
  <c r="J80" i="5" s="1"/>
  <c r="J59" i="5"/>
  <c r="K59" i="5" s="1"/>
  <c r="J13" i="5"/>
  <c r="K13" i="5" s="1"/>
  <c r="J77" i="5"/>
  <c r="K77" i="5" s="1"/>
  <c r="J25" i="5"/>
  <c r="K25" i="5" s="1"/>
  <c r="J89" i="5"/>
  <c r="K89" i="5" s="1"/>
  <c r="G35" i="5"/>
  <c r="J35" i="5" s="1"/>
  <c r="H19" i="5"/>
  <c r="H8" i="5"/>
  <c r="H74" i="5"/>
  <c r="H49" i="5"/>
  <c r="J49" i="5" s="1"/>
  <c r="H55" i="5"/>
  <c r="H87" i="5"/>
  <c r="J87" i="5" s="1"/>
  <c r="H48" i="5"/>
  <c r="J48" i="5" s="1"/>
  <c r="H85" i="5"/>
  <c r="G3" i="5"/>
  <c r="J3" i="5" s="1"/>
  <c r="G11" i="5"/>
  <c r="J37" i="5"/>
  <c r="K37" i="5" s="1"/>
  <c r="J62" i="5"/>
  <c r="K62" i="5" s="1"/>
  <c r="J31" i="5"/>
  <c r="K31" i="5" s="1"/>
  <c r="J74" i="5"/>
  <c r="K74" i="5" s="1"/>
  <c r="J44" i="5"/>
  <c r="K44" i="5" s="1"/>
  <c r="H70" i="5"/>
  <c r="J70" i="5" s="1"/>
  <c r="H33" i="5"/>
  <c r="J33" i="5" s="1"/>
  <c r="H20" i="5"/>
  <c r="J20" i="5" s="1"/>
  <c r="H9" i="5"/>
  <c r="J9" i="5" s="1"/>
  <c r="H79" i="5"/>
  <c r="H36" i="5"/>
  <c r="J36" i="5" s="1"/>
  <c r="H54" i="5"/>
  <c r="J54" i="5" s="1"/>
  <c r="H15" i="5"/>
  <c r="J15" i="5" s="1"/>
  <c r="H59" i="5"/>
  <c r="H88" i="5"/>
  <c r="J88" i="5" s="1"/>
  <c r="H51" i="5"/>
  <c r="J51" i="5" s="1"/>
  <c r="H93" i="5"/>
  <c r="J93" i="5" s="1"/>
  <c r="M56" i="5"/>
  <c r="M52" i="5"/>
  <c r="M29" i="5"/>
  <c r="M38" i="5"/>
  <c r="M81" i="5"/>
  <c r="M42" i="5"/>
  <c r="M72" i="5"/>
  <c r="M91" i="5"/>
  <c r="M66" i="5"/>
  <c r="M61" i="5"/>
  <c r="L61" i="5" s="1"/>
  <c r="M78" i="5"/>
  <c r="M84" i="5"/>
  <c r="M22" i="5"/>
  <c r="M86" i="5"/>
  <c r="M63" i="5"/>
  <c r="M65" i="5"/>
  <c r="M21" i="5"/>
  <c r="M71" i="5"/>
  <c r="M73" i="5"/>
  <c r="M19" i="5" l="1"/>
  <c r="L19" i="5" s="1"/>
  <c r="M28" i="5"/>
  <c r="L28" i="5" s="1"/>
  <c r="M92" i="5"/>
  <c r="L92" i="5" s="1"/>
  <c r="M64" i="5"/>
  <c r="L64" i="5" s="1"/>
  <c r="M32" i="5"/>
  <c r="L32" i="5" s="1"/>
  <c r="M34" i="5"/>
  <c r="L34" i="5" s="1"/>
  <c r="M77" i="5"/>
  <c r="L77" i="5" s="1"/>
  <c r="M68" i="5"/>
  <c r="L68" i="5" s="1"/>
  <c r="M41" i="5"/>
  <c r="L41" i="5" s="1"/>
  <c r="M50" i="5"/>
  <c r="L50" i="5" s="1"/>
  <c r="M8" i="5"/>
  <c r="L8" i="5" s="1"/>
  <c r="M74" i="5"/>
  <c r="L74" i="5" s="1"/>
  <c r="M39" i="5"/>
  <c r="L39" i="5" s="1"/>
  <c r="K93" i="5"/>
  <c r="M93" i="5" s="1"/>
  <c r="K27" i="5"/>
  <c r="K18" i="5"/>
  <c r="M18" i="5" s="1"/>
  <c r="L18" i="5" s="1"/>
  <c r="K88" i="5"/>
  <c r="M88" i="5" s="1"/>
  <c r="L88" i="5" s="1"/>
  <c r="K80" i="5"/>
  <c r="M80" i="5" s="1"/>
  <c r="K5" i="5"/>
  <c r="M5" i="5" s="1"/>
  <c r="L5" i="5" s="1"/>
  <c r="K51" i="5"/>
  <c r="K6" i="5"/>
  <c r="M6" i="5" s="1"/>
  <c r="L6" i="5" s="1"/>
  <c r="K20" i="5"/>
  <c r="M20" i="5" s="1"/>
  <c r="L20" i="5" s="1"/>
  <c r="K10" i="5"/>
  <c r="M10" i="5" s="1"/>
  <c r="K70" i="5"/>
  <c r="K30" i="5"/>
  <c r="M30" i="5" s="1"/>
  <c r="L30" i="5" s="1"/>
  <c r="K15" i="5"/>
  <c r="M15" i="5" s="1"/>
  <c r="K75" i="5"/>
  <c r="M75" i="5" s="1"/>
  <c r="K58" i="5"/>
  <c r="M58" i="5" s="1"/>
  <c r="L58" i="5" s="1"/>
  <c r="K7" i="5"/>
  <c r="M7" i="5" s="1"/>
  <c r="L7" i="5" s="1"/>
  <c r="K67" i="5"/>
  <c r="M67" i="5" s="1"/>
  <c r="L67" i="5" s="1"/>
  <c r="K17" i="5"/>
  <c r="M17" i="5" s="1"/>
  <c r="K33" i="5"/>
  <c r="M33" i="5" s="1"/>
  <c r="L33" i="5" s="1"/>
  <c r="K43" i="5"/>
  <c r="M43" i="5" s="1"/>
  <c r="L43" i="5" s="1"/>
  <c r="K35" i="5"/>
  <c r="M35" i="5" s="1"/>
  <c r="L35" i="5" s="1"/>
  <c r="K57" i="5"/>
  <c r="M57" i="5" s="1"/>
  <c r="L57" i="5" s="1"/>
  <c r="K36" i="5"/>
  <c r="M36" i="5" s="1"/>
  <c r="L36" i="5" s="1"/>
  <c r="K76" i="5"/>
  <c r="M76" i="5" s="1"/>
  <c r="K9" i="5"/>
  <c r="M9" i="5" s="1"/>
  <c r="L9" i="5" s="1"/>
  <c r="K46" i="5"/>
  <c r="M46" i="5" s="1"/>
  <c r="L46" i="5" s="1"/>
  <c r="K23" i="5"/>
  <c r="K3" i="5"/>
  <c r="M3" i="5" s="1"/>
  <c r="L3" i="5" s="1"/>
  <c r="K45" i="5"/>
  <c r="M45" i="5" s="1"/>
  <c r="L45" i="5" s="1"/>
  <c r="K16" i="5"/>
  <c r="M16" i="5" s="1"/>
  <c r="L16" i="5" s="1"/>
  <c r="K48" i="5"/>
  <c r="M48" i="5" s="1"/>
  <c r="L48" i="5" s="1"/>
  <c r="K90" i="5"/>
  <c r="M90" i="5" s="1"/>
  <c r="L90" i="5" s="1"/>
  <c r="K54" i="5"/>
  <c r="M54" i="5" s="1"/>
  <c r="K87" i="5"/>
  <c r="M87" i="5" s="1"/>
  <c r="K47" i="5"/>
  <c r="K49" i="5"/>
  <c r="M49" i="5" s="1"/>
  <c r="L49" i="5" s="1"/>
  <c r="K14" i="5"/>
  <c r="M14" i="5" s="1"/>
  <c r="K40" i="5"/>
  <c r="M40" i="5" s="1"/>
  <c r="L40" i="5" s="1"/>
  <c r="K4" i="5"/>
  <c r="M4" i="5" s="1"/>
  <c r="L4" i="5" s="1"/>
  <c r="P12" i="5"/>
  <c r="M12" i="5"/>
  <c r="L12" i="5" s="1"/>
  <c r="M26" i="5"/>
  <c r="L26" i="5" s="1"/>
  <c r="M44" i="5"/>
  <c r="L44" i="5" s="1"/>
  <c r="M53" i="5"/>
  <c r="L53" i="5" s="1"/>
  <c r="M79" i="5"/>
  <c r="L79" i="5" s="1"/>
  <c r="M37" i="5"/>
  <c r="L37" i="5" s="1"/>
  <c r="M24" i="5"/>
  <c r="L24" i="5" s="1"/>
  <c r="M11" i="5"/>
  <c r="L11" i="5" s="1"/>
  <c r="M13" i="5"/>
  <c r="L13" i="5" s="1"/>
  <c r="M55" i="5"/>
  <c r="L55" i="5" s="1"/>
  <c r="M31" i="5"/>
  <c r="L31" i="5" s="1"/>
  <c r="M89" i="5"/>
  <c r="L89" i="5" s="1"/>
  <c r="M60" i="5"/>
  <c r="L60" i="5" s="1"/>
  <c r="M59" i="5"/>
  <c r="L59" i="5" s="1"/>
  <c r="M25" i="5"/>
  <c r="L25" i="5" s="1"/>
  <c r="M83" i="5"/>
  <c r="L83" i="5" s="1"/>
  <c r="M62" i="5"/>
  <c r="L62" i="5" s="1"/>
  <c r="M85" i="5"/>
  <c r="L85" i="5" s="1"/>
  <c r="M82" i="5"/>
  <c r="L82" i="5" s="1"/>
  <c r="M69" i="5"/>
  <c r="L69" i="5" s="1"/>
  <c r="L72" i="5"/>
  <c r="L29" i="5"/>
  <c r="L22" i="5"/>
  <c r="L63" i="5"/>
  <c r="L84" i="5"/>
  <c r="L73" i="5"/>
  <c r="L42" i="5"/>
  <c r="L38" i="5"/>
  <c r="L91" i="5"/>
  <c r="L65" i="5"/>
  <c r="L56" i="5"/>
  <c r="L71" i="5"/>
  <c r="L81" i="5"/>
  <c r="L52" i="5"/>
  <c r="L78" i="5"/>
  <c r="L86" i="5"/>
  <c r="L21" i="5"/>
  <c r="L66" i="5"/>
  <c r="Q3" i="5"/>
  <c r="L2" i="5" l="1"/>
  <c r="M27" i="5"/>
  <c r="L27" i="5" s="1"/>
  <c r="L87" i="5"/>
  <c r="L80" i="5"/>
  <c r="L15" i="5"/>
  <c r="L17" i="5"/>
  <c r="L14" i="5"/>
  <c r="L75" i="5"/>
  <c r="L10" i="5"/>
  <c r="L93" i="5"/>
  <c r="L76" i="5"/>
  <c r="L54" i="5"/>
  <c r="M47" i="5"/>
  <c r="L47" i="5" s="1"/>
  <c r="M23" i="5"/>
  <c r="M70" i="5"/>
  <c r="L70" i="5" s="1"/>
  <c r="M51" i="5"/>
  <c r="L51" i="5" s="1"/>
  <c r="Q4" i="5"/>
  <c r="Q6" i="5" l="1"/>
  <c r="L23" i="5"/>
  <c r="Q5" i="5" s="1"/>
  <c r="Q7" i="5" l="1"/>
</calcChain>
</file>

<file path=xl/sharedStrings.xml><?xml version="1.0" encoding="utf-8"?>
<sst xmlns="http://schemas.openxmlformats.org/spreadsheetml/2006/main" count="4489" uniqueCount="138">
  <si>
    <t>county_fips</t>
  </si>
  <si>
    <t>county_name</t>
  </si>
  <si>
    <t>hour</t>
  </si>
  <si>
    <t>designated_expanded_daily_parking_demand</t>
  </si>
  <si>
    <t>undesignated_expanded_daily_parking_demand</t>
  </si>
  <si>
    <t>truck_parking_spaces</t>
  </si>
  <si>
    <t>Adams County</t>
  </si>
  <si>
    <t>Allen County</t>
  </si>
  <si>
    <t>Bartholomew County</t>
  </si>
  <si>
    <t>Benton County</t>
  </si>
  <si>
    <t>Blackford County</t>
  </si>
  <si>
    <t>Boone County</t>
  </si>
  <si>
    <t>Brown County</t>
  </si>
  <si>
    <t>Carroll County</t>
  </si>
  <si>
    <t>Cass County</t>
  </si>
  <si>
    <t>Clark County</t>
  </si>
  <si>
    <t>Clay County</t>
  </si>
  <si>
    <t>Clinton County</t>
  </si>
  <si>
    <t>Crawford County</t>
  </si>
  <si>
    <t>Daviess County</t>
  </si>
  <si>
    <t>Dearborn County</t>
  </si>
  <si>
    <t>Decatur County</t>
  </si>
  <si>
    <t>DeKalb County</t>
  </si>
  <si>
    <t>Delaware County</t>
  </si>
  <si>
    <t>Dubois County</t>
  </si>
  <si>
    <t>Elkhart County</t>
  </si>
  <si>
    <t>Fayette County</t>
  </si>
  <si>
    <t>Floyd County</t>
  </si>
  <si>
    <t>Fountain County</t>
  </si>
  <si>
    <t>Franklin County</t>
  </si>
  <si>
    <t>Fulton County</t>
  </si>
  <si>
    <t>Gibson County</t>
  </si>
  <si>
    <t>Grant County</t>
  </si>
  <si>
    <t>Greene County</t>
  </si>
  <si>
    <t>Hamilton County</t>
  </si>
  <si>
    <t>Hancock County</t>
  </si>
  <si>
    <t>Harrison County</t>
  </si>
  <si>
    <t>Hendricks County</t>
  </si>
  <si>
    <t>Henry County</t>
  </si>
  <si>
    <t>Howard County</t>
  </si>
  <si>
    <t>Huntington County</t>
  </si>
  <si>
    <t>Jackson County</t>
  </si>
  <si>
    <t>Jasper County</t>
  </si>
  <si>
    <t>Jay County</t>
  </si>
  <si>
    <t>Jefferson County</t>
  </si>
  <si>
    <t>Jennings County</t>
  </si>
  <si>
    <t>Johnson County</t>
  </si>
  <si>
    <t>Knox County</t>
  </si>
  <si>
    <t>Kosciusko County</t>
  </si>
  <si>
    <t>LaGrange County</t>
  </si>
  <si>
    <t>Lake County</t>
  </si>
  <si>
    <t>LaPorte County</t>
  </si>
  <si>
    <t>Lawrence County</t>
  </si>
  <si>
    <t>Madison County</t>
  </si>
  <si>
    <t>Marion County</t>
  </si>
  <si>
    <t>Marshall County</t>
  </si>
  <si>
    <t>Martin County</t>
  </si>
  <si>
    <t>Miami County</t>
  </si>
  <si>
    <t>Monroe County</t>
  </si>
  <si>
    <t>Montgomery County</t>
  </si>
  <si>
    <t>Morgan County</t>
  </si>
  <si>
    <t>Newton County</t>
  </si>
  <si>
    <t>Noble County</t>
  </si>
  <si>
    <t>Ohio County</t>
  </si>
  <si>
    <t>Orange County</t>
  </si>
  <si>
    <t>Owen County</t>
  </si>
  <si>
    <t>Parke County</t>
  </si>
  <si>
    <t>Perry County</t>
  </si>
  <si>
    <t>Pike County</t>
  </si>
  <si>
    <t>Porter County</t>
  </si>
  <si>
    <t>Posey County</t>
  </si>
  <si>
    <t>Pulaski County</t>
  </si>
  <si>
    <t>Putnam County</t>
  </si>
  <si>
    <t>Randolph County</t>
  </si>
  <si>
    <t>Ripley County</t>
  </si>
  <si>
    <t>Rush County</t>
  </si>
  <si>
    <t>St. Joseph County</t>
  </si>
  <si>
    <t>Scott County</t>
  </si>
  <si>
    <t>Shelby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</si>
  <si>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</si>
  <si>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</si>
  <si>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</si>
  <si>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</si>
  <si>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</si>
  <si>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</si>
  <si>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</si>
  <si>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Union County</t>
  </si>
  <si>
    <t>Vanderburgh County</t>
  </si>
  <si>
    <t>Vermillion County</t>
  </si>
  <si>
    <t>Vigo County</t>
  </si>
  <si>
    <t>Wabash County</t>
  </si>
  <si>
    <t>Warren County</t>
  </si>
  <si>
    <t>Warrick County</t>
  </si>
  <si>
    <t>Washington County</t>
  </si>
  <si>
    <t>Wayne County</t>
  </si>
  <si>
    <t>Wells County</t>
  </si>
  <si>
    <t>White County</t>
  </si>
  <si>
    <t>Whitley County</t>
  </si>
  <si>
    <t>Sheet</t>
  </si>
  <si>
    <t>Descrip</t>
  </si>
  <si>
    <t>in_parking_demand_data_ver1</t>
  </si>
  <si>
    <t>Baseline expanded demand estimates using LOCUS expansion factors, by county &amp; by hour</t>
  </si>
  <si>
    <t>demand expanded</t>
  </si>
  <si>
    <t>supply</t>
  </si>
  <si>
    <t>Boone</t>
  </si>
  <si>
    <t>Jasper</t>
  </si>
  <si>
    <t>Tippecanoe</t>
  </si>
  <si>
    <t>demand expanded (from demand sheet)</t>
  </si>
  <si>
    <t>Validation Vol/Cap</t>
  </si>
  <si>
    <t>dem/sup</t>
  </si>
  <si>
    <t>calib demand factor</t>
  </si>
  <si>
    <t>calib demand</t>
  </si>
  <si>
    <t>calib dem/sup</t>
  </si>
  <si>
    <t>county name</t>
  </si>
  <si>
    <t>parking spaces</t>
  </si>
  <si>
    <t>max designated demand</t>
  </si>
  <si>
    <t>total_expanded_daily_parking_demand</t>
  </si>
  <si>
    <t>sum designated demand hours</t>
  </si>
  <si>
    <t>sum undesignated demand hours</t>
  </si>
  <si>
    <t>undesignated hour%</t>
  </si>
  <si>
    <t>sum total demand hours</t>
  </si>
  <si>
    <t>diagnosis1</t>
  </si>
  <si>
    <t>diagnosis2</t>
  </si>
  <si>
    <t>diagnosis3</t>
  </si>
  <si>
    <t>diagnosis4</t>
  </si>
  <si>
    <t>sum</t>
  </si>
  <si>
    <t>total</t>
  </si>
  <si>
    <t>max dem/supply</t>
  </si>
  <si>
    <t>not 1 &amp; tot dem hour &gt; 300 &amp; (max dem/sup&gt;0.7 OR undesignated% &gt; 0.2)</t>
  </si>
  <si>
    <t>not 1 &amp; not 2 &amp; 0 parking spaces</t>
  </si>
  <si>
    <t>all others</t>
  </si>
  <si>
    <t>tot dem hour &gt; 1000 &amp; (max dem/sup&gt;0.9 OR undesignated% &gt; 0.5)</t>
  </si>
  <si>
    <t>calibration</t>
  </si>
  <si>
    <t>calibration steps</t>
  </si>
  <si>
    <t>park_dem_calibrtd_by_hour</t>
  </si>
  <si>
    <t>hourly demand expanded totals after calibration</t>
  </si>
  <si>
    <t>diagnosis</t>
  </si>
  <si>
    <t>diagnosis at county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</si>
</sst>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33" borderId="0" xfId="0" applyFill="1"/>
    <xf numFmtId="9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D693F-B98B-42CD-98F8-D2FD8761550D}">
  <dimension ref="A2:B6"/>
  <sheetViews>
    <sheetView workbookViewId="0">
      <selection activeCell="A7" sqref="A7"/>
    </sheetView>
  </sheetViews>
  <sheetFormatPr defaultRowHeight="15" x14ac:dyDescent="0.25"/>
  <cols>
    <col min="1" max="1" width="28.28515625" bestFit="1" customWidth="1"/>
    <col min="2" max="2" width="82.28515625" bestFit="1" customWidth="1"/>
  </cols>
  <sheetData>
    <row r="2" spans="1:2" x14ac:dyDescent="0.25">
      <c r="A2" t="s">
        <v>98</v>
      </c>
      <c r="B2" t="s">
        <v>99</v>
      </c>
    </row>
    <row r="3" spans="1:2" x14ac:dyDescent="0.25">
      <c r="A3" t="s">
        <v>100</v>
      </c>
      <c r="B3" t="s">
        <v>101</v>
      </c>
    </row>
    <row r="4" spans="1:2" x14ac:dyDescent="0.25">
      <c r="A4" t="s">
        <v>132</v>
      </c>
      <c r="B4" t="s">
        <v>133</v>
      </c>
    </row>
    <row r="5" spans="1:2" x14ac:dyDescent="0.25">
      <c r="A5" t="s">
        <v>134</v>
      </c>
      <c r="B5" t="s">
        <v>135</v>
      </c>
    </row>
    <row r="6" spans="1:2" x14ac:dyDescent="0.25">
      <c r="A6" t="s">
        <v>136</v>
      </c>
      <c r="B6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FDA59-CD46-42C4-BB52-53D36F4EEEB7}">
  <dimension ref="A1:F2209"/>
  <sheetViews>
    <sheetView workbookViewId="0">
      <selection sqref="A1:F104857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18001</v>
      </c>
      <c r="B2" t="s">
        <v>6</v>
      </c>
      <c r="C2">
        <v>0</v>
      </c>
      <c r="D2">
        <v>19.171535447843599</v>
      </c>
      <c r="E2">
        <v>0</v>
      </c>
      <c r="F2">
        <v>30</v>
      </c>
    </row>
    <row r="3" spans="1:6" x14ac:dyDescent="0.25">
      <c r="A3">
        <v>18001</v>
      </c>
      <c r="B3" t="s">
        <v>6</v>
      </c>
      <c r="C3">
        <v>1</v>
      </c>
      <c r="D3">
        <v>19.919692928735</v>
      </c>
      <c r="E3">
        <v>0</v>
      </c>
      <c r="F3">
        <v>30</v>
      </c>
    </row>
    <row r="4" spans="1:6" x14ac:dyDescent="0.25">
      <c r="A4">
        <v>18001</v>
      </c>
      <c r="B4" t="s">
        <v>6</v>
      </c>
      <c r="C4">
        <v>2</v>
      </c>
      <c r="D4">
        <v>19.8261732436236</v>
      </c>
      <c r="E4">
        <v>0</v>
      </c>
      <c r="F4">
        <v>30</v>
      </c>
    </row>
    <row r="5" spans="1:6" x14ac:dyDescent="0.25">
      <c r="A5">
        <v>18001</v>
      </c>
      <c r="B5" t="s">
        <v>6</v>
      </c>
      <c r="C5">
        <v>3</v>
      </c>
      <c r="D5">
        <v>20.2937716691807</v>
      </c>
      <c r="E5">
        <v>0</v>
      </c>
      <c r="F5">
        <v>30</v>
      </c>
    </row>
    <row r="6" spans="1:6" x14ac:dyDescent="0.25">
      <c r="A6">
        <v>18001</v>
      </c>
      <c r="B6" t="s">
        <v>6</v>
      </c>
      <c r="C6">
        <v>4</v>
      </c>
      <c r="D6">
        <v>19.919692928735</v>
      </c>
      <c r="E6">
        <v>0</v>
      </c>
      <c r="F6">
        <v>30</v>
      </c>
    </row>
    <row r="7" spans="1:6" x14ac:dyDescent="0.25">
      <c r="A7">
        <v>18001</v>
      </c>
      <c r="B7" t="s">
        <v>6</v>
      </c>
      <c r="C7">
        <v>5</v>
      </c>
      <c r="D7">
        <v>19.358574818066401</v>
      </c>
      <c r="E7">
        <v>0</v>
      </c>
      <c r="F7">
        <v>30</v>
      </c>
    </row>
    <row r="8" spans="1:6" x14ac:dyDescent="0.25">
      <c r="A8">
        <v>18001</v>
      </c>
      <c r="B8" t="s">
        <v>6</v>
      </c>
      <c r="C8">
        <v>6</v>
      </c>
      <c r="D8">
        <v>21.509527575629399</v>
      </c>
      <c r="E8">
        <v>1.68335433200577</v>
      </c>
      <c r="F8">
        <v>30</v>
      </c>
    </row>
    <row r="9" spans="1:6" x14ac:dyDescent="0.25">
      <c r="A9">
        <v>18001</v>
      </c>
      <c r="B9" t="s">
        <v>6</v>
      </c>
      <c r="C9">
        <v>7</v>
      </c>
      <c r="D9">
        <v>18.236338596729201</v>
      </c>
      <c r="E9">
        <v>3.1796692937886899</v>
      </c>
      <c r="F9">
        <v>30</v>
      </c>
    </row>
    <row r="10" spans="1:6" x14ac:dyDescent="0.25">
      <c r="A10">
        <v>18001</v>
      </c>
      <c r="B10" t="s">
        <v>6</v>
      </c>
      <c r="C10">
        <v>8</v>
      </c>
      <c r="D10">
        <v>12.531637804931901</v>
      </c>
      <c r="E10">
        <v>7.3880551238031398</v>
      </c>
      <c r="F10">
        <v>30</v>
      </c>
    </row>
    <row r="11" spans="1:6" x14ac:dyDescent="0.25">
      <c r="A11">
        <v>18001</v>
      </c>
      <c r="B11" t="s">
        <v>6</v>
      </c>
      <c r="C11">
        <v>9</v>
      </c>
      <c r="D11">
        <v>8.6038110302517605</v>
      </c>
      <c r="E11">
        <v>9.0714094558089204</v>
      </c>
      <c r="F11">
        <v>30</v>
      </c>
    </row>
    <row r="12" spans="1:6" x14ac:dyDescent="0.25">
      <c r="A12">
        <v>18001</v>
      </c>
      <c r="B12" t="s">
        <v>6</v>
      </c>
      <c r="C12">
        <v>10</v>
      </c>
      <c r="D12">
        <v>8.8843700855860597</v>
      </c>
      <c r="E12">
        <v>14.3085118220491</v>
      </c>
      <c r="F12">
        <v>30</v>
      </c>
    </row>
    <row r="13" spans="1:6" x14ac:dyDescent="0.25">
      <c r="A13">
        <v>18001</v>
      </c>
      <c r="B13" t="s">
        <v>6</v>
      </c>
      <c r="C13">
        <v>11</v>
      </c>
      <c r="D13">
        <v>9.4454881962546509</v>
      </c>
      <c r="E13">
        <v>13.653874026269101</v>
      </c>
      <c r="F13">
        <v>30</v>
      </c>
    </row>
    <row r="14" spans="1:6" x14ac:dyDescent="0.25">
      <c r="A14">
        <v>18001</v>
      </c>
      <c r="B14" t="s">
        <v>6</v>
      </c>
      <c r="C14">
        <v>12</v>
      </c>
      <c r="D14">
        <v>9.2584488260317794</v>
      </c>
      <c r="E14">
        <v>11.8770000091518</v>
      </c>
      <c r="F14">
        <v>30</v>
      </c>
    </row>
    <row r="15" spans="1:6" x14ac:dyDescent="0.25">
      <c r="A15">
        <v>18001</v>
      </c>
      <c r="B15" t="s">
        <v>6</v>
      </c>
      <c r="C15">
        <v>13</v>
      </c>
      <c r="D15">
        <v>9.2584488260317794</v>
      </c>
      <c r="E15">
        <v>9.1649291409203499</v>
      </c>
      <c r="F15">
        <v>30</v>
      </c>
    </row>
    <row r="16" spans="1:6" x14ac:dyDescent="0.25">
      <c r="A16">
        <v>18001</v>
      </c>
      <c r="B16" t="s">
        <v>6</v>
      </c>
      <c r="C16">
        <v>14</v>
      </c>
      <c r="D16">
        <v>6.9204566982459799</v>
      </c>
      <c r="E16">
        <v>4.2083858300144401</v>
      </c>
      <c r="F16">
        <v>30</v>
      </c>
    </row>
    <row r="17" spans="1:6" x14ac:dyDescent="0.25">
      <c r="A17">
        <v>18001</v>
      </c>
      <c r="B17" t="s">
        <v>6</v>
      </c>
      <c r="C17">
        <v>15</v>
      </c>
      <c r="D17">
        <v>5.70470079179736</v>
      </c>
      <c r="E17">
        <v>3.1796692937886899</v>
      </c>
      <c r="F17">
        <v>30</v>
      </c>
    </row>
    <row r="18" spans="1:6" x14ac:dyDescent="0.25">
      <c r="A18">
        <v>18001</v>
      </c>
      <c r="B18" t="s">
        <v>6</v>
      </c>
      <c r="C18">
        <v>16</v>
      </c>
      <c r="D18">
        <v>6.5463779578002503</v>
      </c>
      <c r="E18">
        <v>2.99262992356583</v>
      </c>
      <c r="F18">
        <v>30</v>
      </c>
    </row>
    <row r="19" spans="1:6" x14ac:dyDescent="0.25">
      <c r="A19">
        <v>18001</v>
      </c>
      <c r="B19" t="s">
        <v>6</v>
      </c>
      <c r="C19">
        <v>17</v>
      </c>
      <c r="D19">
        <v>8.6038110302517605</v>
      </c>
      <c r="E19">
        <v>0.841677166002889</v>
      </c>
      <c r="F19">
        <v>30</v>
      </c>
    </row>
    <row r="20" spans="1:6" x14ac:dyDescent="0.25">
      <c r="A20">
        <v>18001</v>
      </c>
      <c r="B20" t="s">
        <v>6</v>
      </c>
      <c r="C20">
        <v>18</v>
      </c>
      <c r="D20">
        <v>11.035322843149</v>
      </c>
      <c r="E20">
        <v>0.18703937022286399</v>
      </c>
      <c r="F20">
        <v>30</v>
      </c>
    </row>
    <row r="21" spans="1:6" x14ac:dyDescent="0.25">
      <c r="A21">
        <v>18001</v>
      </c>
      <c r="B21" t="s">
        <v>6</v>
      </c>
      <c r="C21">
        <v>19</v>
      </c>
      <c r="D21">
        <v>12.718677175154699</v>
      </c>
      <c r="E21">
        <v>0.18703937022286399</v>
      </c>
      <c r="F21">
        <v>30</v>
      </c>
    </row>
    <row r="22" spans="1:6" x14ac:dyDescent="0.25">
      <c r="A22">
        <v>18001</v>
      </c>
      <c r="B22" t="s">
        <v>6</v>
      </c>
      <c r="C22">
        <v>20</v>
      </c>
      <c r="D22">
        <v>14.8696299327177</v>
      </c>
      <c r="E22">
        <v>0</v>
      </c>
      <c r="F22">
        <v>30</v>
      </c>
    </row>
    <row r="23" spans="1:6" x14ac:dyDescent="0.25">
      <c r="A23">
        <v>18001</v>
      </c>
      <c r="B23" t="s">
        <v>6</v>
      </c>
      <c r="C23">
        <v>21</v>
      </c>
      <c r="D23">
        <v>16.740023634946301</v>
      </c>
      <c r="E23">
        <v>0</v>
      </c>
      <c r="F23">
        <v>30</v>
      </c>
    </row>
    <row r="24" spans="1:6" x14ac:dyDescent="0.25">
      <c r="A24">
        <v>18001</v>
      </c>
      <c r="B24" t="s">
        <v>6</v>
      </c>
      <c r="C24">
        <v>22</v>
      </c>
      <c r="D24">
        <v>17.114102375392001</v>
      </c>
      <c r="E24">
        <v>0</v>
      </c>
      <c r="F24">
        <v>30</v>
      </c>
    </row>
    <row r="25" spans="1:6" x14ac:dyDescent="0.25">
      <c r="A25">
        <v>18001</v>
      </c>
      <c r="B25" t="s">
        <v>6</v>
      </c>
      <c r="C25">
        <v>23</v>
      </c>
      <c r="D25">
        <v>18.049299226506399</v>
      </c>
      <c r="E25">
        <v>0</v>
      </c>
      <c r="F25">
        <v>30</v>
      </c>
    </row>
    <row r="26" spans="1:6" x14ac:dyDescent="0.25">
      <c r="A26">
        <v>18003</v>
      </c>
      <c r="B26" t="s">
        <v>7</v>
      </c>
      <c r="C26">
        <v>0</v>
      </c>
      <c r="D26">
        <v>379.98168002765999</v>
      </c>
      <c r="E26">
        <v>28.112960835379798</v>
      </c>
      <c r="F26">
        <v>365</v>
      </c>
    </row>
    <row r="27" spans="1:6" x14ac:dyDescent="0.25">
      <c r="A27">
        <v>18003</v>
      </c>
      <c r="B27" t="s">
        <v>7</v>
      </c>
      <c r="C27">
        <v>1</v>
      </c>
      <c r="D27">
        <v>375.262356277317</v>
      </c>
      <c r="E27">
        <v>30.853213335579301</v>
      </c>
      <c r="F27">
        <v>365</v>
      </c>
    </row>
    <row r="28" spans="1:6" x14ac:dyDescent="0.25">
      <c r="A28">
        <v>18003</v>
      </c>
      <c r="B28" t="s">
        <v>7</v>
      </c>
      <c r="C28">
        <v>2</v>
      </c>
      <c r="D28">
        <v>374.65341127727299</v>
      </c>
      <c r="E28">
        <v>28.721905835424099</v>
      </c>
      <c r="F28">
        <v>365</v>
      </c>
    </row>
    <row r="29" spans="1:6" x14ac:dyDescent="0.25">
      <c r="A29">
        <v>18003</v>
      </c>
      <c r="B29" t="s">
        <v>7</v>
      </c>
      <c r="C29">
        <v>3</v>
      </c>
      <c r="D29">
        <v>373.99372086055803</v>
      </c>
      <c r="E29">
        <v>24.205563751762</v>
      </c>
      <c r="F29">
        <v>365</v>
      </c>
    </row>
    <row r="30" spans="1:6" x14ac:dyDescent="0.25">
      <c r="A30">
        <v>18003</v>
      </c>
      <c r="B30" t="s">
        <v>7</v>
      </c>
      <c r="C30">
        <v>4</v>
      </c>
      <c r="D30">
        <v>362.47451127638601</v>
      </c>
      <c r="E30">
        <v>26.032398751894998</v>
      </c>
      <c r="F30">
        <v>365</v>
      </c>
    </row>
    <row r="31" spans="1:6" x14ac:dyDescent="0.25">
      <c r="A31">
        <v>18003</v>
      </c>
      <c r="B31" t="s">
        <v>7</v>
      </c>
      <c r="C31">
        <v>5</v>
      </c>
      <c r="D31">
        <v>348.57026710870701</v>
      </c>
      <c r="E31">
        <v>35.521791669252401</v>
      </c>
      <c r="F31">
        <v>365</v>
      </c>
    </row>
    <row r="32" spans="1:6" x14ac:dyDescent="0.25">
      <c r="A32">
        <v>18003</v>
      </c>
      <c r="B32" t="s">
        <v>7</v>
      </c>
      <c r="C32">
        <v>6</v>
      </c>
      <c r="D32">
        <v>325.68408419037399</v>
      </c>
      <c r="E32">
        <v>47.294728336776103</v>
      </c>
      <c r="F32">
        <v>365</v>
      </c>
    </row>
    <row r="33" spans="1:6" x14ac:dyDescent="0.25">
      <c r="A33">
        <v>18003</v>
      </c>
      <c r="B33" t="s">
        <v>7</v>
      </c>
      <c r="C33">
        <v>7</v>
      </c>
      <c r="D33">
        <v>283.717624603986</v>
      </c>
      <c r="E33">
        <v>50.846907503701402</v>
      </c>
      <c r="F33">
        <v>365</v>
      </c>
    </row>
    <row r="34" spans="1:6" x14ac:dyDescent="0.25">
      <c r="A34">
        <v>18003</v>
      </c>
      <c r="B34" t="s">
        <v>7</v>
      </c>
      <c r="C34">
        <v>8</v>
      </c>
      <c r="D34">
        <v>248.14508751806301</v>
      </c>
      <c r="E34">
        <v>52.5722516704936</v>
      </c>
      <c r="F34">
        <v>365</v>
      </c>
    </row>
    <row r="35" spans="1:6" x14ac:dyDescent="0.25">
      <c r="A35">
        <v>18003</v>
      </c>
      <c r="B35" t="s">
        <v>7</v>
      </c>
      <c r="C35">
        <v>9</v>
      </c>
      <c r="D35">
        <v>219.98138126601299</v>
      </c>
      <c r="E35">
        <v>51.049889170382798</v>
      </c>
      <c r="F35">
        <v>365</v>
      </c>
    </row>
    <row r="36" spans="1:6" x14ac:dyDescent="0.25">
      <c r="A36">
        <v>18003</v>
      </c>
      <c r="B36" t="s">
        <v>7</v>
      </c>
      <c r="C36">
        <v>10</v>
      </c>
      <c r="D36">
        <v>216.479947515758</v>
      </c>
      <c r="E36">
        <v>47.0917466700947</v>
      </c>
      <c r="F36">
        <v>365</v>
      </c>
    </row>
    <row r="37" spans="1:6" x14ac:dyDescent="0.25">
      <c r="A37">
        <v>18003</v>
      </c>
      <c r="B37" t="s">
        <v>7</v>
      </c>
      <c r="C37">
        <v>11</v>
      </c>
      <c r="D37">
        <v>222.16343418283901</v>
      </c>
      <c r="E37">
        <v>44.452985003235902</v>
      </c>
      <c r="F37">
        <v>365</v>
      </c>
    </row>
    <row r="38" spans="1:6" x14ac:dyDescent="0.25">
      <c r="A38">
        <v>18003</v>
      </c>
      <c r="B38" t="s">
        <v>7</v>
      </c>
      <c r="C38">
        <v>12</v>
      </c>
      <c r="D38">
        <v>222.21417959950901</v>
      </c>
      <c r="E38">
        <v>41.408260003014298</v>
      </c>
      <c r="F38">
        <v>365</v>
      </c>
    </row>
    <row r="39" spans="1:6" x14ac:dyDescent="0.25">
      <c r="A39">
        <v>18003</v>
      </c>
      <c r="B39" t="s">
        <v>7</v>
      </c>
      <c r="C39">
        <v>13</v>
      </c>
      <c r="D39">
        <v>219.879890432672</v>
      </c>
      <c r="E39">
        <v>30.700977085568201</v>
      </c>
      <c r="F39">
        <v>365</v>
      </c>
    </row>
    <row r="40" spans="1:6" x14ac:dyDescent="0.25">
      <c r="A40">
        <v>18003</v>
      </c>
      <c r="B40" t="s">
        <v>7</v>
      </c>
      <c r="C40">
        <v>14</v>
      </c>
      <c r="D40">
        <v>230.942391266811</v>
      </c>
      <c r="E40">
        <v>23.951836668410198</v>
      </c>
      <c r="F40">
        <v>365</v>
      </c>
    </row>
    <row r="41" spans="1:6" x14ac:dyDescent="0.25">
      <c r="A41">
        <v>18003</v>
      </c>
      <c r="B41" t="s">
        <v>7</v>
      </c>
      <c r="C41">
        <v>15</v>
      </c>
      <c r="D41">
        <v>243.22278210103801</v>
      </c>
      <c r="E41">
        <v>20.704130001507099</v>
      </c>
      <c r="F41">
        <v>365</v>
      </c>
    </row>
    <row r="42" spans="1:6" x14ac:dyDescent="0.25">
      <c r="A42">
        <v>18003</v>
      </c>
      <c r="B42" t="s">
        <v>7</v>
      </c>
      <c r="C42">
        <v>16</v>
      </c>
      <c r="D42">
        <v>264.68809335260102</v>
      </c>
      <c r="E42">
        <v>16.5430058345375</v>
      </c>
      <c r="F42">
        <v>365</v>
      </c>
    </row>
    <row r="43" spans="1:6" x14ac:dyDescent="0.25">
      <c r="A43">
        <v>18003</v>
      </c>
      <c r="B43" t="s">
        <v>7</v>
      </c>
      <c r="C43">
        <v>17</v>
      </c>
      <c r="D43">
        <v>292.85179960465098</v>
      </c>
      <c r="E43">
        <v>13.041572084282601</v>
      </c>
      <c r="F43">
        <v>365</v>
      </c>
    </row>
    <row r="44" spans="1:6" x14ac:dyDescent="0.25">
      <c r="A44">
        <v>18003</v>
      </c>
      <c r="B44" t="s">
        <v>7</v>
      </c>
      <c r="C44">
        <v>18</v>
      </c>
      <c r="D44">
        <v>315.89021877299501</v>
      </c>
      <c r="E44">
        <v>12.2803908342272</v>
      </c>
      <c r="F44">
        <v>365</v>
      </c>
    </row>
    <row r="45" spans="1:6" x14ac:dyDescent="0.25">
      <c r="A45">
        <v>18003</v>
      </c>
      <c r="B45" t="s">
        <v>7</v>
      </c>
      <c r="C45">
        <v>19</v>
      </c>
      <c r="D45">
        <v>340.75547294147202</v>
      </c>
      <c r="E45">
        <v>12.077409167545801</v>
      </c>
      <c r="F45">
        <v>365</v>
      </c>
    </row>
    <row r="46" spans="1:6" x14ac:dyDescent="0.25">
      <c r="A46">
        <v>18003</v>
      </c>
      <c r="B46" t="s">
        <v>7</v>
      </c>
      <c r="C46">
        <v>20</v>
      </c>
      <c r="D46">
        <v>360.749167109594</v>
      </c>
      <c r="E46">
        <v>11.4684641675015</v>
      </c>
      <c r="F46">
        <v>365</v>
      </c>
    </row>
    <row r="47" spans="1:6" x14ac:dyDescent="0.25">
      <c r="A47">
        <v>18003</v>
      </c>
      <c r="B47" t="s">
        <v>7</v>
      </c>
      <c r="C47">
        <v>21</v>
      </c>
      <c r="D47">
        <v>371.65943169372099</v>
      </c>
      <c r="E47">
        <v>15.020643334426699</v>
      </c>
      <c r="F47">
        <v>365</v>
      </c>
    </row>
    <row r="48" spans="1:6" x14ac:dyDescent="0.25">
      <c r="A48">
        <v>18003</v>
      </c>
      <c r="B48" t="s">
        <v>7</v>
      </c>
      <c r="C48">
        <v>22</v>
      </c>
      <c r="D48">
        <v>374.65341127727299</v>
      </c>
      <c r="E48">
        <v>16.5430058345375</v>
      </c>
      <c r="F48">
        <v>365</v>
      </c>
    </row>
    <row r="49" spans="1:6" x14ac:dyDescent="0.25">
      <c r="A49">
        <v>18003</v>
      </c>
      <c r="B49" t="s">
        <v>7</v>
      </c>
      <c r="C49">
        <v>23</v>
      </c>
      <c r="D49">
        <v>378.51006294422001</v>
      </c>
      <c r="E49">
        <v>21.059347918199599</v>
      </c>
      <c r="F49">
        <v>365</v>
      </c>
    </row>
    <row r="50" spans="1:6" x14ac:dyDescent="0.25">
      <c r="A50">
        <v>18005</v>
      </c>
      <c r="B50" t="s">
        <v>8</v>
      </c>
      <c r="C50">
        <v>0</v>
      </c>
      <c r="D50">
        <v>185.17865142941201</v>
      </c>
      <c r="E50">
        <v>42.886202125078199</v>
      </c>
      <c r="F50">
        <v>83</v>
      </c>
    </row>
    <row r="51" spans="1:6" x14ac:dyDescent="0.25">
      <c r="A51">
        <v>18005</v>
      </c>
      <c r="B51" t="s">
        <v>8</v>
      </c>
      <c r="C51">
        <v>1</v>
      </c>
      <c r="D51">
        <v>186.73187404158699</v>
      </c>
      <c r="E51">
        <v>47.028129090880498</v>
      </c>
      <c r="F51">
        <v>83</v>
      </c>
    </row>
    <row r="52" spans="1:6" x14ac:dyDescent="0.25">
      <c r="A52">
        <v>18005</v>
      </c>
      <c r="B52" t="s">
        <v>8</v>
      </c>
      <c r="C52">
        <v>2</v>
      </c>
      <c r="D52">
        <v>186.214133170862</v>
      </c>
      <c r="E52">
        <v>49.875703879869597</v>
      </c>
      <c r="F52">
        <v>83</v>
      </c>
    </row>
    <row r="53" spans="1:6" x14ac:dyDescent="0.25">
      <c r="A53">
        <v>18005</v>
      </c>
      <c r="B53" t="s">
        <v>8</v>
      </c>
      <c r="C53">
        <v>3</v>
      </c>
      <c r="D53">
        <v>185.35123171965299</v>
      </c>
      <c r="E53">
        <v>50.738605331078404</v>
      </c>
      <c r="F53">
        <v>83</v>
      </c>
    </row>
    <row r="54" spans="1:6" x14ac:dyDescent="0.25">
      <c r="A54">
        <v>18005</v>
      </c>
      <c r="B54" t="s">
        <v>8</v>
      </c>
      <c r="C54">
        <v>4</v>
      </c>
      <c r="D54">
        <v>180.432693447763</v>
      </c>
      <c r="E54">
        <v>52.119247653012501</v>
      </c>
      <c r="F54">
        <v>83</v>
      </c>
    </row>
    <row r="55" spans="1:6" x14ac:dyDescent="0.25">
      <c r="A55">
        <v>18005</v>
      </c>
      <c r="B55" t="s">
        <v>8</v>
      </c>
      <c r="C55">
        <v>5</v>
      </c>
      <c r="D55">
        <v>181.209304753851</v>
      </c>
      <c r="E55">
        <v>50.652315185957498</v>
      </c>
      <c r="F55">
        <v>83</v>
      </c>
    </row>
    <row r="56" spans="1:6" x14ac:dyDescent="0.25">
      <c r="A56">
        <v>18005</v>
      </c>
      <c r="B56" t="s">
        <v>8</v>
      </c>
      <c r="C56">
        <v>6</v>
      </c>
      <c r="D56">
        <v>174.13351285393901</v>
      </c>
      <c r="E56">
        <v>47.632160106726602</v>
      </c>
      <c r="F56">
        <v>83</v>
      </c>
    </row>
    <row r="57" spans="1:6" x14ac:dyDescent="0.25">
      <c r="A57">
        <v>18005</v>
      </c>
      <c r="B57" t="s">
        <v>8</v>
      </c>
      <c r="C57">
        <v>7</v>
      </c>
      <c r="D57">
        <v>150.05856236521299</v>
      </c>
      <c r="E57">
        <v>41.332979512902298</v>
      </c>
      <c r="F57">
        <v>83</v>
      </c>
    </row>
    <row r="58" spans="1:6" x14ac:dyDescent="0.25">
      <c r="A58">
        <v>18005</v>
      </c>
      <c r="B58" t="s">
        <v>8</v>
      </c>
      <c r="C58">
        <v>8</v>
      </c>
      <c r="D58">
        <v>109.157033577915</v>
      </c>
      <c r="E58">
        <v>34.170897467869104</v>
      </c>
      <c r="F58">
        <v>83</v>
      </c>
    </row>
    <row r="59" spans="1:6" x14ac:dyDescent="0.25">
      <c r="A59">
        <v>18005</v>
      </c>
      <c r="B59" t="s">
        <v>8</v>
      </c>
      <c r="C59">
        <v>9</v>
      </c>
      <c r="D59">
        <v>91.812714408618106</v>
      </c>
      <c r="E59">
        <v>25.024142085055601</v>
      </c>
      <c r="F59">
        <v>83</v>
      </c>
    </row>
    <row r="60" spans="1:6" x14ac:dyDescent="0.25">
      <c r="A60">
        <v>18005</v>
      </c>
      <c r="B60" t="s">
        <v>8</v>
      </c>
      <c r="C60">
        <v>10</v>
      </c>
      <c r="D60">
        <v>79.473223656331996</v>
      </c>
      <c r="E60">
        <v>16.222547282725699</v>
      </c>
      <c r="F60">
        <v>83</v>
      </c>
    </row>
    <row r="61" spans="1:6" x14ac:dyDescent="0.25">
      <c r="A61">
        <v>18005</v>
      </c>
      <c r="B61" t="s">
        <v>8</v>
      </c>
      <c r="C61">
        <v>11</v>
      </c>
      <c r="D61">
        <v>80.422415252661693</v>
      </c>
      <c r="E61">
        <v>11.1314287205937</v>
      </c>
      <c r="F61">
        <v>83</v>
      </c>
    </row>
    <row r="62" spans="1:6" x14ac:dyDescent="0.25">
      <c r="A62">
        <v>18005</v>
      </c>
      <c r="B62" t="s">
        <v>8</v>
      </c>
      <c r="C62">
        <v>12</v>
      </c>
      <c r="D62">
        <v>81.285316703870507</v>
      </c>
      <c r="E62">
        <v>6.7306313194287704</v>
      </c>
      <c r="F62">
        <v>83</v>
      </c>
    </row>
    <row r="63" spans="1:6" x14ac:dyDescent="0.25">
      <c r="A63">
        <v>18005</v>
      </c>
      <c r="B63" t="s">
        <v>8</v>
      </c>
      <c r="C63">
        <v>13</v>
      </c>
      <c r="D63">
        <v>81.199026558749594</v>
      </c>
      <c r="E63">
        <v>5.2636988523737802</v>
      </c>
      <c r="F63">
        <v>83</v>
      </c>
    </row>
    <row r="64" spans="1:6" x14ac:dyDescent="0.25">
      <c r="A64">
        <v>18005</v>
      </c>
      <c r="B64" t="s">
        <v>8</v>
      </c>
      <c r="C64">
        <v>14</v>
      </c>
      <c r="D64">
        <v>89.828041070837799</v>
      </c>
      <c r="E64">
        <v>4.0556368206814302</v>
      </c>
      <c r="F64">
        <v>83</v>
      </c>
    </row>
    <row r="65" spans="1:6" x14ac:dyDescent="0.25">
      <c r="A65">
        <v>18005</v>
      </c>
      <c r="B65" t="s">
        <v>8</v>
      </c>
      <c r="C65">
        <v>15</v>
      </c>
      <c r="D65">
        <v>94.919159632969794</v>
      </c>
      <c r="E65">
        <v>1.72580290241763</v>
      </c>
      <c r="F65">
        <v>83</v>
      </c>
    </row>
    <row r="66" spans="1:6" x14ac:dyDescent="0.25">
      <c r="A66">
        <v>18005</v>
      </c>
      <c r="B66" t="s">
        <v>8</v>
      </c>
      <c r="C66">
        <v>16</v>
      </c>
      <c r="D66">
        <v>96.558672390266594</v>
      </c>
      <c r="E66">
        <v>3.96934667556055</v>
      </c>
      <c r="F66">
        <v>83</v>
      </c>
    </row>
    <row r="67" spans="1:6" x14ac:dyDescent="0.25">
      <c r="A67">
        <v>18005</v>
      </c>
      <c r="B67" t="s">
        <v>8</v>
      </c>
      <c r="C67">
        <v>17</v>
      </c>
      <c r="D67">
        <v>104.06591501578301</v>
      </c>
      <c r="E67">
        <v>2.9338649341099701</v>
      </c>
      <c r="F67">
        <v>83</v>
      </c>
    </row>
    <row r="68" spans="1:6" x14ac:dyDescent="0.25">
      <c r="A68">
        <v>18005</v>
      </c>
      <c r="B68" t="s">
        <v>8</v>
      </c>
      <c r="C68">
        <v>18</v>
      </c>
      <c r="D68">
        <v>120.37475244362901</v>
      </c>
      <c r="E68">
        <v>3.7104762401979099</v>
      </c>
      <c r="F68">
        <v>83</v>
      </c>
    </row>
    <row r="69" spans="1:6" x14ac:dyDescent="0.25">
      <c r="A69">
        <v>18005</v>
      </c>
      <c r="B69" t="s">
        <v>8</v>
      </c>
      <c r="C69">
        <v>19</v>
      </c>
      <c r="D69">
        <v>140.221485821432</v>
      </c>
      <c r="E69">
        <v>7.85240320600023</v>
      </c>
      <c r="F69">
        <v>83</v>
      </c>
    </row>
    <row r="70" spans="1:6" x14ac:dyDescent="0.25">
      <c r="A70">
        <v>18005</v>
      </c>
      <c r="B70" t="s">
        <v>8</v>
      </c>
      <c r="C70">
        <v>20</v>
      </c>
      <c r="D70">
        <v>156.271452813916</v>
      </c>
      <c r="E70">
        <v>15.532226121758701</v>
      </c>
      <c r="F70">
        <v>83</v>
      </c>
    </row>
    <row r="71" spans="1:6" x14ac:dyDescent="0.25">
      <c r="A71">
        <v>18005</v>
      </c>
      <c r="B71" t="s">
        <v>8</v>
      </c>
      <c r="C71">
        <v>21</v>
      </c>
      <c r="D71">
        <v>166.36739979305901</v>
      </c>
      <c r="E71">
        <v>22.8668884570336</v>
      </c>
      <c r="F71">
        <v>83</v>
      </c>
    </row>
    <row r="72" spans="1:6" x14ac:dyDescent="0.25">
      <c r="A72">
        <v>18005</v>
      </c>
      <c r="B72" t="s">
        <v>8</v>
      </c>
      <c r="C72">
        <v>22</v>
      </c>
      <c r="D72">
        <v>176.549636917323</v>
      </c>
      <c r="E72">
        <v>30.633001517912898</v>
      </c>
      <c r="F72">
        <v>83</v>
      </c>
    </row>
    <row r="73" spans="1:6" x14ac:dyDescent="0.25">
      <c r="A73">
        <v>18005</v>
      </c>
      <c r="B73" t="s">
        <v>8</v>
      </c>
      <c r="C73">
        <v>23</v>
      </c>
      <c r="D73">
        <v>181.209304753851</v>
      </c>
      <c r="E73">
        <v>36.932182111737298</v>
      </c>
      <c r="F73">
        <v>83</v>
      </c>
    </row>
    <row r="74" spans="1:6" x14ac:dyDescent="0.25">
      <c r="A74">
        <v>18007</v>
      </c>
      <c r="B74" t="s">
        <v>9</v>
      </c>
      <c r="C74">
        <v>0</v>
      </c>
      <c r="D74">
        <v>9.5374161888721005</v>
      </c>
      <c r="E74">
        <v>0</v>
      </c>
      <c r="F74">
        <v>39</v>
      </c>
    </row>
    <row r="75" spans="1:6" x14ac:dyDescent="0.25">
      <c r="A75">
        <v>18007</v>
      </c>
      <c r="B75" t="s">
        <v>9</v>
      </c>
      <c r="C75">
        <v>1</v>
      </c>
      <c r="D75">
        <v>9.72627591538442</v>
      </c>
      <c r="E75">
        <v>0</v>
      </c>
      <c r="F75">
        <v>39</v>
      </c>
    </row>
    <row r="76" spans="1:6" x14ac:dyDescent="0.25">
      <c r="A76">
        <v>18007</v>
      </c>
      <c r="B76" t="s">
        <v>9</v>
      </c>
      <c r="C76">
        <v>2</v>
      </c>
      <c r="D76">
        <v>9.3485564623597792</v>
      </c>
      <c r="E76">
        <v>0</v>
      </c>
      <c r="F76">
        <v>39</v>
      </c>
    </row>
    <row r="77" spans="1:6" x14ac:dyDescent="0.25">
      <c r="A77">
        <v>18007</v>
      </c>
      <c r="B77" t="s">
        <v>9</v>
      </c>
      <c r="C77">
        <v>3</v>
      </c>
      <c r="D77">
        <v>9.3485564623597792</v>
      </c>
      <c r="E77">
        <v>0</v>
      </c>
      <c r="F77">
        <v>39</v>
      </c>
    </row>
    <row r="78" spans="1:6" x14ac:dyDescent="0.25">
      <c r="A78">
        <v>18007</v>
      </c>
      <c r="B78" t="s">
        <v>9</v>
      </c>
      <c r="C78">
        <v>4</v>
      </c>
      <c r="D78">
        <v>9.2541265991036195</v>
      </c>
      <c r="E78">
        <v>0</v>
      </c>
      <c r="F78">
        <v>39</v>
      </c>
    </row>
    <row r="79" spans="1:6" x14ac:dyDescent="0.25">
      <c r="A79">
        <v>18007</v>
      </c>
      <c r="B79" t="s">
        <v>9</v>
      </c>
      <c r="C79">
        <v>5</v>
      </c>
      <c r="D79">
        <v>9.6318460521282603</v>
      </c>
      <c r="E79">
        <v>0</v>
      </c>
      <c r="F79">
        <v>39</v>
      </c>
    </row>
    <row r="80" spans="1:6" x14ac:dyDescent="0.25">
      <c r="A80">
        <v>18007</v>
      </c>
      <c r="B80" t="s">
        <v>9</v>
      </c>
      <c r="C80">
        <v>6</v>
      </c>
      <c r="D80">
        <v>11.5204433172514</v>
      </c>
      <c r="E80">
        <v>0</v>
      </c>
      <c r="F80">
        <v>39</v>
      </c>
    </row>
    <row r="81" spans="1:6" x14ac:dyDescent="0.25">
      <c r="A81">
        <v>18007</v>
      </c>
      <c r="B81" t="s">
        <v>9</v>
      </c>
      <c r="C81">
        <v>7</v>
      </c>
      <c r="D81">
        <v>11.4260134539952</v>
      </c>
      <c r="E81">
        <v>3.6827646669902099</v>
      </c>
      <c r="F81">
        <v>39</v>
      </c>
    </row>
    <row r="82" spans="1:6" x14ac:dyDescent="0.25">
      <c r="A82">
        <v>18007</v>
      </c>
      <c r="B82" t="s">
        <v>9</v>
      </c>
      <c r="C82">
        <v>8</v>
      </c>
      <c r="D82">
        <v>8.2153981032858692</v>
      </c>
      <c r="E82">
        <v>3.4939049404778899</v>
      </c>
      <c r="F82">
        <v>39</v>
      </c>
    </row>
    <row r="83" spans="1:6" x14ac:dyDescent="0.25">
      <c r="A83">
        <v>18007</v>
      </c>
      <c r="B83" t="s">
        <v>9</v>
      </c>
      <c r="C83">
        <v>9</v>
      </c>
      <c r="D83">
        <v>5.8546515218818804</v>
      </c>
      <c r="E83">
        <v>4.0604841200148503</v>
      </c>
      <c r="F83">
        <v>39</v>
      </c>
    </row>
    <row r="84" spans="1:6" x14ac:dyDescent="0.25">
      <c r="A84">
        <v>18007</v>
      </c>
      <c r="B84" t="s">
        <v>9</v>
      </c>
      <c r="C84">
        <v>10</v>
      </c>
      <c r="D84">
        <v>5.4769320688572396</v>
      </c>
      <c r="E84">
        <v>3.3050452139655699</v>
      </c>
      <c r="F84">
        <v>39</v>
      </c>
    </row>
    <row r="85" spans="1:6" x14ac:dyDescent="0.25">
      <c r="A85">
        <v>18007</v>
      </c>
      <c r="B85" t="s">
        <v>9</v>
      </c>
      <c r="C85">
        <v>11</v>
      </c>
      <c r="D85">
        <v>5.3825022056010798</v>
      </c>
      <c r="E85">
        <v>2.5496063079162998</v>
      </c>
      <c r="F85">
        <v>39</v>
      </c>
    </row>
    <row r="86" spans="1:6" x14ac:dyDescent="0.25">
      <c r="A86">
        <v>18007</v>
      </c>
      <c r="B86" t="s">
        <v>9</v>
      </c>
      <c r="C86">
        <v>12</v>
      </c>
      <c r="D86">
        <v>5.2880723423449201</v>
      </c>
      <c r="E86">
        <v>2.4551764446601401</v>
      </c>
      <c r="F86">
        <v>39</v>
      </c>
    </row>
    <row r="87" spans="1:6" x14ac:dyDescent="0.25">
      <c r="A87">
        <v>18007</v>
      </c>
      <c r="B87" t="s">
        <v>9</v>
      </c>
      <c r="C87">
        <v>13</v>
      </c>
      <c r="D87">
        <v>5.7602216586257198</v>
      </c>
      <c r="E87">
        <v>3.3050452139655699</v>
      </c>
      <c r="F87">
        <v>39</v>
      </c>
    </row>
    <row r="88" spans="1:6" x14ac:dyDescent="0.25">
      <c r="A88">
        <v>18007</v>
      </c>
      <c r="B88" t="s">
        <v>9</v>
      </c>
      <c r="C88">
        <v>14</v>
      </c>
      <c r="D88">
        <v>6.4212307014188399</v>
      </c>
      <c r="E88">
        <v>3.2106153507094199</v>
      </c>
      <c r="F88">
        <v>39</v>
      </c>
    </row>
    <row r="89" spans="1:6" x14ac:dyDescent="0.25">
      <c r="A89">
        <v>18007</v>
      </c>
      <c r="B89" t="s">
        <v>9</v>
      </c>
      <c r="C89">
        <v>15</v>
      </c>
      <c r="D89">
        <v>5.5713619321134003</v>
      </c>
      <c r="E89">
        <v>0</v>
      </c>
      <c r="F89">
        <v>39</v>
      </c>
    </row>
    <row r="90" spans="1:6" x14ac:dyDescent="0.25">
      <c r="A90">
        <v>18007</v>
      </c>
      <c r="B90" t="s">
        <v>9</v>
      </c>
      <c r="C90">
        <v>16</v>
      </c>
      <c r="D90">
        <v>5.5713619321134003</v>
      </c>
      <c r="E90">
        <v>0.188859726512318</v>
      </c>
      <c r="F90">
        <v>39</v>
      </c>
    </row>
    <row r="91" spans="1:6" x14ac:dyDescent="0.25">
      <c r="A91">
        <v>18007</v>
      </c>
      <c r="B91" t="s">
        <v>9</v>
      </c>
      <c r="C91">
        <v>17</v>
      </c>
      <c r="D91">
        <v>5.0047827525764399</v>
      </c>
      <c r="E91">
        <v>0.28328958976847801</v>
      </c>
      <c r="F91">
        <v>39</v>
      </c>
    </row>
    <row r="92" spans="1:6" x14ac:dyDescent="0.25">
      <c r="A92">
        <v>18007</v>
      </c>
      <c r="B92" t="s">
        <v>9</v>
      </c>
      <c r="C92">
        <v>18</v>
      </c>
      <c r="D92">
        <v>5.7602216586257198</v>
      </c>
      <c r="E92">
        <v>0.28328958976847801</v>
      </c>
      <c r="F92">
        <v>39</v>
      </c>
    </row>
    <row r="93" spans="1:6" x14ac:dyDescent="0.25">
      <c r="A93">
        <v>18007</v>
      </c>
      <c r="B93" t="s">
        <v>9</v>
      </c>
      <c r="C93">
        <v>19</v>
      </c>
      <c r="D93">
        <v>6.3268008381626801</v>
      </c>
      <c r="E93">
        <v>0</v>
      </c>
      <c r="F93">
        <v>39</v>
      </c>
    </row>
    <row r="94" spans="1:6" x14ac:dyDescent="0.25">
      <c r="A94">
        <v>18007</v>
      </c>
      <c r="B94" t="s">
        <v>9</v>
      </c>
      <c r="C94">
        <v>20</v>
      </c>
      <c r="D94">
        <v>7.9321085135173899</v>
      </c>
      <c r="E94">
        <v>0.188859726512318</v>
      </c>
      <c r="F94">
        <v>39</v>
      </c>
    </row>
    <row r="95" spans="1:6" x14ac:dyDescent="0.25">
      <c r="A95">
        <v>18007</v>
      </c>
      <c r="B95" t="s">
        <v>9</v>
      </c>
      <c r="C95">
        <v>21</v>
      </c>
      <c r="D95">
        <v>8.9708370093351402</v>
      </c>
      <c r="E95">
        <v>0</v>
      </c>
      <c r="F95">
        <v>39</v>
      </c>
    </row>
    <row r="96" spans="1:6" x14ac:dyDescent="0.25">
      <c r="A96">
        <v>18007</v>
      </c>
      <c r="B96" t="s">
        <v>9</v>
      </c>
      <c r="C96">
        <v>22</v>
      </c>
      <c r="D96">
        <v>9.2541265991036195</v>
      </c>
      <c r="E96">
        <v>0</v>
      </c>
      <c r="F96">
        <v>39</v>
      </c>
    </row>
    <row r="97" spans="1:6" x14ac:dyDescent="0.25">
      <c r="A97">
        <v>18007</v>
      </c>
      <c r="B97" t="s">
        <v>9</v>
      </c>
      <c r="C97">
        <v>23</v>
      </c>
      <c r="D97">
        <v>9.2541265991036195</v>
      </c>
      <c r="E97">
        <v>0</v>
      </c>
      <c r="F97">
        <v>39</v>
      </c>
    </row>
    <row r="98" spans="1:6" x14ac:dyDescent="0.25">
      <c r="A98">
        <v>18009</v>
      </c>
      <c r="B98" t="s">
        <v>10</v>
      </c>
      <c r="C98">
        <v>0</v>
      </c>
      <c r="D98">
        <v>0</v>
      </c>
      <c r="E98">
        <v>0</v>
      </c>
      <c r="F98">
        <v>0</v>
      </c>
    </row>
    <row r="99" spans="1:6" x14ac:dyDescent="0.25">
      <c r="A99">
        <v>18009</v>
      </c>
      <c r="B99" t="s">
        <v>10</v>
      </c>
      <c r="C99">
        <v>1</v>
      </c>
      <c r="D99">
        <v>0</v>
      </c>
      <c r="E99">
        <v>0</v>
      </c>
      <c r="F99">
        <v>0</v>
      </c>
    </row>
    <row r="100" spans="1:6" x14ac:dyDescent="0.25">
      <c r="A100">
        <v>18009</v>
      </c>
      <c r="B100" t="s">
        <v>10</v>
      </c>
      <c r="C100">
        <v>2</v>
      </c>
      <c r="D100">
        <v>0</v>
      </c>
      <c r="E100">
        <v>0</v>
      </c>
      <c r="F100">
        <v>0</v>
      </c>
    </row>
    <row r="101" spans="1:6" x14ac:dyDescent="0.25">
      <c r="A101">
        <v>18009</v>
      </c>
      <c r="B101" t="s">
        <v>10</v>
      </c>
      <c r="C101">
        <v>3</v>
      </c>
      <c r="D101">
        <v>0</v>
      </c>
      <c r="E101">
        <v>0</v>
      </c>
      <c r="F101">
        <v>0</v>
      </c>
    </row>
    <row r="102" spans="1:6" x14ac:dyDescent="0.25">
      <c r="A102">
        <v>18009</v>
      </c>
      <c r="B102" t="s">
        <v>10</v>
      </c>
      <c r="C102">
        <v>4</v>
      </c>
      <c r="D102">
        <v>0</v>
      </c>
      <c r="E102">
        <v>0</v>
      </c>
      <c r="F102">
        <v>0</v>
      </c>
    </row>
    <row r="103" spans="1:6" x14ac:dyDescent="0.25">
      <c r="A103">
        <v>18009</v>
      </c>
      <c r="B103" t="s">
        <v>10</v>
      </c>
      <c r="C103">
        <v>5</v>
      </c>
      <c r="D103">
        <v>0</v>
      </c>
      <c r="E103">
        <v>0</v>
      </c>
      <c r="F103">
        <v>0</v>
      </c>
    </row>
    <row r="104" spans="1:6" x14ac:dyDescent="0.25">
      <c r="A104">
        <v>18009</v>
      </c>
      <c r="B104" t="s">
        <v>10</v>
      </c>
      <c r="C104">
        <v>6</v>
      </c>
      <c r="D104">
        <v>0</v>
      </c>
      <c r="E104">
        <v>0</v>
      </c>
      <c r="F104">
        <v>0</v>
      </c>
    </row>
    <row r="105" spans="1:6" x14ac:dyDescent="0.25">
      <c r="A105">
        <v>18009</v>
      </c>
      <c r="B105" t="s">
        <v>10</v>
      </c>
      <c r="C105">
        <v>7</v>
      </c>
      <c r="D105">
        <v>0</v>
      </c>
      <c r="E105">
        <v>0</v>
      </c>
      <c r="F105">
        <v>0</v>
      </c>
    </row>
    <row r="106" spans="1:6" x14ac:dyDescent="0.25">
      <c r="A106">
        <v>18009</v>
      </c>
      <c r="B106" t="s">
        <v>10</v>
      </c>
      <c r="C106">
        <v>8</v>
      </c>
      <c r="D106">
        <v>0</v>
      </c>
      <c r="E106">
        <v>0</v>
      </c>
      <c r="F106">
        <v>0</v>
      </c>
    </row>
    <row r="107" spans="1:6" x14ac:dyDescent="0.25">
      <c r="A107">
        <v>18009</v>
      </c>
      <c r="B107" t="s">
        <v>10</v>
      </c>
      <c r="C107">
        <v>9</v>
      </c>
      <c r="D107">
        <v>0</v>
      </c>
      <c r="E107">
        <v>0</v>
      </c>
      <c r="F107">
        <v>0</v>
      </c>
    </row>
    <row r="108" spans="1:6" x14ac:dyDescent="0.25">
      <c r="A108">
        <v>18009</v>
      </c>
      <c r="B108" t="s">
        <v>10</v>
      </c>
      <c r="C108">
        <v>10</v>
      </c>
      <c r="D108">
        <v>0</v>
      </c>
      <c r="E108">
        <v>0</v>
      </c>
      <c r="F108">
        <v>0</v>
      </c>
    </row>
    <row r="109" spans="1:6" x14ac:dyDescent="0.25">
      <c r="A109">
        <v>18009</v>
      </c>
      <c r="B109" t="s">
        <v>10</v>
      </c>
      <c r="C109">
        <v>11</v>
      </c>
      <c r="D109">
        <v>0</v>
      </c>
      <c r="E109">
        <v>0</v>
      </c>
      <c r="F109">
        <v>0</v>
      </c>
    </row>
    <row r="110" spans="1:6" x14ac:dyDescent="0.25">
      <c r="A110">
        <v>18009</v>
      </c>
      <c r="B110" t="s">
        <v>10</v>
      </c>
      <c r="C110">
        <v>12</v>
      </c>
      <c r="D110">
        <v>0</v>
      </c>
      <c r="E110">
        <v>0</v>
      </c>
      <c r="F110">
        <v>0</v>
      </c>
    </row>
    <row r="111" spans="1:6" x14ac:dyDescent="0.25">
      <c r="A111">
        <v>18009</v>
      </c>
      <c r="B111" t="s">
        <v>10</v>
      </c>
      <c r="C111">
        <v>13</v>
      </c>
      <c r="D111">
        <v>0</v>
      </c>
      <c r="E111">
        <v>0</v>
      </c>
      <c r="F111">
        <v>0</v>
      </c>
    </row>
    <row r="112" spans="1:6" x14ac:dyDescent="0.25">
      <c r="A112">
        <v>18009</v>
      </c>
      <c r="B112" t="s">
        <v>10</v>
      </c>
      <c r="C112">
        <v>14</v>
      </c>
      <c r="D112">
        <v>0</v>
      </c>
      <c r="E112">
        <v>0</v>
      </c>
      <c r="F112">
        <v>0</v>
      </c>
    </row>
    <row r="113" spans="1:6" x14ac:dyDescent="0.25">
      <c r="A113">
        <v>18009</v>
      </c>
      <c r="B113" t="s">
        <v>10</v>
      </c>
      <c r="C113">
        <v>15</v>
      </c>
      <c r="D113">
        <v>0</v>
      </c>
      <c r="E113">
        <v>0</v>
      </c>
      <c r="F113">
        <v>0</v>
      </c>
    </row>
    <row r="114" spans="1:6" x14ac:dyDescent="0.25">
      <c r="A114">
        <v>18009</v>
      </c>
      <c r="B114" t="s">
        <v>10</v>
      </c>
      <c r="C114">
        <v>16</v>
      </c>
      <c r="D114">
        <v>0</v>
      </c>
      <c r="E114">
        <v>0</v>
      </c>
      <c r="F114">
        <v>0</v>
      </c>
    </row>
    <row r="115" spans="1:6" x14ac:dyDescent="0.25">
      <c r="A115">
        <v>18009</v>
      </c>
      <c r="B115" t="s">
        <v>10</v>
      </c>
      <c r="C115">
        <v>17</v>
      </c>
      <c r="D115">
        <v>0</v>
      </c>
      <c r="E115">
        <v>0</v>
      </c>
      <c r="F115">
        <v>0</v>
      </c>
    </row>
    <row r="116" spans="1:6" x14ac:dyDescent="0.25">
      <c r="A116">
        <v>18009</v>
      </c>
      <c r="B116" t="s">
        <v>10</v>
      </c>
      <c r="C116">
        <v>18</v>
      </c>
      <c r="D116">
        <v>0</v>
      </c>
      <c r="E116">
        <v>0</v>
      </c>
      <c r="F116">
        <v>0</v>
      </c>
    </row>
    <row r="117" spans="1:6" x14ac:dyDescent="0.25">
      <c r="A117">
        <v>18009</v>
      </c>
      <c r="B117" t="s">
        <v>10</v>
      </c>
      <c r="C117">
        <v>19</v>
      </c>
      <c r="D117">
        <v>0</v>
      </c>
      <c r="E117">
        <v>0</v>
      </c>
      <c r="F117">
        <v>0</v>
      </c>
    </row>
    <row r="118" spans="1:6" x14ac:dyDescent="0.25">
      <c r="A118">
        <v>18009</v>
      </c>
      <c r="B118" t="s">
        <v>10</v>
      </c>
      <c r="C118">
        <v>20</v>
      </c>
      <c r="D118">
        <v>0</v>
      </c>
      <c r="E118">
        <v>0</v>
      </c>
      <c r="F118">
        <v>0</v>
      </c>
    </row>
    <row r="119" spans="1:6" x14ac:dyDescent="0.25">
      <c r="A119">
        <v>18009</v>
      </c>
      <c r="B119" t="s">
        <v>10</v>
      </c>
      <c r="C119">
        <v>21</v>
      </c>
      <c r="D119">
        <v>0</v>
      </c>
      <c r="E119">
        <v>0</v>
      </c>
      <c r="F119">
        <v>0</v>
      </c>
    </row>
    <row r="120" spans="1:6" x14ac:dyDescent="0.25">
      <c r="A120">
        <v>18009</v>
      </c>
      <c r="B120" t="s">
        <v>10</v>
      </c>
      <c r="C120">
        <v>22</v>
      </c>
      <c r="D120">
        <v>0</v>
      </c>
      <c r="E120">
        <v>0</v>
      </c>
      <c r="F120">
        <v>0</v>
      </c>
    </row>
    <row r="121" spans="1:6" x14ac:dyDescent="0.25">
      <c r="A121">
        <v>18009</v>
      </c>
      <c r="B121" t="s">
        <v>10</v>
      </c>
      <c r="C121">
        <v>23</v>
      </c>
      <c r="D121">
        <v>0</v>
      </c>
      <c r="E121">
        <v>0</v>
      </c>
      <c r="F121">
        <v>0</v>
      </c>
    </row>
    <row r="122" spans="1:6" x14ac:dyDescent="0.25">
      <c r="A122">
        <v>18011</v>
      </c>
      <c r="B122" t="s">
        <v>11</v>
      </c>
      <c r="C122">
        <v>0</v>
      </c>
      <c r="D122">
        <v>618.05411316957702</v>
      </c>
      <c r="E122">
        <v>33.6728511086827</v>
      </c>
      <c r="F122">
        <v>550</v>
      </c>
    </row>
    <row r="123" spans="1:6" x14ac:dyDescent="0.25">
      <c r="A123">
        <v>18011</v>
      </c>
      <c r="B123" t="s">
        <v>11</v>
      </c>
      <c r="C123">
        <v>1</v>
      </c>
      <c r="D123">
        <v>618.22888575318598</v>
      </c>
      <c r="E123">
        <v>37.750878059561302</v>
      </c>
      <c r="F123">
        <v>550</v>
      </c>
    </row>
    <row r="124" spans="1:6" x14ac:dyDescent="0.25">
      <c r="A124">
        <v>18011</v>
      </c>
      <c r="B124" t="s">
        <v>11</v>
      </c>
      <c r="C124">
        <v>2</v>
      </c>
      <c r="D124">
        <v>614.20911633017704</v>
      </c>
      <c r="E124">
        <v>41.537617371091301</v>
      </c>
      <c r="F124">
        <v>550</v>
      </c>
    </row>
    <row r="125" spans="1:6" x14ac:dyDescent="0.25">
      <c r="A125">
        <v>18011</v>
      </c>
      <c r="B125" t="s">
        <v>11</v>
      </c>
      <c r="C125">
        <v>3</v>
      </c>
      <c r="D125">
        <v>599.29518919553595</v>
      </c>
      <c r="E125">
        <v>42.877540512094299</v>
      </c>
      <c r="F125">
        <v>550</v>
      </c>
    </row>
    <row r="126" spans="1:6" x14ac:dyDescent="0.25">
      <c r="A126">
        <v>18011</v>
      </c>
      <c r="B126" t="s">
        <v>11</v>
      </c>
      <c r="C126">
        <v>4</v>
      </c>
      <c r="D126">
        <v>578.67202432966405</v>
      </c>
      <c r="E126">
        <v>44.159206125227499</v>
      </c>
      <c r="F126">
        <v>550</v>
      </c>
    </row>
    <row r="127" spans="1:6" x14ac:dyDescent="0.25">
      <c r="A127">
        <v>18011</v>
      </c>
      <c r="B127" t="s">
        <v>11</v>
      </c>
      <c r="C127">
        <v>5</v>
      </c>
      <c r="D127">
        <v>548.31985230955399</v>
      </c>
      <c r="E127">
        <v>44.275721180966897</v>
      </c>
      <c r="F127">
        <v>550</v>
      </c>
    </row>
    <row r="128" spans="1:6" x14ac:dyDescent="0.25">
      <c r="A128">
        <v>18011</v>
      </c>
      <c r="B128" t="s">
        <v>11</v>
      </c>
      <c r="C128">
        <v>6</v>
      </c>
      <c r="D128">
        <v>500.490421928535</v>
      </c>
      <c r="E128">
        <v>43.4018582629215</v>
      </c>
      <c r="F128">
        <v>550</v>
      </c>
    </row>
    <row r="129" spans="1:6" x14ac:dyDescent="0.25">
      <c r="A129">
        <v>18011</v>
      </c>
      <c r="B129" t="s">
        <v>11</v>
      </c>
      <c r="C129">
        <v>7</v>
      </c>
      <c r="D129">
        <v>440.77645586210002</v>
      </c>
      <c r="E129">
        <v>39.382088839912697</v>
      </c>
      <c r="F129">
        <v>550</v>
      </c>
    </row>
    <row r="130" spans="1:6" x14ac:dyDescent="0.25">
      <c r="A130">
        <v>18011</v>
      </c>
      <c r="B130" t="s">
        <v>11</v>
      </c>
      <c r="C130">
        <v>8</v>
      </c>
      <c r="D130">
        <v>370.45961972338</v>
      </c>
      <c r="E130">
        <v>32.332927967679801</v>
      </c>
      <c r="F130">
        <v>550</v>
      </c>
    </row>
    <row r="131" spans="1:6" x14ac:dyDescent="0.25">
      <c r="A131">
        <v>18011</v>
      </c>
      <c r="B131" t="s">
        <v>11</v>
      </c>
      <c r="C131">
        <v>9</v>
      </c>
      <c r="D131">
        <v>324.84397540140998</v>
      </c>
      <c r="E131">
        <v>24.235131593792399</v>
      </c>
      <c r="F131">
        <v>550</v>
      </c>
    </row>
    <row r="132" spans="1:6" x14ac:dyDescent="0.25">
      <c r="A132">
        <v>18011</v>
      </c>
      <c r="B132" t="s">
        <v>11</v>
      </c>
      <c r="C132">
        <v>10</v>
      </c>
      <c r="D132">
        <v>299.15240561087501</v>
      </c>
      <c r="E132">
        <v>19.458014308477502</v>
      </c>
      <c r="F132">
        <v>550</v>
      </c>
    </row>
    <row r="133" spans="1:6" x14ac:dyDescent="0.25">
      <c r="A133">
        <v>18011</v>
      </c>
      <c r="B133" t="s">
        <v>11</v>
      </c>
      <c r="C133">
        <v>11</v>
      </c>
      <c r="D133">
        <v>292.860592600948</v>
      </c>
      <c r="E133">
        <v>18.001576111735201</v>
      </c>
      <c r="F133">
        <v>550</v>
      </c>
    </row>
    <row r="134" spans="1:6" x14ac:dyDescent="0.25">
      <c r="A134">
        <v>18011</v>
      </c>
      <c r="B134" t="s">
        <v>11</v>
      </c>
      <c r="C134">
        <v>12</v>
      </c>
      <c r="D134">
        <v>303.81300784045101</v>
      </c>
      <c r="E134">
        <v>16.312107803514099</v>
      </c>
      <c r="F134">
        <v>550</v>
      </c>
    </row>
    <row r="135" spans="1:6" x14ac:dyDescent="0.25">
      <c r="A135">
        <v>18011</v>
      </c>
      <c r="B135" t="s">
        <v>11</v>
      </c>
      <c r="C135">
        <v>13</v>
      </c>
      <c r="D135">
        <v>309.34747298807099</v>
      </c>
      <c r="E135">
        <v>12.175823324765901</v>
      </c>
      <c r="F135">
        <v>550</v>
      </c>
    </row>
    <row r="136" spans="1:6" x14ac:dyDescent="0.25">
      <c r="A136">
        <v>18011</v>
      </c>
      <c r="B136" t="s">
        <v>11</v>
      </c>
      <c r="C136">
        <v>14</v>
      </c>
      <c r="D136">
        <v>320.64943339479203</v>
      </c>
      <c r="E136">
        <v>12.1175657968962</v>
      </c>
      <c r="F136">
        <v>550</v>
      </c>
    </row>
    <row r="137" spans="1:6" x14ac:dyDescent="0.25">
      <c r="A137">
        <v>18011</v>
      </c>
      <c r="B137" t="s">
        <v>11</v>
      </c>
      <c r="C137">
        <v>15</v>
      </c>
      <c r="D137">
        <v>337.83540411635198</v>
      </c>
      <c r="E137">
        <v>12.1175657968962</v>
      </c>
      <c r="F137">
        <v>550</v>
      </c>
    </row>
    <row r="138" spans="1:6" x14ac:dyDescent="0.25">
      <c r="A138">
        <v>18011</v>
      </c>
      <c r="B138" t="s">
        <v>11</v>
      </c>
      <c r="C138">
        <v>16</v>
      </c>
      <c r="D138">
        <v>370.69264983485903</v>
      </c>
      <c r="E138">
        <v>11.068930295241699</v>
      </c>
      <c r="F138">
        <v>550</v>
      </c>
    </row>
    <row r="139" spans="1:6" x14ac:dyDescent="0.25">
      <c r="A139">
        <v>18011</v>
      </c>
      <c r="B139" t="s">
        <v>11</v>
      </c>
      <c r="C139">
        <v>17</v>
      </c>
      <c r="D139">
        <v>416.01700651748001</v>
      </c>
      <c r="E139">
        <v>11.768020629678</v>
      </c>
      <c r="F139">
        <v>550</v>
      </c>
    </row>
    <row r="140" spans="1:6" x14ac:dyDescent="0.25">
      <c r="A140">
        <v>18011</v>
      </c>
      <c r="B140" t="s">
        <v>11</v>
      </c>
      <c r="C140">
        <v>18</v>
      </c>
      <c r="D140">
        <v>462.79780139684402</v>
      </c>
      <c r="E140">
        <v>11.010672767372</v>
      </c>
      <c r="F140">
        <v>550</v>
      </c>
    </row>
    <row r="141" spans="1:6" x14ac:dyDescent="0.25">
      <c r="A141">
        <v>18011</v>
      </c>
      <c r="B141" t="s">
        <v>11</v>
      </c>
      <c r="C141">
        <v>19</v>
      </c>
      <c r="D141">
        <v>508.18041560733502</v>
      </c>
      <c r="E141">
        <v>12.292338380505299</v>
      </c>
      <c r="F141">
        <v>550</v>
      </c>
    </row>
    <row r="142" spans="1:6" x14ac:dyDescent="0.25">
      <c r="A142">
        <v>18011</v>
      </c>
      <c r="B142" t="s">
        <v>11</v>
      </c>
      <c r="C142">
        <v>20</v>
      </c>
      <c r="D142">
        <v>547.44598939150796</v>
      </c>
      <c r="E142">
        <v>18.7006664461715</v>
      </c>
      <c r="F142">
        <v>550</v>
      </c>
    </row>
    <row r="143" spans="1:6" x14ac:dyDescent="0.25">
      <c r="A143">
        <v>18011</v>
      </c>
      <c r="B143" t="s">
        <v>11</v>
      </c>
      <c r="C143">
        <v>21</v>
      </c>
      <c r="D143">
        <v>582.16747600184601</v>
      </c>
      <c r="E143">
        <v>25.575054734795302</v>
      </c>
      <c r="F143">
        <v>550</v>
      </c>
    </row>
    <row r="144" spans="1:6" x14ac:dyDescent="0.25">
      <c r="A144">
        <v>18011</v>
      </c>
      <c r="B144" t="s">
        <v>11</v>
      </c>
      <c r="C144">
        <v>22</v>
      </c>
      <c r="D144">
        <v>599.353446723405</v>
      </c>
      <c r="E144">
        <v>26.2741450692317</v>
      </c>
      <c r="F144">
        <v>550</v>
      </c>
    </row>
    <row r="145" spans="1:6" x14ac:dyDescent="0.25">
      <c r="A145">
        <v>18011</v>
      </c>
      <c r="B145" t="s">
        <v>11</v>
      </c>
      <c r="C145">
        <v>23</v>
      </c>
      <c r="D145">
        <v>611.99533027112898</v>
      </c>
      <c r="E145">
        <v>28.7792187676285</v>
      </c>
      <c r="F145">
        <v>550</v>
      </c>
    </row>
    <row r="146" spans="1:6" x14ac:dyDescent="0.25">
      <c r="A146">
        <v>18013</v>
      </c>
      <c r="B146" t="s">
        <v>12</v>
      </c>
      <c r="C146">
        <v>0</v>
      </c>
      <c r="D146">
        <v>0</v>
      </c>
      <c r="E146">
        <v>0</v>
      </c>
      <c r="F146">
        <v>0</v>
      </c>
    </row>
    <row r="147" spans="1:6" x14ac:dyDescent="0.25">
      <c r="A147">
        <v>18013</v>
      </c>
      <c r="B147" t="s">
        <v>12</v>
      </c>
      <c r="C147">
        <v>1</v>
      </c>
      <c r="D147">
        <v>0</v>
      </c>
      <c r="E147">
        <v>0</v>
      </c>
      <c r="F147">
        <v>0</v>
      </c>
    </row>
    <row r="148" spans="1:6" x14ac:dyDescent="0.25">
      <c r="A148">
        <v>18013</v>
      </c>
      <c r="B148" t="s">
        <v>12</v>
      </c>
      <c r="C148">
        <v>2</v>
      </c>
      <c r="D148">
        <v>0</v>
      </c>
      <c r="E148">
        <v>0</v>
      </c>
      <c r="F148">
        <v>0</v>
      </c>
    </row>
    <row r="149" spans="1:6" x14ac:dyDescent="0.25">
      <c r="A149">
        <v>18013</v>
      </c>
      <c r="B149" t="s">
        <v>12</v>
      </c>
      <c r="C149">
        <v>3</v>
      </c>
      <c r="D149">
        <v>0</v>
      </c>
      <c r="E149">
        <v>0</v>
      </c>
      <c r="F149">
        <v>0</v>
      </c>
    </row>
    <row r="150" spans="1:6" x14ac:dyDescent="0.25">
      <c r="A150">
        <v>18013</v>
      </c>
      <c r="B150" t="s">
        <v>12</v>
      </c>
      <c r="C150">
        <v>4</v>
      </c>
      <c r="D150">
        <v>0</v>
      </c>
      <c r="E150">
        <v>0</v>
      </c>
      <c r="F150">
        <v>0</v>
      </c>
    </row>
    <row r="151" spans="1:6" x14ac:dyDescent="0.25">
      <c r="A151">
        <v>18013</v>
      </c>
      <c r="B151" t="s">
        <v>12</v>
      </c>
      <c r="C151">
        <v>5</v>
      </c>
      <c r="D151">
        <v>0</v>
      </c>
      <c r="E151">
        <v>0</v>
      </c>
      <c r="F151">
        <v>0</v>
      </c>
    </row>
    <row r="152" spans="1:6" x14ac:dyDescent="0.25">
      <c r="A152">
        <v>18013</v>
      </c>
      <c r="B152" t="s">
        <v>12</v>
      </c>
      <c r="C152">
        <v>6</v>
      </c>
      <c r="D152">
        <v>0</v>
      </c>
      <c r="E152">
        <v>0</v>
      </c>
      <c r="F152">
        <v>0</v>
      </c>
    </row>
    <row r="153" spans="1:6" x14ac:dyDescent="0.25">
      <c r="A153">
        <v>18013</v>
      </c>
      <c r="B153" t="s">
        <v>12</v>
      </c>
      <c r="C153">
        <v>7</v>
      </c>
      <c r="D153">
        <v>0</v>
      </c>
      <c r="E153">
        <v>0</v>
      </c>
      <c r="F153">
        <v>0</v>
      </c>
    </row>
    <row r="154" spans="1:6" x14ac:dyDescent="0.25">
      <c r="A154">
        <v>18013</v>
      </c>
      <c r="B154" t="s">
        <v>12</v>
      </c>
      <c r="C154">
        <v>8</v>
      </c>
      <c r="D154">
        <v>0</v>
      </c>
      <c r="E154">
        <v>0</v>
      </c>
      <c r="F154">
        <v>0</v>
      </c>
    </row>
    <row r="155" spans="1:6" x14ac:dyDescent="0.25">
      <c r="A155">
        <v>18013</v>
      </c>
      <c r="B155" t="s">
        <v>12</v>
      </c>
      <c r="C155">
        <v>9</v>
      </c>
      <c r="D155">
        <v>0</v>
      </c>
      <c r="E155">
        <v>0</v>
      </c>
      <c r="F155">
        <v>0</v>
      </c>
    </row>
    <row r="156" spans="1:6" x14ac:dyDescent="0.25">
      <c r="A156">
        <v>18013</v>
      </c>
      <c r="B156" t="s">
        <v>12</v>
      </c>
      <c r="C156">
        <v>10</v>
      </c>
      <c r="D156">
        <v>0</v>
      </c>
      <c r="E156">
        <v>0</v>
      </c>
      <c r="F156">
        <v>0</v>
      </c>
    </row>
    <row r="157" spans="1:6" x14ac:dyDescent="0.25">
      <c r="A157">
        <v>18013</v>
      </c>
      <c r="B157" t="s">
        <v>12</v>
      </c>
      <c r="C157">
        <v>11</v>
      </c>
      <c r="D157">
        <v>0</v>
      </c>
      <c r="E157">
        <v>0</v>
      </c>
      <c r="F157">
        <v>0</v>
      </c>
    </row>
    <row r="158" spans="1:6" x14ac:dyDescent="0.25">
      <c r="A158">
        <v>18013</v>
      </c>
      <c r="B158" t="s">
        <v>12</v>
      </c>
      <c r="C158">
        <v>12</v>
      </c>
      <c r="D158">
        <v>0</v>
      </c>
      <c r="E158">
        <v>0</v>
      </c>
      <c r="F158">
        <v>0</v>
      </c>
    </row>
    <row r="159" spans="1:6" x14ac:dyDescent="0.25">
      <c r="A159">
        <v>18013</v>
      </c>
      <c r="B159" t="s">
        <v>12</v>
      </c>
      <c r="C159">
        <v>13</v>
      </c>
      <c r="D159">
        <v>0</v>
      </c>
      <c r="E159">
        <v>0</v>
      </c>
      <c r="F159">
        <v>0</v>
      </c>
    </row>
    <row r="160" spans="1:6" x14ac:dyDescent="0.25">
      <c r="A160">
        <v>18013</v>
      </c>
      <c r="B160" t="s">
        <v>12</v>
      </c>
      <c r="C160">
        <v>14</v>
      </c>
      <c r="D160">
        <v>0</v>
      </c>
      <c r="E160">
        <v>0</v>
      </c>
      <c r="F160">
        <v>0</v>
      </c>
    </row>
    <row r="161" spans="1:6" x14ac:dyDescent="0.25">
      <c r="A161">
        <v>18013</v>
      </c>
      <c r="B161" t="s">
        <v>12</v>
      </c>
      <c r="C161">
        <v>15</v>
      </c>
      <c r="D161">
        <v>0</v>
      </c>
      <c r="E161">
        <v>0</v>
      </c>
      <c r="F161">
        <v>0</v>
      </c>
    </row>
    <row r="162" spans="1:6" x14ac:dyDescent="0.25">
      <c r="A162">
        <v>18013</v>
      </c>
      <c r="B162" t="s">
        <v>12</v>
      </c>
      <c r="C162">
        <v>16</v>
      </c>
      <c r="D162">
        <v>0</v>
      </c>
      <c r="E162">
        <v>0</v>
      </c>
      <c r="F162">
        <v>0</v>
      </c>
    </row>
    <row r="163" spans="1:6" x14ac:dyDescent="0.25">
      <c r="A163">
        <v>18013</v>
      </c>
      <c r="B163" t="s">
        <v>12</v>
      </c>
      <c r="C163">
        <v>17</v>
      </c>
      <c r="D163">
        <v>0</v>
      </c>
      <c r="E163">
        <v>0</v>
      </c>
      <c r="F163">
        <v>0</v>
      </c>
    </row>
    <row r="164" spans="1:6" x14ac:dyDescent="0.25">
      <c r="A164">
        <v>18013</v>
      </c>
      <c r="B164" t="s">
        <v>12</v>
      </c>
      <c r="C164">
        <v>18</v>
      </c>
      <c r="D164">
        <v>0</v>
      </c>
      <c r="E164">
        <v>0</v>
      </c>
      <c r="F164">
        <v>0</v>
      </c>
    </row>
    <row r="165" spans="1:6" x14ac:dyDescent="0.25">
      <c r="A165">
        <v>18013</v>
      </c>
      <c r="B165" t="s">
        <v>12</v>
      </c>
      <c r="C165">
        <v>19</v>
      </c>
      <c r="D165">
        <v>0</v>
      </c>
      <c r="E165">
        <v>0</v>
      </c>
      <c r="F165">
        <v>0</v>
      </c>
    </row>
    <row r="166" spans="1:6" x14ac:dyDescent="0.25">
      <c r="A166">
        <v>18013</v>
      </c>
      <c r="B166" t="s">
        <v>12</v>
      </c>
      <c r="C166">
        <v>20</v>
      </c>
      <c r="D166">
        <v>0</v>
      </c>
      <c r="E166">
        <v>0</v>
      </c>
      <c r="F166">
        <v>0</v>
      </c>
    </row>
    <row r="167" spans="1:6" x14ac:dyDescent="0.25">
      <c r="A167">
        <v>18013</v>
      </c>
      <c r="B167" t="s">
        <v>12</v>
      </c>
      <c r="C167">
        <v>21</v>
      </c>
      <c r="D167">
        <v>0</v>
      </c>
      <c r="E167">
        <v>0</v>
      </c>
      <c r="F167">
        <v>0</v>
      </c>
    </row>
    <row r="168" spans="1:6" x14ac:dyDescent="0.25">
      <c r="A168">
        <v>18013</v>
      </c>
      <c r="B168" t="s">
        <v>12</v>
      </c>
      <c r="C168">
        <v>22</v>
      </c>
      <c r="D168">
        <v>0</v>
      </c>
      <c r="E168">
        <v>0</v>
      </c>
      <c r="F168">
        <v>0</v>
      </c>
    </row>
    <row r="169" spans="1:6" x14ac:dyDescent="0.25">
      <c r="A169">
        <v>18013</v>
      </c>
      <c r="B169" t="s">
        <v>12</v>
      </c>
      <c r="C169">
        <v>23</v>
      </c>
      <c r="D169">
        <v>0</v>
      </c>
      <c r="E169">
        <v>0</v>
      </c>
      <c r="F169">
        <v>0</v>
      </c>
    </row>
    <row r="170" spans="1:6" x14ac:dyDescent="0.25">
      <c r="A170">
        <v>18015</v>
      </c>
      <c r="B170" t="s">
        <v>13</v>
      </c>
      <c r="C170">
        <v>0</v>
      </c>
      <c r="D170">
        <v>0</v>
      </c>
      <c r="E170">
        <v>0.28945750557615502</v>
      </c>
      <c r="F170">
        <v>0</v>
      </c>
    </row>
    <row r="171" spans="1:6" x14ac:dyDescent="0.25">
      <c r="A171">
        <v>18015</v>
      </c>
      <c r="B171" t="s">
        <v>13</v>
      </c>
      <c r="C171">
        <v>1</v>
      </c>
      <c r="D171">
        <v>0</v>
      </c>
      <c r="E171">
        <v>0.28945750557615502</v>
      </c>
      <c r="F171">
        <v>0</v>
      </c>
    </row>
    <row r="172" spans="1:6" x14ac:dyDescent="0.25">
      <c r="A172">
        <v>18015</v>
      </c>
      <c r="B172" t="s">
        <v>13</v>
      </c>
      <c r="C172">
        <v>2</v>
      </c>
      <c r="D172">
        <v>0</v>
      </c>
      <c r="E172">
        <v>0.28945750557615502</v>
      </c>
      <c r="F172">
        <v>0</v>
      </c>
    </row>
    <row r="173" spans="1:6" x14ac:dyDescent="0.25">
      <c r="A173">
        <v>18015</v>
      </c>
      <c r="B173" t="s">
        <v>13</v>
      </c>
      <c r="C173">
        <v>3</v>
      </c>
      <c r="D173">
        <v>0</v>
      </c>
      <c r="E173">
        <v>0.28945750557615502</v>
      </c>
      <c r="F173">
        <v>0</v>
      </c>
    </row>
    <row r="174" spans="1:6" x14ac:dyDescent="0.25">
      <c r="A174">
        <v>18015</v>
      </c>
      <c r="B174" t="s">
        <v>13</v>
      </c>
      <c r="C174">
        <v>4</v>
      </c>
      <c r="D174">
        <v>0</v>
      </c>
      <c r="E174">
        <v>0.28945750557615502</v>
      </c>
      <c r="F174">
        <v>0</v>
      </c>
    </row>
    <row r="175" spans="1:6" x14ac:dyDescent="0.25">
      <c r="A175">
        <v>18015</v>
      </c>
      <c r="B175" t="s">
        <v>13</v>
      </c>
      <c r="C175">
        <v>5</v>
      </c>
      <c r="D175">
        <v>0</v>
      </c>
      <c r="E175">
        <v>0.24121458798012901</v>
      </c>
      <c r="F175">
        <v>0</v>
      </c>
    </row>
    <row r="176" spans="1:6" x14ac:dyDescent="0.25">
      <c r="A176">
        <v>18015</v>
      </c>
      <c r="B176" t="s">
        <v>13</v>
      </c>
      <c r="C176">
        <v>6</v>
      </c>
      <c r="D176">
        <v>0</v>
      </c>
      <c r="E176">
        <v>0.19297167038410301</v>
      </c>
      <c r="F176">
        <v>0</v>
      </c>
    </row>
    <row r="177" spans="1:6" x14ac:dyDescent="0.25">
      <c r="A177">
        <v>18015</v>
      </c>
      <c r="B177" t="s">
        <v>13</v>
      </c>
      <c r="C177">
        <v>7</v>
      </c>
      <c r="D177">
        <v>0</v>
      </c>
      <c r="E177">
        <v>1.25431585749667</v>
      </c>
      <c r="F177">
        <v>0</v>
      </c>
    </row>
    <row r="178" spans="1:6" x14ac:dyDescent="0.25">
      <c r="A178">
        <v>18015</v>
      </c>
      <c r="B178" t="s">
        <v>13</v>
      </c>
      <c r="C178">
        <v>8</v>
      </c>
      <c r="D178">
        <v>0</v>
      </c>
      <c r="E178">
        <v>1.78498795105296</v>
      </c>
      <c r="F178">
        <v>0</v>
      </c>
    </row>
    <row r="179" spans="1:6" x14ac:dyDescent="0.25">
      <c r="A179">
        <v>18015</v>
      </c>
      <c r="B179" t="s">
        <v>13</v>
      </c>
      <c r="C179">
        <v>9</v>
      </c>
      <c r="D179">
        <v>0</v>
      </c>
      <c r="E179">
        <v>1.9779596214370601</v>
      </c>
      <c r="F179">
        <v>0</v>
      </c>
    </row>
    <row r="180" spans="1:6" x14ac:dyDescent="0.25">
      <c r="A180">
        <v>18015</v>
      </c>
      <c r="B180" t="s">
        <v>13</v>
      </c>
      <c r="C180">
        <v>10</v>
      </c>
      <c r="D180">
        <v>0</v>
      </c>
      <c r="E180">
        <v>2.21917420941719</v>
      </c>
      <c r="F180">
        <v>0</v>
      </c>
    </row>
    <row r="181" spans="1:6" x14ac:dyDescent="0.25">
      <c r="A181">
        <v>18015</v>
      </c>
      <c r="B181" t="s">
        <v>13</v>
      </c>
      <c r="C181">
        <v>11</v>
      </c>
      <c r="D181">
        <v>0</v>
      </c>
      <c r="E181">
        <v>2.65336046778142</v>
      </c>
      <c r="F181">
        <v>0</v>
      </c>
    </row>
    <row r="182" spans="1:6" x14ac:dyDescent="0.25">
      <c r="A182">
        <v>18015</v>
      </c>
      <c r="B182" t="s">
        <v>13</v>
      </c>
      <c r="C182">
        <v>12</v>
      </c>
      <c r="D182">
        <v>0</v>
      </c>
      <c r="E182">
        <v>2.7016033853774499</v>
      </c>
      <c r="F182">
        <v>0</v>
      </c>
    </row>
    <row r="183" spans="1:6" x14ac:dyDescent="0.25">
      <c r="A183">
        <v>18015</v>
      </c>
      <c r="B183" t="s">
        <v>13</v>
      </c>
      <c r="C183">
        <v>13</v>
      </c>
      <c r="D183">
        <v>0</v>
      </c>
      <c r="E183">
        <v>1.1578300223046201</v>
      </c>
      <c r="F183">
        <v>0</v>
      </c>
    </row>
    <row r="184" spans="1:6" x14ac:dyDescent="0.25">
      <c r="A184">
        <v>18015</v>
      </c>
      <c r="B184" t="s">
        <v>13</v>
      </c>
      <c r="C184">
        <v>14</v>
      </c>
      <c r="D184">
        <v>0</v>
      </c>
      <c r="E184">
        <v>0.38594334076820702</v>
      </c>
      <c r="F184">
        <v>0</v>
      </c>
    </row>
    <row r="185" spans="1:6" x14ac:dyDescent="0.25">
      <c r="A185">
        <v>18015</v>
      </c>
      <c r="B185" t="s">
        <v>13</v>
      </c>
      <c r="C185">
        <v>15</v>
      </c>
      <c r="D185">
        <v>0</v>
      </c>
      <c r="E185">
        <v>0.24121458798012901</v>
      </c>
      <c r="F185">
        <v>0</v>
      </c>
    </row>
    <row r="186" spans="1:6" x14ac:dyDescent="0.25">
      <c r="A186">
        <v>18015</v>
      </c>
      <c r="B186" t="s">
        <v>13</v>
      </c>
      <c r="C186">
        <v>16</v>
      </c>
      <c r="D186">
        <v>0</v>
      </c>
      <c r="E186">
        <v>0</v>
      </c>
      <c r="F186">
        <v>0</v>
      </c>
    </row>
    <row r="187" spans="1:6" x14ac:dyDescent="0.25">
      <c r="A187">
        <v>18015</v>
      </c>
      <c r="B187" t="s">
        <v>13</v>
      </c>
      <c r="C187">
        <v>17</v>
      </c>
      <c r="D187">
        <v>0</v>
      </c>
      <c r="E187">
        <v>0</v>
      </c>
      <c r="F187">
        <v>0</v>
      </c>
    </row>
    <row r="188" spans="1:6" x14ac:dyDescent="0.25">
      <c r="A188">
        <v>18015</v>
      </c>
      <c r="B188" t="s">
        <v>13</v>
      </c>
      <c r="C188">
        <v>18</v>
      </c>
      <c r="D188">
        <v>0</v>
      </c>
      <c r="E188">
        <v>0</v>
      </c>
      <c r="F188">
        <v>0</v>
      </c>
    </row>
    <row r="189" spans="1:6" x14ac:dyDescent="0.25">
      <c r="A189">
        <v>18015</v>
      </c>
      <c r="B189" t="s">
        <v>13</v>
      </c>
      <c r="C189">
        <v>19</v>
      </c>
      <c r="D189">
        <v>0</v>
      </c>
      <c r="E189">
        <v>0</v>
      </c>
      <c r="F189">
        <v>0</v>
      </c>
    </row>
    <row r="190" spans="1:6" x14ac:dyDescent="0.25">
      <c r="A190">
        <v>18015</v>
      </c>
      <c r="B190" t="s">
        <v>13</v>
      </c>
      <c r="C190">
        <v>20</v>
      </c>
      <c r="D190">
        <v>0</v>
      </c>
      <c r="E190">
        <v>9.6485835192051894E-2</v>
      </c>
      <c r="F190">
        <v>0</v>
      </c>
    </row>
    <row r="191" spans="1:6" x14ac:dyDescent="0.25">
      <c r="A191">
        <v>18015</v>
      </c>
      <c r="B191" t="s">
        <v>13</v>
      </c>
      <c r="C191">
        <v>21</v>
      </c>
      <c r="D191">
        <v>0</v>
      </c>
      <c r="E191">
        <v>9.6485835192051894E-2</v>
      </c>
      <c r="F191">
        <v>0</v>
      </c>
    </row>
    <row r="192" spans="1:6" x14ac:dyDescent="0.25">
      <c r="A192">
        <v>18015</v>
      </c>
      <c r="B192" t="s">
        <v>13</v>
      </c>
      <c r="C192">
        <v>22</v>
      </c>
      <c r="D192">
        <v>0</v>
      </c>
      <c r="E192">
        <v>0.19297167038410301</v>
      </c>
      <c r="F192">
        <v>0</v>
      </c>
    </row>
    <row r="193" spans="1:6" x14ac:dyDescent="0.25">
      <c r="A193">
        <v>18015</v>
      </c>
      <c r="B193" t="s">
        <v>13</v>
      </c>
      <c r="C193">
        <v>23</v>
      </c>
      <c r="D193">
        <v>0</v>
      </c>
      <c r="E193">
        <v>0.28945750557615502</v>
      </c>
      <c r="F193">
        <v>0</v>
      </c>
    </row>
    <row r="194" spans="1:6" x14ac:dyDescent="0.25">
      <c r="A194">
        <v>18017</v>
      </c>
      <c r="B194" t="s">
        <v>14</v>
      </c>
      <c r="C194">
        <v>0</v>
      </c>
      <c r="D194">
        <v>37.4749801101716</v>
      </c>
      <c r="E194">
        <v>4.57158665870472</v>
      </c>
      <c r="F194">
        <v>41</v>
      </c>
    </row>
    <row r="195" spans="1:6" x14ac:dyDescent="0.25">
      <c r="A195">
        <v>18017</v>
      </c>
      <c r="B195" t="s">
        <v>14</v>
      </c>
      <c r="C195">
        <v>1</v>
      </c>
      <c r="D195">
        <v>37.414827654135998</v>
      </c>
      <c r="E195">
        <v>4.57158665870472</v>
      </c>
      <c r="F195">
        <v>41</v>
      </c>
    </row>
    <row r="196" spans="1:6" x14ac:dyDescent="0.25">
      <c r="A196">
        <v>18017</v>
      </c>
      <c r="B196" t="s">
        <v>14</v>
      </c>
      <c r="C196">
        <v>2</v>
      </c>
      <c r="D196">
        <v>37.114065373958098</v>
      </c>
      <c r="E196">
        <v>4.57158665870472</v>
      </c>
      <c r="F196">
        <v>41</v>
      </c>
    </row>
    <row r="197" spans="1:6" x14ac:dyDescent="0.25">
      <c r="A197">
        <v>18017</v>
      </c>
      <c r="B197" t="s">
        <v>14</v>
      </c>
      <c r="C197">
        <v>3</v>
      </c>
      <c r="D197">
        <v>36.3320834454954</v>
      </c>
      <c r="E197">
        <v>4.57158665870472</v>
      </c>
      <c r="F197">
        <v>41</v>
      </c>
    </row>
    <row r="198" spans="1:6" x14ac:dyDescent="0.25">
      <c r="A198">
        <v>18017</v>
      </c>
      <c r="B198" t="s">
        <v>14</v>
      </c>
      <c r="C198">
        <v>4</v>
      </c>
      <c r="D198">
        <v>35.309491692890397</v>
      </c>
      <c r="E198">
        <v>4.8723489388826602</v>
      </c>
      <c r="F198">
        <v>41</v>
      </c>
    </row>
    <row r="199" spans="1:6" x14ac:dyDescent="0.25">
      <c r="A199">
        <v>18017</v>
      </c>
      <c r="B199" t="s">
        <v>14</v>
      </c>
      <c r="C199">
        <v>5</v>
      </c>
      <c r="D199">
        <v>33.565070467858298</v>
      </c>
      <c r="E199">
        <v>5.1129587630250199</v>
      </c>
      <c r="F199">
        <v>41</v>
      </c>
    </row>
    <row r="200" spans="1:6" x14ac:dyDescent="0.25">
      <c r="A200">
        <v>18017</v>
      </c>
      <c r="B200" t="s">
        <v>14</v>
      </c>
      <c r="C200">
        <v>6</v>
      </c>
      <c r="D200">
        <v>33.745527835965099</v>
      </c>
      <c r="E200">
        <v>3.2482326259217702</v>
      </c>
      <c r="F200">
        <v>41</v>
      </c>
    </row>
    <row r="201" spans="1:6" x14ac:dyDescent="0.25">
      <c r="A201">
        <v>18017</v>
      </c>
      <c r="B201" t="s">
        <v>14</v>
      </c>
      <c r="C201">
        <v>7</v>
      </c>
      <c r="D201">
        <v>30.0762280177942</v>
      </c>
      <c r="E201">
        <v>1.2030491207117699</v>
      </c>
      <c r="F201">
        <v>41</v>
      </c>
    </row>
    <row r="202" spans="1:6" x14ac:dyDescent="0.25">
      <c r="A202">
        <v>18017</v>
      </c>
      <c r="B202" t="s">
        <v>14</v>
      </c>
      <c r="C202">
        <v>8</v>
      </c>
      <c r="D202">
        <v>21.775189084882999</v>
      </c>
      <c r="E202">
        <v>2.28579332935236</v>
      </c>
      <c r="F202">
        <v>41</v>
      </c>
    </row>
    <row r="203" spans="1:6" x14ac:dyDescent="0.25">
      <c r="A203">
        <v>18017</v>
      </c>
      <c r="B203" t="s">
        <v>14</v>
      </c>
      <c r="C203">
        <v>9</v>
      </c>
      <c r="D203">
        <v>16.782535233929099</v>
      </c>
      <c r="E203">
        <v>2.8873178897082399</v>
      </c>
      <c r="F203">
        <v>41</v>
      </c>
    </row>
    <row r="204" spans="1:6" x14ac:dyDescent="0.25">
      <c r="A204">
        <v>18017</v>
      </c>
      <c r="B204" t="s">
        <v>14</v>
      </c>
      <c r="C204">
        <v>10</v>
      </c>
      <c r="D204">
        <v>15.1584189209683</v>
      </c>
      <c r="E204">
        <v>3.72945227420648</v>
      </c>
      <c r="F204">
        <v>41</v>
      </c>
    </row>
    <row r="205" spans="1:6" x14ac:dyDescent="0.25">
      <c r="A205">
        <v>18017</v>
      </c>
      <c r="B205" t="s">
        <v>14</v>
      </c>
      <c r="C205">
        <v>11</v>
      </c>
      <c r="D205">
        <v>14.677199272683501</v>
      </c>
      <c r="E205">
        <v>4.8723489388826602</v>
      </c>
      <c r="F205">
        <v>41</v>
      </c>
    </row>
    <row r="206" spans="1:6" x14ac:dyDescent="0.25">
      <c r="A206">
        <v>18017</v>
      </c>
      <c r="B206" t="s">
        <v>14</v>
      </c>
      <c r="C206">
        <v>12</v>
      </c>
      <c r="D206">
        <v>14.9178090968259</v>
      </c>
      <c r="E206">
        <v>4.5114342026691299</v>
      </c>
      <c r="F206">
        <v>41</v>
      </c>
    </row>
    <row r="207" spans="1:6" x14ac:dyDescent="0.25">
      <c r="A207">
        <v>18017</v>
      </c>
      <c r="B207" t="s">
        <v>14</v>
      </c>
      <c r="C207">
        <v>13</v>
      </c>
      <c r="D207">
        <v>15.459181201146199</v>
      </c>
      <c r="E207">
        <v>3.72945227420648</v>
      </c>
      <c r="F207">
        <v>41</v>
      </c>
    </row>
    <row r="208" spans="1:6" x14ac:dyDescent="0.25">
      <c r="A208">
        <v>18017</v>
      </c>
      <c r="B208" t="s">
        <v>14</v>
      </c>
      <c r="C208">
        <v>14</v>
      </c>
      <c r="D208">
        <v>14.015522256292099</v>
      </c>
      <c r="E208">
        <v>3.1880801698861898</v>
      </c>
      <c r="F208">
        <v>41</v>
      </c>
    </row>
    <row r="209" spans="1:6" x14ac:dyDescent="0.25">
      <c r="A209">
        <v>18017</v>
      </c>
      <c r="B209" t="s">
        <v>14</v>
      </c>
      <c r="C209">
        <v>15</v>
      </c>
      <c r="D209">
        <v>14.977961552861499</v>
      </c>
      <c r="E209">
        <v>3.4286899940285398</v>
      </c>
      <c r="F209">
        <v>41</v>
      </c>
    </row>
    <row r="210" spans="1:6" x14ac:dyDescent="0.25">
      <c r="A210">
        <v>18017</v>
      </c>
      <c r="B210" t="s">
        <v>14</v>
      </c>
      <c r="C210">
        <v>16</v>
      </c>
      <c r="D210">
        <v>17.564517162391802</v>
      </c>
      <c r="E210">
        <v>4.3911292905979602</v>
      </c>
      <c r="F210">
        <v>41</v>
      </c>
    </row>
    <row r="211" spans="1:6" x14ac:dyDescent="0.25">
      <c r="A211">
        <v>18017</v>
      </c>
      <c r="B211" t="s">
        <v>14</v>
      </c>
      <c r="C211">
        <v>17</v>
      </c>
      <c r="D211">
        <v>20.511987508135601</v>
      </c>
      <c r="E211">
        <v>4.8121964828470798</v>
      </c>
      <c r="F211">
        <v>41</v>
      </c>
    </row>
    <row r="212" spans="1:6" x14ac:dyDescent="0.25">
      <c r="A212">
        <v>18017</v>
      </c>
      <c r="B212" t="s">
        <v>14</v>
      </c>
      <c r="C212">
        <v>18</v>
      </c>
      <c r="D212">
        <v>22.497018557310099</v>
      </c>
      <c r="E212">
        <v>4.5114342026691299</v>
      </c>
      <c r="F212">
        <v>41</v>
      </c>
    </row>
    <row r="213" spans="1:6" x14ac:dyDescent="0.25">
      <c r="A213">
        <v>18017</v>
      </c>
      <c r="B213" t="s">
        <v>14</v>
      </c>
      <c r="C213">
        <v>19</v>
      </c>
      <c r="D213">
        <v>25.624946271160699</v>
      </c>
      <c r="E213">
        <v>4.33097683456237</v>
      </c>
      <c r="F213">
        <v>41</v>
      </c>
    </row>
    <row r="214" spans="1:6" x14ac:dyDescent="0.25">
      <c r="A214">
        <v>18017</v>
      </c>
      <c r="B214" t="s">
        <v>14</v>
      </c>
      <c r="C214">
        <v>20</v>
      </c>
      <c r="D214">
        <v>28.933331353118</v>
      </c>
      <c r="E214">
        <v>3.8497571862776598</v>
      </c>
      <c r="F214">
        <v>41</v>
      </c>
    </row>
    <row r="215" spans="1:6" x14ac:dyDescent="0.25">
      <c r="A215">
        <v>18017</v>
      </c>
      <c r="B215" t="s">
        <v>14</v>
      </c>
      <c r="C215">
        <v>21</v>
      </c>
      <c r="D215">
        <v>32.9635459075025</v>
      </c>
      <c r="E215">
        <v>4.1505194664556004</v>
      </c>
      <c r="F215">
        <v>41</v>
      </c>
    </row>
    <row r="216" spans="1:6" x14ac:dyDescent="0.25">
      <c r="A216">
        <v>18017</v>
      </c>
      <c r="B216" t="s">
        <v>14</v>
      </c>
      <c r="C216">
        <v>22</v>
      </c>
      <c r="D216">
        <v>35.129034324783603</v>
      </c>
      <c r="E216">
        <v>4.3911292905979602</v>
      </c>
      <c r="F216">
        <v>41</v>
      </c>
    </row>
    <row r="217" spans="1:6" x14ac:dyDescent="0.25">
      <c r="A217">
        <v>18017</v>
      </c>
      <c r="B217" t="s">
        <v>14</v>
      </c>
      <c r="C217">
        <v>23</v>
      </c>
      <c r="D217">
        <v>37.2945227420648</v>
      </c>
      <c r="E217">
        <v>4.57158665870472</v>
      </c>
      <c r="F217">
        <v>41</v>
      </c>
    </row>
    <row r="218" spans="1:6" x14ac:dyDescent="0.25">
      <c r="A218">
        <v>18019</v>
      </c>
      <c r="B218" t="s">
        <v>15</v>
      </c>
      <c r="C218">
        <v>0</v>
      </c>
      <c r="D218">
        <v>377.14576761777897</v>
      </c>
      <c r="E218">
        <v>29.290550569405301</v>
      </c>
      <c r="F218">
        <v>571</v>
      </c>
    </row>
    <row r="219" spans="1:6" x14ac:dyDescent="0.25">
      <c r="A219">
        <v>18019</v>
      </c>
      <c r="B219" t="s">
        <v>15</v>
      </c>
      <c r="C219">
        <v>1</v>
      </c>
      <c r="D219">
        <v>378.42273984968699</v>
      </c>
      <c r="E219">
        <v>31.325725064009799</v>
      </c>
      <c r="F219">
        <v>571</v>
      </c>
    </row>
    <row r="220" spans="1:6" x14ac:dyDescent="0.25">
      <c r="A220">
        <v>18019</v>
      </c>
      <c r="B220" t="s">
        <v>15</v>
      </c>
      <c r="C220">
        <v>2</v>
      </c>
      <c r="D220">
        <v>377.46501067575599</v>
      </c>
      <c r="E220">
        <v>32.842129589401303</v>
      </c>
      <c r="F220">
        <v>571</v>
      </c>
    </row>
    <row r="221" spans="1:6" x14ac:dyDescent="0.25">
      <c r="A221">
        <v>18019</v>
      </c>
      <c r="B221" t="s">
        <v>15</v>
      </c>
      <c r="C221">
        <v>3</v>
      </c>
      <c r="D221">
        <v>373.23504015755799</v>
      </c>
      <c r="E221">
        <v>33.640237234344198</v>
      </c>
      <c r="F221">
        <v>571</v>
      </c>
    </row>
    <row r="222" spans="1:6" x14ac:dyDescent="0.25">
      <c r="A222">
        <v>18019</v>
      </c>
      <c r="B222" t="s">
        <v>15</v>
      </c>
      <c r="C222">
        <v>4</v>
      </c>
      <c r="D222">
        <v>363.37841074251298</v>
      </c>
      <c r="E222">
        <v>34.159007203557103</v>
      </c>
      <c r="F222">
        <v>571</v>
      </c>
    </row>
    <row r="223" spans="1:6" x14ac:dyDescent="0.25">
      <c r="A223">
        <v>18019</v>
      </c>
      <c r="B223" t="s">
        <v>15</v>
      </c>
      <c r="C223">
        <v>5</v>
      </c>
      <c r="D223">
        <v>343.26609808995102</v>
      </c>
      <c r="E223">
        <v>35.795127875690099</v>
      </c>
      <c r="F223">
        <v>571</v>
      </c>
    </row>
    <row r="224" spans="1:6" x14ac:dyDescent="0.25">
      <c r="A224">
        <v>18019</v>
      </c>
      <c r="B224" t="s">
        <v>15</v>
      </c>
      <c r="C224">
        <v>6</v>
      </c>
      <c r="D224">
        <v>320.83927326705498</v>
      </c>
      <c r="E224">
        <v>38.628410015237499</v>
      </c>
      <c r="F224">
        <v>571</v>
      </c>
    </row>
    <row r="225" spans="1:6" x14ac:dyDescent="0.25">
      <c r="A225">
        <v>18019</v>
      </c>
      <c r="B225" t="s">
        <v>15</v>
      </c>
      <c r="C225">
        <v>7</v>
      </c>
      <c r="D225">
        <v>274.788462153848</v>
      </c>
      <c r="E225">
        <v>30.687238948055398</v>
      </c>
      <c r="F225">
        <v>571</v>
      </c>
    </row>
    <row r="226" spans="1:6" x14ac:dyDescent="0.25">
      <c r="A226">
        <v>18019</v>
      </c>
      <c r="B226" t="s">
        <v>15</v>
      </c>
      <c r="C226">
        <v>8</v>
      </c>
      <c r="D226">
        <v>222.91146523255799</v>
      </c>
      <c r="E226">
        <v>21.868149471436102</v>
      </c>
      <c r="F226">
        <v>571</v>
      </c>
    </row>
    <row r="227" spans="1:6" x14ac:dyDescent="0.25">
      <c r="A227">
        <v>18019</v>
      </c>
      <c r="B227" t="s">
        <v>15</v>
      </c>
      <c r="C227">
        <v>9</v>
      </c>
      <c r="D227">
        <v>184.722014422039</v>
      </c>
      <c r="E227">
        <v>18.635813509417201</v>
      </c>
      <c r="F227">
        <v>571</v>
      </c>
    </row>
    <row r="228" spans="1:6" x14ac:dyDescent="0.25">
      <c r="A228">
        <v>18019</v>
      </c>
      <c r="B228" t="s">
        <v>15</v>
      </c>
      <c r="C228">
        <v>10</v>
      </c>
      <c r="D228">
        <v>169.23872611014701</v>
      </c>
      <c r="E228">
        <v>13.926978404253999</v>
      </c>
      <c r="F228">
        <v>571</v>
      </c>
    </row>
    <row r="229" spans="1:6" x14ac:dyDescent="0.25">
      <c r="A229">
        <v>18019</v>
      </c>
      <c r="B229" t="s">
        <v>15</v>
      </c>
      <c r="C229">
        <v>11</v>
      </c>
      <c r="D229">
        <v>174.466331184523</v>
      </c>
      <c r="E229">
        <v>13.4082084350411</v>
      </c>
      <c r="F229">
        <v>571</v>
      </c>
    </row>
    <row r="230" spans="1:6" x14ac:dyDescent="0.25">
      <c r="A230">
        <v>18019</v>
      </c>
      <c r="B230" t="s">
        <v>15</v>
      </c>
      <c r="C230">
        <v>12</v>
      </c>
      <c r="D230">
        <v>172.39125130767101</v>
      </c>
      <c r="E230">
        <v>12.3307631143681</v>
      </c>
      <c r="F230">
        <v>571</v>
      </c>
    </row>
    <row r="231" spans="1:6" x14ac:dyDescent="0.25">
      <c r="A231">
        <v>18019</v>
      </c>
      <c r="B231" t="s">
        <v>15</v>
      </c>
      <c r="C231">
        <v>13</v>
      </c>
      <c r="D231">
        <v>165.846768619139</v>
      </c>
      <c r="E231">
        <v>9.3777648280793606</v>
      </c>
      <c r="F231">
        <v>571</v>
      </c>
    </row>
    <row r="232" spans="1:6" x14ac:dyDescent="0.25">
      <c r="A232">
        <v>18019</v>
      </c>
      <c r="B232" t="s">
        <v>15</v>
      </c>
      <c r="C232">
        <v>14</v>
      </c>
      <c r="D232">
        <v>167.80213234924901</v>
      </c>
      <c r="E232">
        <v>6.2252396305548103</v>
      </c>
      <c r="F232">
        <v>571</v>
      </c>
    </row>
    <row r="233" spans="1:6" x14ac:dyDescent="0.25">
      <c r="A233">
        <v>18019</v>
      </c>
      <c r="B233" t="s">
        <v>15</v>
      </c>
      <c r="C233">
        <v>15</v>
      </c>
      <c r="D233">
        <v>178.776112467215</v>
      </c>
      <c r="E233">
        <v>5.5468481323533201</v>
      </c>
      <c r="F233">
        <v>571</v>
      </c>
    </row>
    <row r="234" spans="1:6" x14ac:dyDescent="0.25">
      <c r="A234">
        <v>18019</v>
      </c>
      <c r="B234" t="s">
        <v>15</v>
      </c>
      <c r="C234">
        <v>16</v>
      </c>
      <c r="D234">
        <v>199.04804664876499</v>
      </c>
      <c r="E234">
        <v>5.5867535146004697</v>
      </c>
      <c r="F234">
        <v>571</v>
      </c>
    </row>
    <row r="235" spans="1:6" x14ac:dyDescent="0.25">
      <c r="A235">
        <v>18019</v>
      </c>
      <c r="B235" t="s">
        <v>15</v>
      </c>
      <c r="C235">
        <v>17</v>
      </c>
      <c r="D235">
        <v>227.46067880873301</v>
      </c>
      <c r="E235">
        <v>6.1055234838133696</v>
      </c>
      <c r="F235">
        <v>571</v>
      </c>
    </row>
    <row r="236" spans="1:6" x14ac:dyDescent="0.25">
      <c r="A236">
        <v>18019</v>
      </c>
      <c r="B236" t="s">
        <v>15</v>
      </c>
      <c r="C236">
        <v>18</v>
      </c>
      <c r="D236">
        <v>261.73940215903201</v>
      </c>
      <c r="E236">
        <v>9.0585217701021907</v>
      </c>
      <c r="F236">
        <v>571</v>
      </c>
    </row>
    <row r="237" spans="1:6" x14ac:dyDescent="0.25">
      <c r="A237">
        <v>18019</v>
      </c>
      <c r="B237" t="s">
        <v>15</v>
      </c>
      <c r="C237">
        <v>19</v>
      </c>
      <c r="D237">
        <v>296.73642238977902</v>
      </c>
      <c r="E237">
        <v>13.0889653770639</v>
      </c>
      <c r="F237">
        <v>571</v>
      </c>
    </row>
    <row r="238" spans="1:6" x14ac:dyDescent="0.25">
      <c r="A238">
        <v>18019</v>
      </c>
      <c r="B238" t="s">
        <v>15</v>
      </c>
      <c r="C238">
        <v>20</v>
      </c>
      <c r="D238">
        <v>326.22649987042001</v>
      </c>
      <c r="E238">
        <v>17.1194089840257</v>
      </c>
      <c r="F238">
        <v>571</v>
      </c>
    </row>
    <row r="239" spans="1:6" x14ac:dyDescent="0.25">
      <c r="A239">
        <v>18019</v>
      </c>
      <c r="B239" t="s">
        <v>15</v>
      </c>
      <c r="C239">
        <v>21</v>
      </c>
      <c r="D239">
        <v>345.93975870051003</v>
      </c>
      <c r="E239">
        <v>20.5113664750331</v>
      </c>
      <c r="F239">
        <v>571</v>
      </c>
    </row>
    <row r="240" spans="1:6" x14ac:dyDescent="0.25">
      <c r="A240">
        <v>18019</v>
      </c>
      <c r="B240" t="s">
        <v>15</v>
      </c>
      <c r="C240">
        <v>22</v>
      </c>
      <c r="D240">
        <v>360.86437166094299</v>
      </c>
      <c r="E240">
        <v>23.743702437052001</v>
      </c>
      <c r="F240">
        <v>571</v>
      </c>
    </row>
    <row r="241" spans="1:6" x14ac:dyDescent="0.25">
      <c r="A241">
        <v>18019</v>
      </c>
      <c r="B241" t="s">
        <v>15</v>
      </c>
      <c r="C241">
        <v>23</v>
      </c>
      <c r="D241">
        <v>371.239771045201</v>
      </c>
      <c r="E241">
        <v>26.6168899588465</v>
      </c>
      <c r="F241">
        <v>571</v>
      </c>
    </row>
    <row r="242" spans="1:6" x14ac:dyDescent="0.25">
      <c r="A242">
        <v>18021</v>
      </c>
      <c r="B242" t="s">
        <v>16</v>
      </c>
      <c r="C242">
        <v>0</v>
      </c>
      <c r="D242">
        <v>300.44143132076402</v>
      </c>
      <c r="E242">
        <v>19.909426730587999</v>
      </c>
      <c r="F242">
        <v>277</v>
      </c>
    </row>
    <row r="243" spans="1:6" x14ac:dyDescent="0.25">
      <c r="A243">
        <v>18021</v>
      </c>
      <c r="B243" t="s">
        <v>16</v>
      </c>
      <c r="C243">
        <v>1</v>
      </c>
      <c r="D243">
        <v>298.53230820961198</v>
      </c>
      <c r="E243">
        <v>22.473106336992501</v>
      </c>
      <c r="F243">
        <v>277</v>
      </c>
    </row>
    <row r="244" spans="1:6" x14ac:dyDescent="0.25">
      <c r="A244">
        <v>18021</v>
      </c>
      <c r="B244" t="s">
        <v>16</v>
      </c>
      <c r="C244">
        <v>2</v>
      </c>
      <c r="D244">
        <v>296.07772135241601</v>
      </c>
      <c r="E244">
        <v>23.7276729528926</v>
      </c>
      <c r="F244">
        <v>277</v>
      </c>
    </row>
    <row r="245" spans="1:6" x14ac:dyDescent="0.25">
      <c r="A245">
        <v>18021</v>
      </c>
      <c r="B245" t="s">
        <v>16</v>
      </c>
      <c r="C245">
        <v>3</v>
      </c>
      <c r="D245">
        <v>292.85948525075901</v>
      </c>
      <c r="E245">
        <v>24.545868571957801</v>
      </c>
      <c r="F245">
        <v>277</v>
      </c>
    </row>
    <row r="246" spans="1:6" x14ac:dyDescent="0.25">
      <c r="A246">
        <v>18021</v>
      </c>
      <c r="B246" t="s">
        <v>16</v>
      </c>
      <c r="C246">
        <v>4</v>
      </c>
      <c r="D246">
        <v>285.16844643154599</v>
      </c>
      <c r="E246">
        <v>25.909527937066599</v>
      </c>
      <c r="F246">
        <v>277</v>
      </c>
    </row>
    <row r="247" spans="1:6" x14ac:dyDescent="0.25">
      <c r="A247">
        <v>18021</v>
      </c>
      <c r="B247" t="s">
        <v>16</v>
      </c>
      <c r="C247">
        <v>5</v>
      </c>
      <c r="D247">
        <v>276.16829462182801</v>
      </c>
      <c r="E247">
        <v>31.636897270523399</v>
      </c>
      <c r="F247">
        <v>277</v>
      </c>
    </row>
    <row r="248" spans="1:6" x14ac:dyDescent="0.25">
      <c r="A248">
        <v>18021</v>
      </c>
      <c r="B248" t="s">
        <v>16</v>
      </c>
      <c r="C248">
        <v>6</v>
      </c>
      <c r="D248">
        <v>256.09522876742699</v>
      </c>
      <c r="E248">
        <v>32.127814641962601</v>
      </c>
      <c r="F248">
        <v>277</v>
      </c>
    </row>
    <row r="249" spans="1:6" x14ac:dyDescent="0.25">
      <c r="A249">
        <v>18021</v>
      </c>
      <c r="B249" t="s">
        <v>16</v>
      </c>
      <c r="C249">
        <v>7</v>
      </c>
      <c r="D249">
        <v>214.14906669668099</v>
      </c>
      <c r="E249">
        <v>26.018620686275298</v>
      </c>
      <c r="F249">
        <v>277</v>
      </c>
    </row>
    <row r="250" spans="1:6" x14ac:dyDescent="0.25">
      <c r="A250">
        <v>18021</v>
      </c>
      <c r="B250" t="s">
        <v>16</v>
      </c>
      <c r="C250">
        <v>8</v>
      </c>
      <c r="D250">
        <v>171.65744087989199</v>
      </c>
      <c r="E250">
        <v>21.163993346488098</v>
      </c>
      <c r="F250">
        <v>277</v>
      </c>
    </row>
    <row r="251" spans="1:6" x14ac:dyDescent="0.25">
      <c r="A251">
        <v>18021</v>
      </c>
      <c r="B251" t="s">
        <v>16</v>
      </c>
      <c r="C251">
        <v>9</v>
      </c>
      <c r="D251">
        <v>142.80240871418999</v>
      </c>
      <c r="E251">
        <v>15.7639022606573</v>
      </c>
      <c r="F251">
        <v>277</v>
      </c>
    </row>
    <row r="252" spans="1:6" x14ac:dyDescent="0.25">
      <c r="A252">
        <v>18021</v>
      </c>
      <c r="B252" t="s">
        <v>16</v>
      </c>
      <c r="C252">
        <v>10</v>
      </c>
      <c r="D252">
        <v>124.038455850293</v>
      </c>
      <c r="E252">
        <v>12.4911197843963</v>
      </c>
      <c r="F252">
        <v>277</v>
      </c>
    </row>
    <row r="253" spans="1:6" x14ac:dyDescent="0.25">
      <c r="A253">
        <v>18021</v>
      </c>
      <c r="B253" t="s">
        <v>16</v>
      </c>
      <c r="C253">
        <v>11</v>
      </c>
      <c r="D253">
        <v>122.511157361371</v>
      </c>
      <c r="E253">
        <v>9.10924455892658</v>
      </c>
      <c r="F253">
        <v>277</v>
      </c>
    </row>
    <row r="254" spans="1:6" x14ac:dyDescent="0.25">
      <c r="A254">
        <v>18021</v>
      </c>
      <c r="B254" t="s">
        <v>16</v>
      </c>
      <c r="C254">
        <v>12</v>
      </c>
      <c r="D254">
        <v>128.51125856785001</v>
      </c>
      <c r="E254">
        <v>5.4000910858307298</v>
      </c>
      <c r="F254">
        <v>277</v>
      </c>
    </row>
    <row r="255" spans="1:6" x14ac:dyDescent="0.25">
      <c r="A255">
        <v>18021</v>
      </c>
      <c r="B255" t="s">
        <v>16</v>
      </c>
      <c r="C255">
        <v>13</v>
      </c>
      <c r="D255">
        <v>127.14759920274101</v>
      </c>
      <c r="E255">
        <v>5.4546374604350802</v>
      </c>
      <c r="F255">
        <v>277</v>
      </c>
    </row>
    <row r="256" spans="1:6" x14ac:dyDescent="0.25">
      <c r="A256">
        <v>18021</v>
      </c>
      <c r="B256" t="s">
        <v>16</v>
      </c>
      <c r="C256">
        <v>14</v>
      </c>
      <c r="D256">
        <v>118.583818389858</v>
      </c>
      <c r="E256">
        <v>4.9091737143915699</v>
      </c>
      <c r="F256">
        <v>277</v>
      </c>
    </row>
    <row r="257" spans="1:6" x14ac:dyDescent="0.25">
      <c r="A257">
        <v>18021</v>
      </c>
      <c r="B257" t="s">
        <v>16</v>
      </c>
      <c r="C257">
        <v>15</v>
      </c>
      <c r="D257">
        <v>125.838486212237</v>
      </c>
      <c r="E257">
        <v>5.3455447112263803</v>
      </c>
      <c r="F257">
        <v>277</v>
      </c>
    </row>
    <row r="258" spans="1:6" x14ac:dyDescent="0.25">
      <c r="A258">
        <v>18021</v>
      </c>
      <c r="B258" t="s">
        <v>16</v>
      </c>
      <c r="C258">
        <v>16</v>
      </c>
      <c r="D258">
        <v>143.62060433325499</v>
      </c>
      <c r="E258">
        <v>5.2909983366220299</v>
      </c>
      <c r="F258">
        <v>277</v>
      </c>
    </row>
    <row r="259" spans="1:6" x14ac:dyDescent="0.25">
      <c r="A259">
        <v>18021</v>
      </c>
      <c r="B259" t="s">
        <v>16</v>
      </c>
      <c r="C259">
        <v>17</v>
      </c>
      <c r="D259">
        <v>165.057329552765</v>
      </c>
      <c r="E259">
        <v>4.0909780953263102</v>
      </c>
      <c r="F259">
        <v>277</v>
      </c>
    </row>
    <row r="260" spans="1:6" x14ac:dyDescent="0.25">
      <c r="A260">
        <v>18021</v>
      </c>
      <c r="B260" t="s">
        <v>16</v>
      </c>
      <c r="C260">
        <v>18</v>
      </c>
      <c r="D260">
        <v>196.257855826454</v>
      </c>
      <c r="E260">
        <v>4.5273490921611099</v>
      </c>
      <c r="F260">
        <v>277</v>
      </c>
    </row>
    <row r="261" spans="1:6" x14ac:dyDescent="0.25">
      <c r="A261">
        <v>18021</v>
      </c>
      <c r="B261" t="s">
        <v>16</v>
      </c>
      <c r="C261">
        <v>19</v>
      </c>
      <c r="D261">
        <v>225.712898112803</v>
      </c>
      <c r="E261">
        <v>5.0728128382046203</v>
      </c>
      <c r="F261">
        <v>277</v>
      </c>
    </row>
    <row r="262" spans="1:6" x14ac:dyDescent="0.25">
      <c r="A262">
        <v>18021</v>
      </c>
      <c r="B262" t="s">
        <v>16</v>
      </c>
      <c r="C262">
        <v>20</v>
      </c>
      <c r="D262">
        <v>247.04053058310399</v>
      </c>
      <c r="E262">
        <v>5.7273693334568296</v>
      </c>
      <c r="F262">
        <v>277</v>
      </c>
    </row>
    <row r="263" spans="1:6" x14ac:dyDescent="0.25">
      <c r="A263">
        <v>18021</v>
      </c>
      <c r="B263" t="s">
        <v>16</v>
      </c>
      <c r="C263">
        <v>21</v>
      </c>
      <c r="D263">
        <v>264.386277707288</v>
      </c>
      <c r="E263">
        <v>8.01831706683957</v>
      </c>
      <c r="F263">
        <v>277</v>
      </c>
    </row>
    <row r="264" spans="1:6" x14ac:dyDescent="0.25">
      <c r="A264">
        <v>18021</v>
      </c>
      <c r="B264" t="s">
        <v>16</v>
      </c>
      <c r="C264">
        <v>22</v>
      </c>
      <c r="D264">
        <v>279.44107709808901</v>
      </c>
      <c r="E264">
        <v>12.436573409791899</v>
      </c>
      <c r="F264">
        <v>277</v>
      </c>
    </row>
    <row r="265" spans="1:6" x14ac:dyDescent="0.25">
      <c r="A265">
        <v>18021</v>
      </c>
      <c r="B265" t="s">
        <v>16</v>
      </c>
      <c r="C265">
        <v>23</v>
      </c>
      <c r="D265">
        <v>293.459495371407</v>
      </c>
      <c r="E265">
        <v>16.854829752744401</v>
      </c>
      <c r="F265">
        <v>277</v>
      </c>
    </row>
    <row r="266" spans="1:6" x14ac:dyDescent="0.25">
      <c r="A266">
        <v>18023</v>
      </c>
      <c r="B266" t="s">
        <v>17</v>
      </c>
      <c r="C266">
        <v>0</v>
      </c>
      <c r="D266">
        <v>92.986595261800204</v>
      </c>
      <c r="E266">
        <v>8.8513340423208007</v>
      </c>
      <c r="F266">
        <v>100</v>
      </c>
    </row>
    <row r="267" spans="1:6" x14ac:dyDescent="0.25">
      <c r="A267">
        <v>18023</v>
      </c>
      <c r="B267" t="s">
        <v>17</v>
      </c>
      <c r="C267">
        <v>1</v>
      </c>
      <c r="D267">
        <v>95.175634863664499</v>
      </c>
      <c r="E267">
        <v>10.6596711047304</v>
      </c>
      <c r="F267">
        <v>100</v>
      </c>
    </row>
    <row r="268" spans="1:6" x14ac:dyDescent="0.25">
      <c r="A268">
        <v>18023</v>
      </c>
      <c r="B268" t="s">
        <v>17</v>
      </c>
      <c r="C268">
        <v>2</v>
      </c>
      <c r="D268">
        <v>95.461161768255494</v>
      </c>
      <c r="E268">
        <v>11.992129992821701</v>
      </c>
      <c r="F268">
        <v>100</v>
      </c>
    </row>
    <row r="269" spans="1:6" x14ac:dyDescent="0.25">
      <c r="A269">
        <v>18023</v>
      </c>
      <c r="B269" t="s">
        <v>17</v>
      </c>
      <c r="C269">
        <v>3</v>
      </c>
      <c r="D269">
        <v>94.509405419618801</v>
      </c>
      <c r="E269">
        <v>13.610115785504</v>
      </c>
      <c r="F269">
        <v>100</v>
      </c>
    </row>
    <row r="270" spans="1:6" x14ac:dyDescent="0.25">
      <c r="A270">
        <v>18023</v>
      </c>
      <c r="B270" t="s">
        <v>17</v>
      </c>
      <c r="C270">
        <v>4</v>
      </c>
      <c r="D270">
        <v>92.034838913163497</v>
      </c>
      <c r="E270">
        <v>13.1342376111857</v>
      </c>
      <c r="F270">
        <v>100</v>
      </c>
    </row>
    <row r="271" spans="1:6" x14ac:dyDescent="0.25">
      <c r="A271">
        <v>18023</v>
      </c>
      <c r="B271" t="s">
        <v>17</v>
      </c>
      <c r="C271">
        <v>5</v>
      </c>
      <c r="D271">
        <v>89.274745502117298</v>
      </c>
      <c r="E271">
        <v>13.8004670552313</v>
      </c>
      <c r="F271">
        <v>100</v>
      </c>
    </row>
    <row r="272" spans="1:6" x14ac:dyDescent="0.25">
      <c r="A272">
        <v>18023</v>
      </c>
      <c r="B272" t="s">
        <v>17</v>
      </c>
      <c r="C272">
        <v>6</v>
      </c>
      <c r="D272">
        <v>83.659383045161107</v>
      </c>
      <c r="E272">
        <v>14.3715208644133</v>
      </c>
      <c r="F272">
        <v>100</v>
      </c>
    </row>
    <row r="273" spans="1:6" x14ac:dyDescent="0.25">
      <c r="A273">
        <v>18023</v>
      </c>
      <c r="B273" t="s">
        <v>17</v>
      </c>
      <c r="C273">
        <v>7</v>
      </c>
      <c r="D273">
        <v>72.714185035839606</v>
      </c>
      <c r="E273">
        <v>12.8962985240265</v>
      </c>
      <c r="F273">
        <v>100</v>
      </c>
    </row>
    <row r="274" spans="1:6" x14ac:dyDescent="0.25">
      <c r="A274">
        <v>18023</v>
      </c>
      <c r="B274" t="s">
        <v>17</v>
      </c>
      <c r="C274">
        <v>8</v>
      </c>
      <c r="D274">
        <v>58.199900719130802</v>
      </c>
      <c r="E274">
        <v>10.2313807478439</v>
      </c>
      <c r="F274">
        <v>100</v>
      </c>
    </row>
    <row r="275" spans="1:6" x14ac:dyDescent="0.25">
      <c r="A275">
        <v>18023</v>
      </c>
      <c r="B275" t="s">
        <v>17</v>
      </c>
      <c r="C275">
        <v>9</v>
      </c>
      <c r="D275">
        <v>44.351845846467597</v>
      </c>
      <c r="E275">
        <v>8.6133949551616293</v>
      </c>
      <c r="F275">
        <v>100</v>
      </c>
    </row>
    <row r="276" spans="1:6" x14ac:dyDescent="0.25">
      <c r="A276">
        <v>18023</v>
      </c>
      <c r="B276" t="s">
        <v>17</v>
      </c>
      <c r="C276">
        <v>10</v>
      </c>
      <c r="D276">
        <v>34.643931090373798</v>
      </c>
      <c r="E276">
        <v>7.7568142413886498</v>
      </c>
      <c r="F276">
        <v>100</v>
      </c>
    </row>
    <row r="277" spans="1:6" x14ac:dyDescent="0.25">
      <c r="A277">
        <v>18023</v>
      </c>
      <c r="B277" t="s">
        <v>17</v>
      </c>
      <c r="C277">
        <v>11</v>
      </c>
      <c r="D277">
        <v>31.455547322441099</v>
      </c>
      <c r="E277">
        <v>7.8044020588204903</v>
      </c>
      <c r="F277">
        <v>100</v>
      </c>
    </row>
    <row r="278" spans="1:6" x14ac:dyDescent="0.25">
      <c r="A278">
        <v>18023</v>
      </c>
      <c r="B278" t="s">
        <v>17</v>
      </c>
      <c r="C278">
        <v>12</v>
      </c>
      <c r="D278">
        <v>31.5507229573047</v>
      </c>
      <c r="E278">
        <v>8.42304368543431</v>
      </c>
      <c r="F278">
        <v>100</v>
      </c>
    </row>
    <row r="279" spans="1:6" x14ac:dyDescent="0.25">
      <c r="A279">
        <v>18023</v>
      </c>
      <c r="B279" t="s">
        <v>17</v>
      </c>
      <c r="C279">
        <v>13</v>
      </c>
      <c r="D279">
        <v>27.981636649917299</v>
      </c>
      <c r="E279">
        <v>9.1844487643436192</v>
      </c>
      <c r="F279">
        <v>100</v>
      </c>
    </row>
    <row r="280" spans="1:6" x14ac:dyDescent="0.25">
      <c r="A280">
        <v>18023</v>
      </c>
      <c r="B280" t="s">
        <v>17</v>
      </c>
      <c r="C280">
        <v>14</v>
      </c>
      <c r="D280">
        <v>26.601589944394199</v>
      </c>
      <c r="E280">
        <v>8.6609827725934707</v>
      </c>
      <c r="F280">
        <v>100</v>
      </c>
    </row>
    <row r="281" spans="1:6" x14ac:dyDescent="0.25">
      <c r="A281">
        <v>18023</v>
      </c>
      <c r="B281" t="s">
        <v>17</v>
      </c>
      <c r="C281">
        <v>15</v>
      </c>
      <c r="D281">
        <v>28.552690459099299</v>
      </c>
      <c r="E281">
        <v>4.8063695606150496</v>
      </c>
      <c r="F281">
        <v>100</v>
      </c>
    </row>
    <row r="282" spans="1:6" x14ac:dyDescent="0.25">
      <c r="A282">
        <v>18023</v>
      </c>
      <c r="B282" t="s">
        <v>17</v>
      </c>
      <c r="C282">
        <v>16</v>
      </c>
      <c r="D282">
        <v>30.6465544260999</v>
      </c>
      <c r="E282">
        <v>4.4732548385922302</v>
      </c>
      <c r="F282">
        <v>100</v>
      </c>
    </row>
    <row r="283" spans="1:6" x14ac:dyDescent="0.25">
      <c r="A283">
        <v>18023</v>
      </c>
      <c r="B283" t="s">
        <v>17</v>
      </c>
      <c r="C283">
        <v>17</v>
      </c>
      <c r="D283">
        <v>36.975734144533597</v>
      </c>
      <c r="E283">
        <v>3.9497888468420701</v>
      </c>
      <c r="F283">
        <v>100</v>
      </c>
    </row>
    <row r="284" spans="1:6" x14ac:dyDescent="0.25">
      <c r="A284">
        <v>18023</v>
      </c>
      <c r="B284" t="s">
        <v>17</v>
      </c>
      <c r="C284">
        <v>18</v>
      </c>
      <c r="D284">
        <v>45.636716917127103</v>
      </c>
      <c r="E284">
        <v>1.99868833213695</v>
      </c>
      <c r="F284">
        <v>100</v>
      </c>
    </row>
    <row r="285" spans="1:6" x14ac:dyDescent="0.25">
      <c r="A285">
        <v>18023</v>
      </c>
      <c r="B285" t="s">
        <v>17</v>
      </c>
      <c r="C285">
        <v>19</v>
      </c>
      <c r="D285">
        <v>54.678402229175198</v>
      </c>
      <c r="E285">
        <v>2.0938639670006101</v>
      </c>
      <c r="F285">
        <v>100</v>
      </c>
    </row>
    <row r="286" spans="1:6" x14ac:dyDescent="0.25">
      <c r="A286">
        <v>18023</v>
      </c>
      <c r="B286" t="s">
        <v>17</v>
      </c>
      <c r="C286">
        <v>20</v>
      </c>
      <c r="D286">
        <v>66.099478412815003</v>
      </c>
      <c r="E286">
        <v>1.80833706240962</v>
      </c>
      <c r="F286">
        <v>100</v>
      </c>
    </row>
    <row r="287" spans="1:6" x14ac:dyDescent="0.25">
      <c r="A287">
        <v>18023</v>
      </c>
      <c r="B287" t="s">
        <v>17</v>
      </c>
      <c r="C287">
        <v>21</v>
      </c>
      <c r="D287">
        <v>76.378446978090693</v>
      </c>
      <c r="E287">
        <v>3.18838376793276</v>
      </c>
      <c r="F287">
        <v>100</v>
      </c>
    </row>
    <row r="288" spans="1:6" x14ac:dyDescent="0.25">
      <c r="A288">
        <v>18023</v>
      </c>
      <c r="B288" t="s">
        <v>17</v>
      </c>
      <c r="C288">
        <v>22</v>
      </c>
      <c r="D288">
        <v>84.515963758934006</v>
      </c>
      <c r="E288">
        <v>4.9967208303423796</v>
      </c>
      <c r="F288">
        <v>100</v>
      </c>
    </row>
    <row r="289" spans="1:6" x14ac:dyDescent="0.25">
      <c r="A289">
        <v>18023</v>
      </c>
      <c r="B289" t="s">
        <v>17</v>
      </c>
      <c r="C289">
        <v>23</v>
      </c>
      <c r="D289">
        <v>89.179569867253605</v>
      </c>
      <c r="E289">
        <v>6.4243553532973499</v>
      </c>
      <c r="F289">
        <v>100</v>
      </c>
    </row>
    <row r="290" spans="1:6" x14ac:dyDescent="0.25">
      <c r="A290">
        <v>18025</v>
      </c>
      <c r="B290" t="s">
        <v>18</v>
      </c>
      <c r="C290">
        <v>0</v>
      </c>
      <c r="D290">
        <v>112.6921770201</v>
      </c>
      <c r="E290">
        <v>8.9483406556365193</v>
      </c>
      <c r="F290">
        <v>115</v>
      </c>
    </row>
    <row r="291" spans="1:6" x14ac:dyDescent="0.25">
      <c r="A291">
        <v>18025</v>
      </c>
      <c r="B291" t="s">
        <v>18</v>
      </c>
      <c r="C291">
        <v>1</v>
      </c>
      <c r="D291">
        <v>113.92534057335099</v>
      </c>
      <c r="E291">
        <v>9.8969280042905599</v>
      </c>
      <c r="F291">
        <v>115</v>
      </c>
    </row>
    <row r="292" spans="1:6" x14ac:dyDescent="0.25">
      <c r="A292">
        <v>18025</v>
      </c>
      <c r="B292" t="s">
        <v>18</v>
      </c>
      <c r="C292">
        <v>2</v>
      </c>
      <c r="D292">
        <v>112.62893786352301</v>
      </c>
      <c r="E292">
        <v>11.098471979252301</v>
      </c>
      <c r="F292">
        <v>115</v>
      </c>
    </row>
    <row r="293" spans="1:6" x14ac:dyDescent="0.25">
      <c r="A293">
        <v>18025</v>
      </c>
      <c r="B293" t="s">
        <v>18</v>
      </c>
      <c r="C293">
        <v>3</v>
      </c>
      <c r="D293">
        <v>111.332535153696</v>
      </c>
      <c r="E293">
        <v>12.3000159542141</v>
      </c>
      <c r="F293">
        <v>115</v>
      </c>
    </row>
    <row r="294" spans="1:6" x14ac:dyDescent="0.25">
      <c r="A294">
        <v>18025</v>
      </c>
      <c r="B294" t="s">
        <v>18</v>
      </c>
      <c r="C294">
        <v>4</v>
      </c>
      <c r="D294">
        <v>108.51839268602301</v>
      </c>
      <c r="E294">
        <v>13.2169837245797</v>
      </c>
      <c r="F294">
        <v>115</v>
      </c>
    </row>
    <row r="295" spans="1:6" x14ac:dyDescent="0.25">
      <c r="A295">
        <v>18025</v>
      </c>
      <c r="B295" t="s">
        <v>18</v>
      </c>
      <c r="C295">
        <v>5</v>
      </c>
      <c r="D295">
        <v>102.98496648554099</v>
      </c>
      <c r="E295">
        <v>13.501559929175899</v>
      </c>
      <c r="F295">
        <v>115</v>
      </c>
    </row>
    <row r="296" spans="1:6" x14ac:dyDescent="0.25">
      <c r="A296">
        <v>18025</v>
      </c>
      <c r="B296" t="s">
        <v>18</v>
      </c>
      <c r="C296">
        <v>6</v>
      </c>
      <c r="D296">
        <v>92.107831554308007</v>
      </c>
      <c r="E296">
        <v>12.394874689079501</v>
      </c>
      <c r="F296">
        <v>115</v>
      </c>
    </row>
    <row r="297" spans="1:6" x14ac:dyDescent="0.25">
      <c r="A297">
        <v>18025</v>
      </c>
      <c r="B297" t="s">
        <v>18</v>
      </c>
      <c r="C297">
        <v>7</v>
      </c>
      <c r="D297">
        <v>77.9422604810742</v>
      </c>
      <c r="E297">
        <v>11.0036132443869</v>
      </c>
      <c r="F297">
        <v>115</v>
      </c>
    </row>
    <row r="298" spans="1:6" x14ac:dyDescent="0.25">
      <c r="A298">
        <v>18025</v>
      </c>
      <c r="B298" t="s">
        <v>18</v>
      </c>
      <c r="C298">
        <v>8</v>
      </c>
      <c r="D298">
        <v>65.357668322263905</v>
      </c>
      <c r="E298">
        <v>8.6637644510403007</v>
      </c>
      <c r="F298">
        <v>115</v>
      </c>
    </row>
    <row r="299" spans="1:6" x14ac:dyDescent="0.25">
      <c r="A299">
        <v>18025</v>
      </c>
      <c r="B299" t="s">
        <v>18</v>
      </c>
      <c r="C299">
        <v>9</v>
      </c>
      <c r="D299">
        <v>52.045825862818702</v>
      </c>
      <c r="E299">
        <v>6.0393394530974298</v>
      </c>
      <c r="F299">
        <v>115</v>
      </c>
    </row>
    <row r="300" spans="1:6" x14ac:dyDescent="0.25">
      <c r="A300">
        <v>18025</v>
      </c>
      <c r="B300" t="s">
        <v>18</v>
      </c>
      <c r="C300">
        <v>10</v>
      </c>
      <c r="D300">
        <v>48.441193937933299</v>
      </c>
      <c r="E300">
        <v>4.7429367432702296</v>
      </c>
      <c r="F300">
        <v>115</v>
      </c>
    </row>
    <row r="301" spans="1:6" x14ac:dyDescent="0.25">
      <c r="A301">
        <v>18025</v>
      </c>
      <c r="B301" t="s">
        <v>18</v>
      </c>
      <c r="C301">
        <v>11</v>
      </c>
      <c r="D301">
        <v>48.536052672798697</v>
      </c>
      <c r="E301">
        <v>4.4583605386740199</v>
      </c>
      <c r="F301">
        <v>115</v>
      </c>
    </row>
    <row r="302" spans="1:6" x14ac:dyDescent="0.25">
      <c r="A302">
        <v>18025</v>
      </c>
      <c r="B302" t="s">
        <v>18</v>
      </c>
      <c r="C302">
        <v>12</v>
      </c>
      <c r="D302">
        <v>49.1684442385681</v>
      </c>
      <c r="E302">
        <v>3.5413927683084401</v>
      </c>
      <c r="F302">
        <v>115</v>
      </c>
    </row>
    <row r="303" spans="1:6" x14ac:dyDescent="0.25">
      <c r="A303">
        <v>18025</v>
      </c>
      <c r="B303" t="s">
        <v>18</v>
      </c>
      <c r="C303">
        <v>13</v>
      </c>
      <c r="D303">
        <v>48.441193937933299</v>
      </c>
      <c r="E303">
        <v>2.6876641545197999</v>
      </c>
      <c r="F303">
        <v>115</v>
      </c>
    </row>
    <row r="304" spans="1:6" x14ac:dyDescent="0.25">
      <c r="A304">
        <v>18025</v>
      </c>
      <c r="B304" t="s">
        <v>18</v>
      </c>
      <c r="C304">
        <v>14</v>
      </c>
      <c r="D304">
        <v>51.097238514164701</v>
      </c>
      <c r="E304">
        <v>2.2449900584812399</v>
      </c>
      <c r="F304">
        <v>115</v>
      </c>
    </row>
    <row r="305" spans="1:6" x14ac:dyDescent="0.25">
      <c r="A305">
        <v>18025</v>
      </c>
      <c r="B305" t="s">
        <v>18</v>
      </c>
      <c r="C305">
        <v>15</v>
      </c>
      <c r="D305">
        <v>57.547632485012201</v>
      </c>
      <c r="E305">
        <v>1.7074572275772799</v>
      </c>
      <c r="F305">
        <v>115</v>
      </c>
    </row>
    <row r="306" spans="1:6" x14ac:dyDescent="0.25">
      <c r="A306">
        <v>18025</v>
      </c>
      <c r="B306" t="s">
        <v>18</v>
      </c>
      <c r="C306">
        <v>16</v>
      </c>
      <c r="D306">
        <v>67.571038802456599</v>
      </c>
      <c r="E306">
        <v>1.32802228811566</v>
      </c>
      <c r="F306">
        <v>115</v>
      </c>
    </row>
    <row r="307" spans="1:6" x14ac:dyDescent="0.25">
      <c r="A307">
        <v>18025</v>
      </c>
      <c r="B307" t="s">
        <v>18</v>
      </c>
      <c r="C307">
        <v>17</v>
      </c>
      <c r="D307">
        <v>77.815782167920403</v>
      </c>
      <c r="E307">
        <v>1.3596418664041301</v>
      </c>
      <c r="F307">
        <v>115</v>
      </c>
    </row>
    <row r="308" spans="1:6" x14ac:dyDescent="0.25">
      <c r="A308">
        <v>18025</v>
      </c>
      <c r="B308" t="s">
        <v>18</v>
      </c>
      <c r="C308">
        <v>18</v>
      </c>
      <c r="D308">
        <v>87.744329750499404</v>
      </c>
      <c r="E308">
        <v>1.8339355407311499</v>
      </c>
      <c r="F308">
        <v>115</v>
      </c>
    </row>
    <row r="309" spans="1:6" x14ac:dyDescent="0.25">
      <c r="A309">
        <v>18025</v>
      </c>
      <c r="B309" t="s">
        <v>18</v>
      </c>
      <c r="C309">
        <v>19</v>
      </c>
      <c r="D309">
        <v>94.8271152871163</v>
      </c>
      <c r="E309">
        <v>3.0670990939814202</v>
      </c>
      <c r="F309">
        <v>115</v>
      </c>
    </row>
    <row r="310" spans="1:6" x14ac:dyDescent="0.25">
      <c r="A310">
        <v>18025</v>
      </c>
      <c r="B310" t="s">
        <v>18</v>
      </c>
      <c r="C310">
        <v>20</v>
      </c>
      <c r="D310">
        <v>102.57391196779101</v>
      </c>
      <c r="E310">
        <v>4.3951213820970798</v>
      </c>
      <c r="F310">
        <v>115</v>
      </c>
    </row>
    <row r="311" spans="1:6" x14ac:dyDescent="0.25">
      <c r="A311">
        <v>18025</v>
      </c>
      <c r="B311" t="s">
        <v>18</v>
      </c>
      <c r="C311">
        <v>21</v>
      </c>
      <c r="D311">
        <v>107.316848711061</v>
      </c>
      <c r="E311">
        <v>5.3753283090395998</v>
      </c>
      <c r="F311">
        <v>115</v>
      </c>
    </row>
    <row r="312" spans="1:6" x14ac:dyDescent="0.25">
      <c r="A312">
        <v>18025</v>
      </c>
      <c r="B312" t="s">
        <v>18</v>
      </c>
      <c r="C312">
        <v>22</v>
      </c>
      <c r="D312">
        <v>111.806828828023</v>
      </c>
      <c r="E312">
        <v>6.6084918622898599</v>
      </c>
      <c r="F312">
        <v>115</v>
      </c>
    </row>
    <row r="313" spans="1:6" x14ac:dyDescent="0.25">
      <c r="A313">
        <v>18025</v>
      </c>
      <c r="B313" t="s">
        <v>18</v>
      </c>
      <c r="C313">
        <v>23</v>
      </c>
      <c r="D313">
        <v>112.123024610908</v>
      </c>
      <c r="E313">
        <v>7.8416554155401199</v>
      </c>
      <c r="F313">
        <v>115</v>
      </c>
    </row>
    <row r="314" spans="1:6" x14ac:dyDescent="0.25">
      <c r="A314">
        <v>18027</v>
      </c>
      <c r="B314" t="s">
        <v>19</v>
      </c>
      <c r="C314">
        <v>0</v>
      </c>
      <c r="D314">
        <v>26.228390799483599</v>
      </c>
      <c r="E314">
        <v>3.2785488499354498</v>
      </c>
      <c r="F314">
        <v>15</v>
      </c>
    </row>
    <row r="315" spans="1:6" x14ac:dyDescent="0.25">
      <c r="A315">
        <v>18027</v>
      </c>
      <c r="B315" t="s">
        <v>19</v>
      </c>
      <c r="C315">
        <v>1</v>
      </c>
      <c r="D315">
        <v>26.228390799483599</v>
      </c>
      <c r="E315">
        <v>3.6236592551918099</v>
      </c>
      <c r="F315">
        <v>15</v>
      </c>
    </row>
    <row r="316" spans="1:6" x14ac:dyDescent="0.25">
      <c r="A316">
        <v>18027</v>
      </c>
      <c r="B316" t="s">
        <v>19</v>
      </c>
      <c r="C316">
        <v>2</v>
      </c>
      <c r="D316">
        <v>26.228390799483599</v>
      </c>
      <c r="E316">
        <v>3.1922712486213598</v>
      </c>
      <c r="F316">
        <v>15</v>
      </c>
    </row>
    <row r="317" spans="1:6" x14ac:dyDescent="0.25">
      <c r="A317">
        <v>18027</v>
      </c>
      <c r="B317" t="s">
        <v>19</v>
      </c>
      <c r="C317">
        <v>3</v>
      </c>
      <c r="D317">
        <v>26.228390799483599</v>
      </c>
      <c r="E317">
        <v>6.5570976998709103</v>
      </c>
      <c r="F317">
        <v>15</v>
      </c>
    </row>
    <row r="318" spans="1:6" x14ac:dyDescent="0.25">
      <c r="A318">
        <v>18027</v>
      </c>
      <c r="B318" t="s">
        <v>19</v>
      </c>
      <c r="C318">
        <v>4</v>
      </c>
      <c r="D318">
        <v>25.797002792913101</v>
      </c>
      <c r="E318">
        <v>12.8553625957995</v>
      </c>
      <c r="F318">
        <v>15</v>
      </c>
    </row>
    <row r="319" spans="1:6" x14ac:dyDescent="0.25">
      <c r="A319">
        <v>18027</v>
      </c>
      <c r="B319" t="s">
        <v>19</v>
      </c>
      <c r="C319">
        <v>5</v>
      </c>
      <c r="D319">
        <v>24.244005969259501</v>
      </c>
      <c r="E319">
        <v>6.1257096933004496</v>
      </c>
      <c r="F319">
        <v>15</v>
      </c>
    </row>
    <row r="320" spans="1:6" x14ac:dyDescent="0.25">
      <c r="A320">
        <v>18027</v>
      </c>
      <c r="B320" t="s">
        <v>19</v>
      </c>
      <c r="C320">
        <v>6</v>
      </c>
      <c r="D320">
        <v>22.949841949548102</v>
      </c>
      <c r="E320">
        <v>8.8865929353513593</v>
      </c>
      <c r="F320">
        <v>15</v>
      </c>
    </row>
    <row r="321" spans="1:6" x14ac:dyDescent="0.25">
      <c r="A321">
        <v>18027</v>
      </c>
      <c r="B321" t="s">
        <v>19</v>
      </c>
      <c r="C321">
        <v>7</v>
      </c>
      <c r="D321">
        <v>25.020504381086301</v>
      </c>
      <c r="E321">
        <v>9.0591481379795393</v>
      </c>
      <c r="F321">
        <v>15</v>
      </c>
    </row>
    <row r="322" spans="1:6" x14ac:dyDescent="0.25">
      <c r="A322">
        <v>18027</v>
      </c>
      <c r="B322" t="s">
        <v>19</v>
      </c>
      <c r="C322">
        <v>8</v>
      </c>
      <c r="D322">
        <v>22.949841949548102</v>
      </c>
      <c r="E322">
        <v>9.5768137458640901</v>
      </c>
      <c r="F322">
        <v>15</v>
      </c>
    </row>
    <row r="323" spans="1:6" x14ac:dyDescent="0.25">
      <c r="A323">
        <v>18027</v>
      </c>
      <c r="B323" t="s">
        <v>19</v>
      </c>
      <c r="C323">
        <v>9</v>
      </c>
      <c r="D323">
        <v>18.4634066812154</v>
      </c>
      <c r="E323">
        <v>11.388643373460001</v>
      </c>
      <c r="F323">
        <v>15</v>
      </c>
    </row>
    <row r="324" spans="1:6" x14ac:dyDescent="0.25">
      <c r="A324">
        <v>18027</v>
      </c>
      <c r="B324" t="s">
        <v>19</v>
      </c>
      <c r="C324">
        <v>10</v>
      </c>
      <c r="D324">
        <v>16.5652994523054</v>
      </c>
      <c r="E324">
        <v>9.0591481379795393</v>
      </c>
      <c r="F324">
        <v>15</v>
      </c>
    </row>
    <row r="325" spans="1:6" x14ac:dyDescent="0.25">
      <c r="A325">
        <v>18027</v>
      </c>
      <c r="B325" t="s">
        <v>19</v>
      </c>
      <c r="C325">
        <v>11</v>
      </c>
      <c r="D325">
        <v>16.9966874588759</v>
      </c>
      <c r="E325">
        <v>7.2473185103836304</v>
      </c>
      <c r="F325">
        <v>15</v>
      </c>
    </row>
    <row r="326" spans="1:6" x14ac:dyDescent="0.25">
      <c r="A326">
        <v>18027</v>
      </c>
      <c r="B326" t="s">
        <v>19</v>
      </c>
      <c r="C326">
        <v>12</v>
      </c>
      <c r="D326">
        <v>16.651577053619501</v>
      </c>
      <c r="E326">
        <v>8.3689273274668192</v>
      </c>
      <c r="F326">
        <v>15</v>
      </c>
    </row>
    <row r="327" spans="1:6" x14ac:dyDescent="0.25">
      <c r="A327">
        <v>18027</v>
      </c>
      <c r="B327" t="s">
        <v>19</v>
      </c>
      <c r="C327">
        <v>13</v>
      </c>
      <c r="D327">
        <v>16.220189047049001</v>
      </c>
      <c r="E327">
        <v>7.9375393208963603</v>
      </c>
      <c r="F327">
        <v>15</v>
      </c>
    </row>
    <row r="328" spans="1:6" x14ac:dyDescent="0.25">
      <c r="A328">
        <v>18027</v>
      </c>
      <c r="B328" t="s">
        <v>19</v>
      </c>
      <c r="C328">
        <v>14</v>
      </c>
      <c r="D328">
        <v>16.306466648363099</v>
      </c>
      <c r="E328">
        <v>6.7296529024990903</v>
      </c>
      <c r="F328">
        <v>15</v>
      </c>
    </row>
    <row r="329" spans="1:6" x14ac:dyDescent="0.25">
      <c r="A329">
        <v>18027</v>
      </c>
      <c r="B329" t="s">
        <v>19</v>
      </c>
      <c r="C329">
        <v>15</v>
      </c>
      <c r="D329">
        <v>17.773185870702701</v>
      </c>
      <c r="E329">
        <v>4.6589904709609096</v>
      </c>
      <c r="F329">
        <v>15</v>
      </c>
    </row>
    <row r="330" spans="1:6" x14ac:dyDescent="0.25">
      <c r="A330">
        <v>18027</v>
      </c>
      <c r="B330" t="s">
        <v>19</v>
      </c>
      <c r="C330">
        <v>16</v>
      </c>
      <c r="D330">
        <v>19.153627491728098</v>
      </c>
      <c r="E330">
        <v>2.3294952354804499</v>
      </c>
      <c r="F330">
        <v>15</v>
      </c>
    </row>
    <row r="331" spans="1:6" x14ac:dyDescent="0.25">
      <c r="A331">
        <v>18027</v>
      </c>
      <c r="B331" t="s">
        <v>19</v>
      </c>
      <c r="C331">
        <v>17</v>
      </c>
      <c r="D331">
        <v>20.7929019166959</v>
      </c>
      <c r="E331">
        <v>1.8118296275959</v>
      </c>
      <c r="F331">
        <v>15</v>
      </c>
    </row>
    <row r="332" spans="1:6" x14ac:dyDescent="0.25">
      <c r="A332">
        <v>18027</v>
      </c>
      <c r="B332" t="s">
        <v>19</v>
      </c>
      <c r="C332">
        <v>18</v>
      </c>
      <c r="D332">
        <v>22.259621139035399</v>
      </c>
      <c r="E332">
        <v>1.8118296275959</v>
      </c>
      <c r="F332">
        <v>15</v>
      </c>
    </row>
    <row r="333" spans="1:6" x14ac:dyDescent="0.25">
      <c r="A333">
        <v>18027</v>
      </c>
      <c r="B333" t="s">
        <v>19</v>
      </c>
      <c r="C333">
        <v>19</v>
      </c>
      <c r="D333">
        <v>23.4675075574327</v>
      </c>
      <c r="E333">
        <v>2.1569400328522699</v>
      </c>
      <c r="F333">
        <v>15</v>
      </c>
    </row>
    <row r="334" spans="1:6" x14ac:dyDescent="0.25">
      <c r="A334">
        <v>18027</v>
      </c>
      <c r="B334" t="s">
        <v>19</v>
      </c>
      <c r="C334">
        <v>20</v>
      </c>
      <c r="D334">
        <v>24.5891163745159</v>
      </c>
      <c r="E334">
        <v>1.55299682365363</v>
      </c>
      <c r="F334">
        <v>15</v>
      </c>
    </row>
    <row r="335" spans="1:6" x14ac:dyDescent="0.25">
      <c r="A335">
        <v>18027</v>
      </c>
      <c r="B335" t="s">
        <v>19</v>
      </c>
      <c r="C335">
        <v>21</v>
      </c>
      <c r="D335">
        <v>25.106781982400399</v>
      </c>
      <c r="E335">
        <v>2.0706624315381799</v>
      </c>
      <c r="F335">
        <v>15</v>
      </c>
    </row>
    <row r="336" spans="1:6" x14ac:dyDescent="0.25">
      <c r="A336">
        <v>18027</v>
      </c>
      <c r="B336" t="s">
        <v>19</v>
      </c>
      <c r="C336">
        <v>22</v>
      </c>
      <c r="D336">
        <v>25.710725191599099</v>
      </c>
      <c r="E336">
        <v>2.5020504381086299</v>
      </c>
      <c r="F336">
        <v>15</v>
      </c>
    </row>
    <row r="337" spans="1:6" x14ac:dyDescent="0.25">
      <c r="A337">
        <v>18027</v>
      </c>
      <c r="B337" t="s">
        <v>19</v>
      </c>
      <c r="C337">
        <v>23</v>
      </c>
      <c r="D337">
        <v>26.228390799483599</v>
      </c>
      <c r="E337">
        <v>3.0197160459931802</v>
      </c>
      <c r="F337">
        <v>15</v>
      </c>
    </row>
    <row r="338" spans="1:6" x14ac:dyDescent="0.25">
      <c r="A338">
        <v>18029</v>
      </c>
      <c r="B338" t="s">
        <v>20</v>
      </c>
      <c r="C338">
        <v>0</v>
      </c>
      <c r="D338">
        <v>33.002366495768001</v>
      </c>
      <c r="E338">
        <v>4.0576680117747603</v>
      </c>
      <c r="F338">
        <v>85</v>
      </c>
    </row>
    <row r="339" spans="1:6" x14ac:dyDescent="0.25">
      <c r="A339">
        <v>18029</v>
      </c>
      <c r="B339" t="s">
        <v>20</v>
      </c>
      <c r="C339">
        <v>1</v>
      </c>
      <c r="D339">
        <v>33.4081332969455</v>
      </c>
      <c r="E339">
        <v>4.3732644126905802</v>
      </c>
      <c r="F339">
        <v>85</v>
      </c>
    </row>
    <row r="340" spans="1:6" x14ac:dyDescent="0.25">
      <c r="A340">
        <v>18029</v>
      </c>
      <c r="B340" t="s">
        <v>20</v>
      </c>
      <c r="C340">
        <v>2</v>
      </c>
      <c r="D340">
        <v>33.227792496422197</v>
      </c>
      <c r="E340">
        <v>4.8241164139988797</v>
      </c>
      <c r="F340">
        <v>85</v>
      </c>
    </row>
    <row r="341" spans="1:6" x14ac:dyDescent="0.25">
      <c r="A341">
        <v>18029</v>
      </c>
      <c r="B341" t="s">
        <v>20</v>
      </c>
      <c r="C341">
        <v>3</v>
      </c>
      <c r="D341">
        <v>33.137622096160499</v>
      </c>
      <c r="E341">
        <v>5.0946276147838701</v>
      </c>
      <c r="F341">
        <v>85</v>
      </c>
    </row>
    <row r="342" spans="1:6" x14ac:dyDescent="0.25">
      <c r="A342">
        <v>18029</v>
      </c>
      <c r="B342" t="s">
        <v>20</v>
      </c>
      <c r="C342">
        <v>4</v>
      </c>
      <c r="D342">
        <v>32.822025695244697</v>
      </c>
      <c r="E342">
        <v>5.7258204166155</v>
      </c>
      <c r="F342">
        <v>85</v>
      </c>
    </row>
    <row r="343" spans="1:6" x14ac:dyDescent="0.25">
      <c r="A343">
        <v>18029</v>
      </c>
      <c r="B343" t="s">
        <v>20</v>
      </c>
      <c r="C343">
        <v>5</v>
      </c>
      <c r="D343">
        <v>29.981658087002401</v>
      </c>
      <c r="E343">
        <v>7.0783764205404198</v>
      </c>
      <c r="F343">
        <v>85</v>
      </c>
    </row>
    <row r="344" spans="1:6" x14ac:dyDescent="0.25">
      <c r="A344">
        <v>18029</v>
      </c>
      <c r="B344" t="s">
        <v>20</v>
      </c>
      <c r="C344">
        <v>6</v>
      </c>
      <c r="D344">
        <v>27.186375678890901</v>
      </c>
      <c r="E344">
        <v>11.181129632446</v>
      </c>
      <c r="F344">
        <v>85</v>
      </c>
    </row>
    <row r="345" spans="1:6" x14ac:dyDescent="0.25">
      <c r="A345">
        <v>18029</v>
      </c>
      <c r="B345" t="s">
        <v>20</v>
      </c>
      <c r="C345">
        <v>7</v>
      </c>
      <c r="D345">
        <v>22.813111266200298</v>
      </c>
      <c r="E345">
        <v>11.0909592321843</v>
      </c>
      <c r="F345">
        <v>85</v>
      </c>
    </row>
    <row r="346" spans="1:6" x14ac:dyDescent="0.25">
      <c r="A346">
        <v>18029</v>
      </c>
      <c r="B346" t="s">
        <v>20</v>
      </c>
      <c r="C346">
        <v>8</v>
      </c>
      <c r="D346">
        <v>17.3127168502389</v>
      </c>
      <c r="E346">
        <v>8.9268696259044802</v>
      </c>
      <c r="F346">
        <v>85</v>
      </c>
    </row>
    <row r="347" spans="1:6" x14ac:dyDescent="0.25">
      <c r="A347">
        <v>18029</v>
      </c>
      <c r="B347" t="s">
        <v>20</v>
      </c>
      <c r="C347">
        <v>9</v>
      </c>
      <c r="D347">
        <v>14.156752841080801</v>
      </c>
      <c r="E347">
        <v>10.2343404296985</v>
      </c>
      <c r="F347">
        <v>85</v>
      </c>
    </row>
    <row r="348" spans="1:6" x14ac:dyDescent="0.25">
      <c r="A348">
        <v>18029</v>
      </c>
      <c r="B348" t="s">
        <v>20</v>
      </c>
      <c r="C348">
        <v>10</v>
      </c>
      <c r="D348">
        <v>13.300134038595001</v>
      </c>
      <c r="E348">
        <v>9.1522956265586295</v>
      </c>
      <c r="F348">
        <v>85</v>
      </c>
    </row>
    <row r="349" spans="1:6" x14ac:dyDescent="0.25">
      <c r="A349">
        <v>18029</v>
      </c>
      <c r="B349" t="s">
        <v>20</v>
      </c>
      <c r="C349">
        <v>11</v>
      </c>
      <c r="D349">
        <v>13.7059008397725</v>
      </c>
      <c r="E349">
        <v>7.3939728214562299</v>
      </c>
      <c r="F349">
        <v>85</v>
      </c>
    </row>
    <row r="350" spans="1:6" x14ac:dyDescent="0.25">
      <c r="A350">
        <v>18029</v>
      </c>
      <c r="B350" t="s">
        <v>20</v>
      </c>
      <c r="C350">
        <v>12</v>
      </c>
      <c r="D350">
        <v>13.029622837810001</v>
      </c>
      <c r="E350">
        <v>5.4102240156996801</v>
      </c>
      <c r="F350">
        <v>85</v>
      </c>
    </row>
    <row r="351" spans="1:6" x14ac:dyDescent="0.25">
      <c r="A351">
        <v>18029</v>
      </c>
      <c r="B351" t="s">
        <v>20</v>
      </c>
      <c r="C351">
        <v>13</v>
      </c>
      <c r="D351">
        <v>13.300134038595001</v>
      </c>
      <c r="E351">
        <v>4.0125828116439299</v>
      </c>
      <c r="F351">
        <v>85</v>
      </c>
    </row>
    <row r="352" spans="1:6" x14ac:dyDescent="0.25">
      <c r="A352">
        <v>18029</v>
      </c>
      <c r="B352" t="s">
        <v>20</v>
      </c>
      <c r="C352">
        <v>14</v>
      </c>
      <c r="D352">
        <v>12.9394524375484</v>
      </c>
      <c r="E352">
        <v>3.2010492092889802</v>
      </c>
      <c r="F352">
        <v>85</v>
      </c>
    </row>
    <row r="353" spans="1:6" x14ac:dyDescent="0.25">
      <c r="A353">
        <v>18029</v>
      </c>
      <c r="B353" t="s">
        <v>20</v>
      </c>
      <c r="C353">
        <v>15</v>
      </c>
      <c r="D353">
        <v>12.2180892354551</v>
      </c>
      <c r="E353">
        <v>2.0739192060182101</v>
      </c>
      <c r="F353">
        <v>85</v>
      </c>
    </row>
    <row r="354" spans="1:6" x14ac:dyDescent="0.25">
      <c r="A354">
        <v>18029</v>
      </c>
      <c r="B354" t="s">
        <v>20</v>
      </c>
      <c r="C354">
        <v>16</v>
      </c>
      <c r="D354">
        <v>14.968286443435799</v>
      </c>
      <c r="E354">
        <v>1.0369596030091</v>
      </c>
      <c r="F354">
        <v>85</v>
      </c>
    </row>
    <row r="355" spans="1:6" x14ac:dyDescent="0.25">
      <c r="A355">
        <v>18029</v>
      </c>
      <c r="B355" t="s">
        <v>20</v>
      </c>
      <c r="C355">
        <v>17</v>
      </c>
      <c r="D355">
        <v>18.530017253771401</v>
      </c>
      <c r="E355">
        <v>0.94678920274744505</v>
      </c>
      <c r="F355">
        <v>85</v>
      </c>
    </row>
    <row r="356" spans="1:6" x14ac:dyDescent="0.25">
      <c r="A356">
        <v>18029</v>
      </c>
      <c r="B356" t="s">
        <v>20</v>
      </c>
      <c r="C356">
        <v>18</v>
      </c>
      <c r="D356">
        <v>23.4893892681628</v>
      </c>
      <c r="E356">
        <v>1.6681524048407299</v>
      </c>
      <c r="F356">
        <v>85</v>
      </c>
    </row>
    <row r="357" spans="1:6" x14ac:dyDescent="0.25">
      <c r="A357">
        <v>18029</v>
      </c>
      <c r="B357" t="s">
        <v>20</v>
      </c>
      <c r="C357">
        <v>19</v>
      </c>
      <c r="D357">
        <v>26.6904384774517</v>
      </c>
      <c r="E357">
        <v>2.8854528083731599</v>
      </c>
      <c r="F357">
        <v>85</v>
      </c>
    </row>
    <row r="358" spans="1:6" x14ac:dyDescent="0.25">
      <c r="A358">
        <v>18029</v>
      </c>
      <c r="B358" t="s">
        <v>20</v>
      </c>
      <c r="C358">
        <v>20</v>
      </c>
      <c r="D358">
        <v>29.1250392845166</v>
      </c>
      <c r="E358">
        <v>3.0657936088964801</v>
      </c>
      <c r="F358">
        <v>85</v>
      </c>
    </row>
    <row r="359" spans="1:6" x14ac:dyDescent="0.25">
      <c r="A359">
        <v>18029</v>
      </c>
      <c r="B359" t="s">
        <v>20</v>
      </c>
      <c r="C359">
        <v>21</v>
      </c>
      <c r="D359">
        <v>31.018617690011499</v>
      </c>
      <c r="E359">
        <v>2.3444304068031898</v>
      </c>
      <c r="F359">
        <v>85</v>
      </c>
    </row>
    <row r="360" spans="1:6" x14ac:dyDescent="0.25">
      <c r="A360">
        <v>18029</v>
      </c>
      <c r="B360" t="s">
        <v>20</v>
      </c>
      <c r="C360">
        <v>22</v>
      </c>
      <c r="D360">
        <v>32.596599694590601</v>
      </c>
      <c r="E360">
        <v>2.9305380085039898</v>
      </c>
      <c r="F360">
        <v>85</v>
      </c>
    </row>
    <row r="361" spans="1:6" x14ac:dyDescent="0.25">
      <c r="A361">
        <v>18029</v>
      </c>
      <c r="B361" t="s">
        <v>20</v>
      </c>
      <c r="C361">
        <v>23</v>
      </c>
      <c r="D361">
        <v>32.6867700948522</v>
      </c>
      <c r="E361">
        <v>3.5617308103356198</v>
      </c>
      <c r="F361">
        <v>85</v>
      </c>
    </row>
    <row r="362" spans="1:6" x14ac:dyDescent="0.25">
      <c r="A362">
        <v>18031</v>
      </c>
      <c r="B362" t="s">
        <v>21</v>
      </c>
      <c r="C362">
        <v>0</v>
      </c>
      <c r="D362">
        <v>289.83030376153499</v>
      </c>
      <c r="E362">
        <v>8.0044392249223399</v>
      </c>
      <c r="F362">
        <v>209</v>
      </c>
    </row>
    <row r="363" spans="1:6" x14ac:dyDescent="0.25">
      <c r="A363">
        <v>18031</v>
      </c>
      <c r="B363" t="s">
        <v>21</v>
      </c>
      <c r="C363">
        <v>1</v>
      </c>
      <c r="D363">
        <v>291.84881452260299</v>
      </c>
      <c r="E363">
        <v>8.8396850570881504</v>
      </c>
      <c r="F363">
        <v>209</v>
      </c>
    </row>
    <row r="364" spans="1:6" x14ac:dyDescent="0.25">
      <c r="A364">
        <v>18031</v>
      </c>
      <c r="B364" t="s">
        <v>21</v>
      </c>
      <c r="C364">
        <v>2</v>
      </c>
      <c r="D364">
        <v>288.925454110023</v>
      </c>
      <c r="E364">
        <v>9.1877041538238995</v>
      </c>
      <c r="F364">
        <v>209</v>
      </c>
    </row>
    <row r="365" spans="1:6" x14ac:dyDescent="0.25">
      <c r="A365">
        <v>18031</v>
      </c>
      <c r="B365" t="s">
        <v>21</v>
      </c>
      <c r="C365">
        <v>3</v>
      </c>
      <c r="D365">
        <v>277.30161627904801</v>
      </c>
      <c r="E365">
        <v>9.9533461666425609</v>
      </c>
      <c r="F365">
        <v>209</v>
      </c>
    </row>
    <row r="366" spans="1:6" x14ac:dyDescent="0.25">
      <c r="A366">
        <v>18031</v>
      </c>
      <c r="B366" t="s">
        <v>21</v>
      </c>
      <c r="C366">
        <v>4</v>
      </c>
      <c r="D366">
        <v>258.16056595858203</v>
      </c>
      <c r="E366">
        <v>10.579780540766899</v>
      </c>
      <c r="F366">
        <v>209</v>
      </c>
    </row>
    <row r="367" spans="1:6" x14ac:dyDescent="0.25">
      <c r="A367">
        <v>18031</v>
      </c>
      <c r="B367" t="s">
        <v>21</v>
      </c>
      <c r="C367">
        <v>5</v>
      </c>
      <c r="D367">
        <v>246.18870903087199</v>
      </c>
      <c r="E367">
        <v>12.4590836631399</v>
      </c>
      <c r="F367">
        <v>209</v>
      </c>
    </row>
    <row r="368" spans="1:6" x14ac:dyDescent="0.25">
      <c r="A368">
        <v>18031</v>
      </c>
      <c r="B368" t="s">
        <v>21</v>
      </c>
      <c r="C368">
        <v>6</v>
      </c>
      <c r="D368">
        <v>224.681128852602</v>
      </c>
      <c r="E368">
        <v>16.356897546580399</v>
      </c>
      <c r="F368">
        <v>209</v>
      </c>
    </row>
    <row r="369" spans="1:6" x14ac:dyDescent="0.25">
      <c r="A369">
        <v>18031</v>
      </c>
      <c r="B369" t="s">
        <v>21</v>
      </c>
      <c r="C369">
        <v>7</v>
      </c>
      <c r="D369">
        <v>186.67744348905799</v>
      </c>
      <c r="E369">
        <v>17.679370114176301</v>
      </c>
      <c r="F369">
        <v>209</v>
      </c>
    </row>
    <row r="370" spans="1:6" x14ac:dyDescent="0.25">
      <c r="A370">
        <v>18031</v>
      </c>
      <c r="B370" t="s">
        <v>21</v>
      </c>
      <c r="C370">
        <v>8</v>
      </c>
      <c r="D370">
        <v>160.01918067909901</v>
      </c>
      <c r="E370">
        <v>13.3639333146529</v>
      </c>
      <c r="F370">
        <v>209</v>
      </c>
    </row>
    <row r="371" spans="1:6" x14ac:dyDescent="0.25">
      <c r="A371">
        <v>18031</v>
      </c>
      <c r="B371" t="s">
        <v>21</v>
      </c>
      <c r="C371">
        <v>9</v>
      </c>
      <c r="D371">
        <v>154.65968658936899</v>
      </c>
      <c r="E371">
        <v>11.2062149148912</v>
      </c>
      <c r="F371">
        <v>209</v>
      </c>
    </row>
    <row r="372" spans="1:6" x14ac:dyDescent="0.25">
      <c r="A372">
        <v>18031</v>
      </c>
      <c r="B372" t="s">
        <v>21</v>
      </c>
      <c r="C372">
        <v>10</v>
      </c>
      <c r="D372">
        <v>143.035848758394</v>
      </c>
      <c r="E372">
        <v>10.2317614440311</v>
      </c>
      <c r="F372">
        <v>209</v>
      </c>
    </row>
    <row r="373" spans="1:6" x14ac:dyDescent="0.25">
      <c r="A373">
        <v>18031</v>
      </c>
      <c r="B373" t="s">
        <v>21</v>
      </c>
      <c r="C373">
        <v>11</v>
      </c>
      <c r="D373">
        <v>141.086941816674</v>
      </c>
      <c r="E373">
        <v>6.8211742960207697</v>
      </c>
      <c r="F373">
        <v>209</v>
      </c>
    </row>
    <row r="374" spans="1:6" x14ac:dyDescent="0.25">
      <c r="A374">
        <v>18031</v>
      </c>
      <c r="B374" t="s">
        <v>21</v>
      </c>
      <c r="C374">
        <v>12</v>
      </c>
      <c r="D374">
        <v>144.42792514533701</v>
      </c>
      <c r="E374">
        <v>5.2202864510363103</v>
      </c>
      <c r="F374">
        <v>209</v>
      </c>
    </row>
    <row r="375" spans="1:6" x14ac:dyDescent="0.25">
      <c r="A375">
        <v>18031</v>
      </c>
      <c r="B375" t="s">
        <v>21</v>
      </c>
      <c r="C375">
        <v>13</v>
      </c>
      <c r="D375">
        <v>145.33277479685</v>
      </c>
      <c r="E375">
        <v>2.36652985780312</v>
      </c>
      <c r="F375">
        <v>209</v>
      </c>
    </row>
    <row r="376" spans="1:6" x14ac:dyDescent="0.25">
      <c r="A376">
        <v>18031</v>
      </c>
      <c r="B376" t="s">
        <v>21</v>
      </c>
      <c r="C376">
        <v>14</v>
      </c>
      <c r="D376">
        <v>148.325739028778</v>
      </c>
      <c r="E376">
        <v>1.5312840256373099</v>
      </c>
      <c r="F376">
        <v>209</v>
      </c>
    </row>
    <row r="377" spans="1:6" x14ac:dyDescent="0.25">
      <c r="A377">
        <v>18031</v>
      </c>
      <c r="B377" t="s">
        <v>21</v>
      </c>
      <c r="C377">
        <v>15</v>
      </c>
      <c r="D377">
        <v>156.81740498913001</v>
      </c>
      <c r="E377">
        <v>1.04405729020726</v>
      </c>
      <c r="F377">
        <v>209</v>
      </c>
    </row>
    <row r="378" spans="1:6" x14ac:dyDescent="0.25">
      <c r="A378">
        <v>18031</v>
      </c>
      <c r="B378" t="s">
        <v>21</v>
      </c>
      <c r="C378">
        <v>16</v>
      </c>
      <c r="D378">
        <v>181.66596849606299</v>
      </c>
      <c r="E378">
        <v>0.69603819347150797</v>
      </c>
      <c r="F378">
        <v>209</v>
      </c>
    </row>
    <row r="379" spans="1:6" x14ac:dyDescent="0.25">
      <c r="A379">
        <v>18031</v>
      </c>
      <c r="B379" t="s">
        <v>21</v>
      </c>
      <c r="C379">
        <v>17</v>
      </c>
      <c r="D379">
        <v>203.591171590416</v>
      </c>
      <c r="E379">
        <v>0.90484965151296004</v>
      </c>
      <c r="F379">
        <v>209</v>
      </c>
    </row>
    <row r="380" spans="1:6" x14ac:dyDescent="0.25">
      <c r="A380">
        <v>18031</v>
      </c>
      <c r="B380" t="s">
        <v>21</v>
      </c>
      <c r="C380">
        <v>18</v>
      </c>
      <c r="D380">
        <v>227.882904542571</v>
      </c>
      <c r="E380">
        <v>1.3920763869430099</v>
      </c>
      <c r="F380">
        <v>209</v>
      </c>
    </row>
    <row r="381" spans="1:6" x14ac:dyDescent="0.25">
      <c r="A381">
        <v>18031</v>
      </c>
      <c r="B381" t="s">
        <v>21</v>
      </c>
      <c r="C381">
        <v>19</v>
      </c>
      <c r="D381">
        <v>245.771086114789</v>
      </c>
      <c r="E381">
        <v>1.9489069417202201</v>
      </c>
      <c r="F381">
        <v>209</v>
      </c>
    </row>
    <row r="382" spans="1:6" x14ac:dyDescent="0.25">
      <c r="A382">
        <v>18031</v>
      </c>
      <c r="B382" t="s">
        <v>21</v>
      </c>
      <c r="C382">
        <v>20</v>
      </c>
      <c r="D382">
        <v>259.76145380356598</v>
      </c>
      <c r="E382">
        <v>2.5057374964974199</v>
      </c>
      <c r="F382">
        <v>209</v>
      </c>
    </row>
    <row r="383" spans="1:6" x14ac:dyDescent="0.25">
      <c r="A383">
        <v>18031</v>
      </c>
      <c r="B383" t="s">
        <v>21</v>
      </c>
      <c r="C383">
        <v>21</v>
      </c>
      <c r="D383">
        <v>268.87955413804298</v>
      </c>
      <c r="E383">
        <v>3.6193986060518402</v>
      </c>
      <c r="F383">
        <v>209</v>
      </c>
    </row>
    <row r="384" spans="1:6" x14ac:dyDescent="0.25">
      <c r="A384">
        <v>18031</v>
      </c>
      <c r="B384" t="s">
        <v>21</v>
      </c>
      <c r="C384">
        <v>22</v>
      </c>
      <c r="D384">
        <v>281.12982634314199</v>
      </c>
      <c r="E384">
        <v>5.6379093671192102</v>
      </c>
      <c r="F384">
        <v>209</v>
      </c>
    </row>
    <row r="385" spans="1:6" x14ac:dyDescent="0.25">
      <c r="A385">
        <v>18031</v>
      </c>
      <c r="B385" t="s">
        <v>21</v>
      </c>
      <c r="C385">
        <v>23</v>
      </c>
      <c r="D385">
        <v>285.86288605874802</v>
      </c>
      <c r="E385">
        <v>6.7515704766736198</v>
      </c>
      <c r="F385">
        <v>209</v>
      </c>
    </row>
    <row r="386" spans="1:6" x14ac:dyDescent="0.25">
      <c r="A386">
        <v>18033</v>
      </c>
      <c r="B386" t="s">
        <v>22</v>
      </c>
      <c r="C386">
        <v>0</v>
      </c>
      <c r="D386">
        <v>101.04286200689501</v>
      </c>
      <c r="E386">
        <v>1.2563055666931899</v>
      </c>
      <c r="F386">
        <v>230</v>
      </c>
    </row>
    <row r="387" spans="1:6" x14ac:dyDescent="0.25">
      <c r="A387">
        <v>18033</v>
      </c>
      <c r="B387" t="s">
        <v>22</v>
      </c>
      <c r="C387">
        <v>1</v>
      </c>
      <c r="D387">
        <v>101.581278678335</v>
      </c>
      <c r="E387">
        <v>1.73489816352869</v>
      </c>
      <c r="F387">
        <v>230</v>
      </c>
    </row>
    <row r="388" spans="1:6" x14ac:dyDescent="0.25">
      <c r="A388">
        <v>18033</v>
      </c>
      <c r="B388" t="s">
        <v>22</v>
      </c>
      <c r="C388">
        <v>2</v>
      </c>
      <c r="D388">
        <v>104.333186110139</v>
      </c>
      <c r="E388">
        <v>2.1536666857597502</v>
      </c>
      <c r="F388">
        <v>230</v>
      </c>
    </row>
    <row r="389" spans="1:6" x14ac:dyDescent="0.25">
      <c r="A389">
        <v>18033</v>
      </c>
      <c r="B389" t="s">
        <v>22</v>
      </c>
      <c r="C389">
        <v>3</v>
      </c>
      <c r="D389">
        <v>105.29037130381001</v>
      </c>
      <c r="E389">
        <v>2.21349076036419</v>
      </c>
      <c r="F389">
        <v>230</v>
      </c>
    </row>
    <row r="390" spans="1:6" x14ac:dyDescent="0.25">
      <c r="A390">
        <v>18033</v>
      </c>
      <c r="B390" t="s">
        <v>22</v>
      </c>
      <c r="C390">
        <v>4</v>
      </c>
      <c r="D390">
        <v>100.564269410059</v>
      </c>
      <c r="E390">
        <v>2.2733148349686298</v>
      </c>
      <c r="F390">
        <v>230</v>
      </c>
    </row>
    <row r="391" spans="1:6" x14ac:dyDescent="0.25">
      <c r="A391">
        <v>18033</v>
      </c>
      <c r="B391" t="s">
        <v>22</v>
      </c>
      <c r="C391">
        <v>5</v>
      </c>
      <c r="D391">
        <v>101.760750902148</v>
      </c>
      <c r="E391">
        <v>2.8117315064085702</v>
      </c>
      <c r="F391">
        <v>230</v>
      </c>
    </row>
    <row r="392" spans="1:6" x14ac:dyDescent="0.25">
      <c r="A392">
        <v>18033</v>
      </c>
      <c r="B392" t="s">
        <v>22</v>
      </c>
      <c r="C392">
        <v>6</v>
      </c>
      <c r="D392">
        <v>95.778343441704706</v>
      </c>
      <c r="E392">
        <v>3.7689167000795698</v>
      </c>
      <c r="F392">
        <v>230</v>
      </c>
    </row>
    <row r="393" spans="1:6" x14ac:dyDescent="0.25">
      <c r="A393">
        <v>18033</v>
      </c>
      <c r="B393" t="s">
        <v>22</v>
      </c>
      <c r="C393">
        <v>7</v>
      </c>
      <c r="D393">
        <v>83.514408147794995</v>
      </c>
      <c r="E393">
        <v>7.0592408033236396</v>
      </c>
      <c r="F393">
        <v>230</v>
      </c>
    </row>
    <row r="394" spans="1:6" x14ac:dyDescent="0.25">
      <c r="A394">
        <v>18033</v>
      </c>
      <c r="B394" t="s">
        <v>22</v>
      </c>
      <c r="C394">
        <v>8</v>
      </c>
      <c r="D394">
        <v>71.250472853885199</v>
      </c>
      <c r="E394">
        <v>12.204111219305201</v>
      </c>
      <c r="F394">
        <v>230</v>
      </c>
    </row>
    <row r="395" spans="1:6" x14ac:dyDescent="0.25">
      <c r="A395">
        <v>18033</v>
      </c>
      <c r="B395" t="s">
        <v>22</v>
      </c>
      <c r="C395">
        <v>9</v>
      </c>
      <c r="D395">
        <v>63.951935752143797</v>
      </c>
      <c r="E395">
        <v>13.8791853082295</v>
      </c>
      <c r="F395">
        <v>230</v>
      </c>
    </row>
    <row r="396" spans="1:6" x14ac:dyDescent="0.25">
      <c r="A396">
        <v>18033</v>
      </c>
      <c r="B396" t="s">
        <v>22</v>
      </c>
      <c r="C396">
        <v>10</v>
      </c>
      <c r="D396">
        <v>56.473926426589102</v>
      </c>
      <c r="E396">
        <v>12.144287144700799</v>
      </c>
      <c r="F396">
        <v>230</v>
      </c>
    </row>
    <row r="397" spans="1:6" x14ac:dyDescent="0.25">
      <c r="A397">
        <v>18033</v>
      </c>
      <c r="B397" t="s">
        <v>22</v>
      </c>
      <c r="C397">
        <v>11</v>
      </c>
      <c r="D397">
        <v>52.346065278882897</v>
      </c>
      <c r="E397">
        <v>12.084463070096399</v>
      </c>
      <c r="F397">
        <v>230</v>
      </c>
    </row>
    <row r="398" spans="1:6" x14ac:dyDescent="0.25">
      <c r="A398">
        <v>18033</v>
      </c>
      <c r="B398" t="s">
        <v>22</v>
      </c>
      <c r="C398">
        <v>12</v>
      </c>
      <c r="D398">
        <v>52.465713428091803</v>
      </c>
      <c r="E398">
        <v>7.6574815493680202</v>
      </c>
      <c r="F398">
        <v>230</v>
      </c>
    </row>
    <row r="399" spans="1:6" x14ac:dyDescent="0.25">
      <c r="A399">
        <v>18033</v>
      </c>
      <c r="B399" t="s">
        <v>22</v>
      </c>
      <c r="C399">
        <v>13</v>
      </c>
      <c r="D399">
        <v>48.158380056572298</v>
      </c>
      <c r="E399">
        <v>7.0592408033236396</v>
      </c>
      <c r="F399">
        <v>230</v>
      </c>
    </row>
    <row r="400" spans="1:6" x14ac:dyDescent="0.25">
      <c r="A400">
        <v>18033</v>
      </c>
      <c r="B400" t="s">
        <v>22</v>
      </c>
      <c r="C400">
        <v>14</v>
      </c>
      <c r="D400">
        <v>46.004713370812503</v>
      </c>
      <c r="E400">
        <v>6.4610000572792696</v>
      </c>
      <c r="F400">
        <v>230</v>
      </c>
    </row>
    <row r="401" spans="1:6" x14ac:dyDescent="0.25">
      <c r="A401">
        <v>18033</v>
      </c>
      <c r="B401" t="s">
        <v>22</v>
      </c>
      <c r="C401">
        <v>15</v>
      </c>
      <c r="D401">
        <v>45.107352251746001</v>
      </c>
      <c r="E401">
        <v>4.0082129984973198</v>
      </c>
      <c r="F401">
        <v>230</v>
      </c>
    </row>
    <row r="402" spans="1:6" x14ac:dyDescent="0.25">
      <c r="A402">
        <v>18033</v>
      </c>
      <c r="B402" t="s">
        <v>22</v>
      </c>
      <c r="C402">
        <v>16</v>
      </c>
      <c r="D402">
        <v>46.483305967648</v>
      </c>
      <c r="E402">
        <v>2.7519074318041299</v>
      </c>
      <c r="F402">
        <v>230</v>
      </c>
    </row>
    <row r="403" spans="1:6" x14ac:dyDescent="0.25">
      <c r="A403">
        <v>18033</v>
      </c>
      <c r="B403" t="s">
        <v>22</v>
      </c>
      <c r="C403">
        <v>17</v>
      </c>
      <c r="D403">
        <v>53.303250472553898</v>
      </c>
      <c r="E403">
        <v>1.3759537159020601</v>
      </c>
      <c r="F403">
        <v>230</v>
      </c>
    </row>
    <row r="404" spans="1:6" x14ac:dyDescent="0.25">
      <c r="A404">
        <v>18033</v>
      </c>
      <c r="B404" t="s">
        <v>22</v>
      </c>
      <c r="C404">
        <v>18</v>
      </c>
      <c r="D404">
        <v>61.140204245735298</v>
      </c>
      <c r="E404">
        <v>1.2563055666931899</v>
      </c>
      <c r="F404">
        <v>230</v>
      </c>
    </row>
    <row r="405" spans="1:6" x14ac:dyDescent="0.25">
      <c r="A405">
        <v>18033</v>
      </c>
      <c r="B405" t="s">
        <v>22</v>
      </c>
      <c r="C405">
        <v>19</v>
      </c>
      <c r="D405">
        <v>69.874519137983199</v>
      </c>
      <c r="E405">
        <v>1.13665741748431</v>
      </c>
      <c r="F405">
        <v>230</v>
      </c>
    </row>
    <row r="406" spans="1:6" x14ac:dyDescent="0.25">
      <c r="A406">
        <v>18033</v>
      </c>
      <c r="B406" t="s">
        <v>22</v>
      </c>
      <c r="C406">
        <v>20</v>
      </c>
      <c r="D406">
        <v>78.7883062540444</v>
      </c>
      <c r="E406">
        <v>1.2563055666931899</v>
      </c>
      <c r="F406">
        <v>230</v>
      </c>
    </row>
    <row r="407" spans="1:6" x14ac:dyDescent="0.25">
      <c r="A407">
        <v>18033</v>
      </c>
      <c r="B407" t="s">
        <v>22</v>
      </c>
      <c r="C407">
        <v>21</v>
      </c>
      <c r="D407">
        <v>91.052241547954097</v>
      </c>
      <c r="E407">
        <v>1.07683334287987</v>
      </c>
      <c r="F407">
        <v>230</v>
      </c>
    </row>
    <row r="408" spans="1:6" x14ac:dyDescent="0.25">
      <c r="A408">
        <v>18033</v>
      </c>
      <c r="B408" t="s">
        <v>22</v>
      </c>
      <c r="C408">
        <v>22</v>
      </c>
      <c r="D408">
        <v>98.1114823512778</v>
      </c>
      <c r="E408">
        <v>1.3759537159020601</v>
      </c>
      <c r="F408">
        <v>230</v>
      </c>
    </row>
    <row r="409" spans="1:6" x14ac:dyDescent="0.25">
      <c r="A409">
        <v>18033</v>
      </c>
      <c r="B409" t="s">
        <v>22</v>
      </c>
      <c r="C409">
        <v>23</v>
      </c>
      <c r="D409">
        <v>99.4874360671798</v>
      </c>
      <c r="E409">
        <v>1.4357777905064999</v>
      </c>
      <c r="F409">
        <v>230</v>
      </c>
    </row>
    <row r="410" spans="1:6" x14ac:dyDescent="0.25">
      <c r="A410">
        <v>18035</v>
      </c>
      <c r="B410" t="s">
        <v>23</v>
      </c>
      <c r="C410">
        <v>0</v>
      </c>
      <c r="D410">
        <v>355.987562499707</v>
      </c>
      <c r="E410">
        <v>5.4325321349918703</v>
      </c>
      <c r="F410">
        <v>465</v>
      </c>
    </row>
    <row r="411" spans="1:6" x14ac:dyDescent="0.25">
      <c r="A411">
        <v>18035</v>
      </c>
      <c r="B411" t="s">
        <v>23</v>
      </c>
      <c r="C411">
        <v>1</v>
      </c>
      <c r="D411">
        <v>360.53208457417202</v>
      </c>
      <c r="E411">
        <v>8.5666852897948793</v>
      </c>
      <c r="F411">
        <v>465</v>
      </c>
    </row>
    <row r="412" spans="1:6" x14ac:dyDescent="0.25">
      <c r="A412">
        <v>18035</v>
      </c>
      <c r="B412" t="s">
        <v>23</v>
      </c>
      <c r="C412">
        <v>2</v>
      </c>
      <c r="D412">
        <v>360.42761280234498</v>
      </c>
      <c r="E412">
        <v>9.9770542094562291</v>
      </c>
      <c r="F412">
        <v>465</v>
      </c>
    </row>
    <row r="413" spans="1:6" x14ac:dyDescent="0.25">
      <c r="A413">
        <v>18035</v>
      </c>
      <c r="B413" t="s">
        <v>23</v>
      </c>
      <c r="C413">
        <v>3</v>
      </c>
      <c r="D413">
        <v>359.17395154042401</v>
      </c>
      <c r="E413">
        <v>9.6636388939759303</v>
      </c>
      <c r="F413">
        <v>465</v>
      </c>
    </row>
    <row r="414" spans="1:6" x14ac:dyDescent="0.25">
      <c r="A414">
        <v>18035</v>
      </c>
      <c r="B414" t="s">
        <v>23</v>
      </c>
      <c r="C414">
        <v>4</v>
      </c>
      <c r="D414">
        <v>352.22657871394398</v>
      </c>
      <c r="E414">
        <v>9.6114030080625508</v>
      </c>
      <c r="F414">
        <v>465</v>
      </c>
    </row>
    <row r="415" spans="1:6" x14ac:dyDescent="0.25">
      <c r="A415">
        <v>18035</v>
      </c>
      <c r="B415" t="s">
        <v>23</v>
      </c>
      <c r="C415">
        <v>5</v>
      </c>
      <c r="D415">
        <v>335.35438756392102</v>
      </c>
      <c r="E415">
        <v>11.021771927723901</v>
      </c>
      <c r="F415">
        <v>465</v>
      </c>
    </row>
    <row r="416" spans="1:6" x14ac:dyDescent="0.25">
      <c r="A416">
        <v>18035</v>
      </c>
      <c r="B416" t="s">
        <v>23</v>
      </c>
      <c r="C416">
        <v>6</v>
      </c>
      <c r="D416">
        <v>315.55698680274901</v>
      </c>
      <c r="E416">
        <v>11.857546102338</v>
      </c>
      <c r="F416">
        <v>465</v>
      </c>
    </row>
    <row r="417" spans="1:6" x14ac:dyDescent="0.25">
      <c r="A417">
        <v>18035</v>
      </c>
      <c r="B417" t="s">
        <v>23</v>
      </c>
      <c r="C417">
        <v>7</v>
      </c>
      <c r="D417">
        <v>270.05953017219201</v>
      </c>
      <c r="E417">
        <v>13.0589714783458</v>
      </c>
      <c r="F417">
        <v>465</v>
      </c>
    </row>
    <row r="418" spans="1:6" x14ac:dyDescent="0.25">
      <c r="A418">
        <v>18035</v>
      </c>
      <c r="B418" t="s">
        <v>23</v>
      </c>
      <c r="C418">
        <v>8</v>
      </c>
      <c r="D418">
        <v>216.25656768140701</v>
      </c>
      <c r="E418">
        <v>11.387423129117501</v>
      </c>
      <c r="F418">
        <v>465</v>
      </c>
    </row>
    <row r="419" spans="1:6" x14ac:dyDescent="0.25">
      <c r="A419">
        <v>18035</v>
      </c>
      <c r="B419" t="s">
        <v>23</v>
      </c>
      <c r="C419">
        <v>9</v>
      </c>
      <c r="D419">
        <v>176.505058501322</v>
      </c>
      <c r="E419">
        <v>7.3652599137870602</v>
      </c>
      <c r="F419">
        <v>465</v>
      </c>
    </row>
    <row r="420" spans="1:6" x14ac:dyDescent="0.25">
      <c r="A420">
        <v>18035</v>
      </c>
      <c r="B420" t="s">
        <v>23</v>
      </c>
      <c r="C420">
        <v>10</v>
      </c>
      <c r="D420">
        <v>156.55095008241</v>
      </c>
      <c r="E420">
        <v>7.9920905447476596</v>
      </c>
      <c r="F420">
        <v>465</v>
      </c>
    </row>
    <row r="421" spans="1:6" x14ac:dyDescent="0.25">
      <c r="A421">
        <v>18035</v>
      </c>
      <c r="B421" t="s">
        <v>23</v>
      </c>
      <c r="C421">
        <v>11</v>
      </c>
      <c r="D421">
        <v>156.916601283803</v>
      </c>
      <c r="E421">
        <v>7.4697316856138203</v>
      </c>
      <c r="F421">
        <v>465</v>
      </c>
    </row>
    <row r="422" spans="1:6" x14ac:dyDescent="0.25">
      <c r="A422">
        <v>18035</v>
      </c>
      <c r="B422" t="s">
        <v>23</v>
      </c>
      <c r="C422">
        <v>12</v>
      </c>
      <c r="D422">
        <v>166.16235309047201</v>
      </c>
      <c r="E422">
        <v>6.1115986518658598</v>
      </c>
      <c r="F422">
        <v>465</v>
      </c>
    </row>
    <row r="423" spans="1:6" x14ac:dyDescent="0.25">
      <c r="A423">
        <v>18035</v>
      </c>
      <c r="B423" t="s">
        <v>23</v>
      </c>
      <c r="C423">
        <v>13</v>
      </c>
      <c r="D423">
        <v>165.378814801771</v>
      </c>
      <c r="E423">
        <v>4.1266349871572903</v>
      </c>
      <c r="F423">
        <v>465</v>
      </c>
    </row>
    <row r="424" spans="1:6" x14ac:dyDescent="0.25">
      <c r="A424">
        <v>18035</v>
      </c>
      <c r="B424" t="s">
        <v>23</v>
      </c>
      <c r="C424">
        <v>14</v>
      </c>
      <c r="D424">
        <v>165.117635372205</v>
      </c>
      <c r="E424">
        <v>2.7162660674959298</v>
      </c>
      <c r="F424">
        <v>465</v>
      </c>
    </row>
    <row r="425" spans="1:6" x14ac:dyDescent="0.25">
      <c r="A425">
        <v>18035</v>
      </c>
      <c r="B425" t="s">
        <v>23</v>
      </c>
      <c r="C425">
        <v>15</v>
      </c>
      <c r="D425">
        <v>170.968054594503</v>
      </c>
      <c r="E425">
        <v>0.78353828870075104</v>
      </c>
      <c r="F425">
        <v>465</v>
      </c>
    </row>
    <row r="426" spans="1:6" x14ac:dyDescent="0.25">
      <c r="A426">
        <v>18035</v>
      </c>
      <c r="B426" t="s">
        <v>23</v>
      </c>
      <c r="C426">
        <v>16</v>
      </c>
      <c r="D426">
        <v>185.22845144885699</v>
      </c>
      <c r="E426">
        <v>0.88801006052751796</v>
      </c>
      <c r="F426">
        <v>465</v>
      </c>
    </row>
    <row r="427" spans="1:6" x14ac:dyDescent="0.25">
      <c r="A427">
        <v>18035</v>
      </c>
      <c r="B427" t="s">
        <v>23</v>
      </c>
      <c r="C427">
        <v>17</v>
      </c>
      <c r="D427">
        <v>205.23479575368299</v>
      </c>
      <c r="E427">
        <v>0.78353828870075104</v>
      </c>
      <c r="F427">
        <v>465</v>
      </c>
    </row>
    <row r="428" spans="1:6" x14ac:dyDescent="0.25">
      <c r="A428">
        <v>18035</v>
      </c>
      <c r="B428" t="s">
        <v>23</v>
      </c>
      <c r="C428">
        <v>18</v>
      </c>
      <c r="D428">
        <v>233.70335357647701</v>
      </c>
      <c r="E428">
        <v>0.62683063096060099</v>
      </c>
      <c r="F428">
        <v>465</v>
      </c>
    </row>
    <row r="429" spans="1:6" x14ac:dyDescent="0.25">
      <c r="A429">
        <v>18035</v>
      </c>
      <c r="B429" t="s">
        <v>23</v>
      </c>
      <c r="C429">
        <v>19</v>
      </c>
      <c r="D429">
        <v>264.05240329215297</v>
      </c>
      <c r="E429">
        <v>0.62683063096060099</v>
      </c>
      <c r="F429">
        <v>465</v>
      </c>
    </row>
    <row r="430" spans="1:6" x14ac:dyDescent="0.25">
      <c r="A430">
        <v>18035</v>
      </c>
      <c r="B430" t="s">
        <v>23</v>
      </c>
      <c r="C430">
        <v>20</v>
      </c>
      <c r="D430">
        <v>301.401061720222</v>
      </c>
      <c r="E430">
        <v>0.992481832354285</v>
      </c>
      <c r="F430">
        <v>465</v>
      </c>
    </row>
    <row r="431" spans="1:6" x14ac:dyDescent="0.25">
      <c r="A431">
        <v>18035</v>
      </c>
      <c r="B431" t="s">
        <v>23</v>
      </c>
      <c r="C431">
        <v>21</v>
      </c>
      <c r="D431">
        <v>327.41453290508701</v>
      </c>
      <c r="E431">
        <v>1.30589714783458</v>
      </c>
      <c r="F431">
        <v>465</v>
      </c>
    </row>
    <row r="432" spans="1:6" x14ac:dyDescent="0.25">
      <c r="A432">
        <v>18035</v>
      </c>
      <c r="B432" t="s">
        <v>23</v>
      </c>
      <c r="C432">
        <v>22</v>
      </c>
      <c r="D432">
        <v>336.50357705401598</v>
      </c>
      <c r="E432">
        <v>2.1416713224487198</v>
      </c>
      <c r="F432">
        <v>465</v>
      </c>
    </row>
    <row r="433" spans="1:6" x14ac:dyDescent="0.25">
      <c r="A433">
        <v>18035</v>
      </c>
      <c r="B433" t="s">
        <v>23</v>
      </c>
      <c r="C433">
        <v>23</v>
      </c>
      <c r="D433">
        <v>349.823727961928</v>
      </c>
      <c r="E433">
        <v>3.6042761280234501</v>
      </c>
      <c r="F433">
        <v>465</v>
      </c>
    </row>
    <row r="434" spans="1:6" x14ac:dyDescent="0.25">
      <c r="A434">
        <v>18037</v>
      </c>
      <c r="B434" t="s">
        <v>24</v>
      </c>
      <c r="C434">
        <v>0</v>
      </c>
      <c r="D434">
        <v>32.1761829680867</v>
      </c>
      <c r="E434">
        <v>6.2972154334325197</v>
      </c>
      <c r="F434">
        <v>35</v>
      </c>
    </row>
    <row r="435" spans="1:6" x14ac:dyDescent="0.25">
      <c r="A435">
        <v>18037</v>
      </c>
      <c r="B435" t="s">
        <v>24</v>
      </c>
      <c r="C435">
        <v>1</v>
      </c>
      <c r="D435">
        <v>32.693762318779797</v>
      </c>
      <c r="E435">
        <v>6.6422683338945703</v>
      </c>
      <c r="F435">
        <v>35</v>
      </c>
    </row>
    <row r="436" spans="1:6" x14ac:dyDescent="0.25">
      <c r="A436">
        <v>18037</v>
      </c>
      <c r="B436" t="s">
        <v>24</v>
      </c>
      <c r="C436">
        <v>2</v>
      </c>
      <c r="D436">
        <v>32.348709418317704</v>
      </c>
      <c r="E436">
        <v>6.72853155901009</v>
      </c>
      <c r="F436">
        <v>35</v>
      </c>
    </row>
    <row r="437" spans="1:6" x14ac:dyDescent="0.25">
      <c r="A437">
        <v>18037</v>
      </c>
      <c r="B437" t="s">
        <v>24</v>
      </c>
      <c r="C437">
        <v>3</v>
      </c>
      <c r="D437">
        <v>32.1761829680867</v>
      </c>
      <c r="E437">
        <v>6.8147947841256</v>
      </c>
      <c r="F437">
        <v>35</v>
      </c>
    </row>
    <row r="438" spans="1:6" x14ac:dyDescent="0.25">
      <c r="A438">
        <v>18037</v>
      </c>
      <c r="B438" t="s">
        <v>24</v>
      </c>
      <c r="C438">
        <v>4</v>
      </c>
      <c r="D438">
        <v>31.744866842509101</v>
      </c>
      <c r="E438">
        <v>7.3323741348186804</v>
      </c>
      <c r="F438">
        <v>35</v>
      </c>
    </row>
    <row r="439" spans="1:6" x14ac:dyDescent="0.25">
      <c r="A439">
        <v>18037</v>
      </c>
      <c r="B439" t="s">
        <v>24</v>
      </c>
      <c r="C439">
        <v>5</v>
      </c>
      <c r="D439">
        <v>31.486077167162598</v>
      </c>
      <c r="E439">
        <v>7.3323741348186804</v>
      </c>
      <c r="F439">
        <v>35</v>
      </c>
    </row>
    <row r="440" spans="1:6" x14ac:dyDescent="0.25">
      <c r="A440">
        <v>18037</v>
      </c>
      <c r="B440" t="s">
        <v>24</v>
      </c>
      <c r="C440">
        <v>6</v>
      </c>
      <c r="D440">
        <v>30.968497816469501</v>
      </c>
      <c r="E440">
        <v>11.4730089403633</v>
      </c>
      <c r="F440">
        <v>35</v>
      </c>
    </row>
    <row r="441" spans="1:6" x14ac:dyDescent="0.25">
      <c r="A441">
        <v>18037</v>
      </c>
      <c r="B441" t="s">
        <v>24</v>
      </c>
      <c r="C441">
        <v>7</v>
      </c>
      <c r="D441">
        <v>32.434972643433198</v>
      </c>
      <c r="E441">
        <v>17.338908248218299</v>
      </c>
      <c r="F441">
        <v>35</v>
      </c>
    </row>
    <row r="442" spans="1:6" x14ac:dyDescent="0.25">
      <c r="A442">
        <v>18037</v>
      </c>
      <c r="B442" t="s">
        <v>24</v>
      </c>
      <c r="C442">
        <v>8</v>
      </c>
      <c r="D442">
        <v>31.313550716931498</v>
      </c>
      <c r="E442">
        <v>19.236699200759599</v>
      </c>
      <c r="F442">
        <v>35</v>
      </c>
    </row>
    <row r="443" spans="1:6" x14ac:dyDescent="0.25">
      <c r="A443">
        <v>18037</v>
      </c>
      <c r="B443" t="s">
        <v>24</v>
      </c>
      <c r="C443">
        <v>9</v>
      </c>
      <c r="D443">
        <v>30.968497816469501</v>
      </c>
      <c r="E443">
        <v>17.856487598911301</v>
      </c>
      <c r="F443">
        <v>35</v>
      </c>
    </row>
    <row r="444" spans="1:6" x14ac:dyDescent="0.25">
      <c r="A444">
        <v>18037</v>
      </c>
      <c r="B444" t="s">
        <v>24</v>
      </c>
      <c r="C444">
        <v>10</v>
      </c>
      <c r="D444">
        <v>31.5723403922781</v>
      </c>
      <c r="E444">
        <v>18.805383075182</v>
      </c>
      <c r="F444">
        <v>35</v>
      </c>
    </row>
    <row r="445" spans="1:6" x14ac:dyDescent="0.25">
      <c r="A445">
        <v>18037</v>
      </c>
      <c r="B445" t="s">
        <v>24</v>
      </c>
      <c r="C445">
        <v>11</v>
      </c>
      <c r="D445">
        <v>31.227287491816</v>
      </c>
      <c r="E445">
        <v>20.616910802607801</v>
      </c>
      <c r="F445">
        <v>35</v>
      </c>
    </row>
    <row r="446" spans="1:6" x14ac:dyDescent="0.25">
      <c r="A446">
        <v>18037</v>
      </c>
      <c r="B446" t="s">
        <v>24</v>
      </c>
      <c r="C446">
        <v>12</v>
      </c>
      <c r="D446">
        <v>26.655336560693801</v>
      </c>
      <c r="E446">
        <v>20.961963703069902</v>
      </c>
      <c r="F446">
        <v>35</v>
      </c>
    </row>
    <row r="447" spans="1:6" x14ac:dyDescent="0.25">
      <c r="A447">
        <v>18037</v>
      </c>
      <c r="B447" t="s">
        <v>24</v>
      </c>
      <c r="C447">
        <v>13</v>
      </c>
      <c r="D447">
        <v>25.533914634192101</v>
      </c>
      <c r="E447">
        <v>16.9075921226407</v>
      </c>
      <c r="F447">
        <v>35</v>
      </c>
    </row>
    <row r="448" spans="1:6" x14ac:dyDescent="0.25">
      <c r="A448">
        <v>18037</v>
      </c>
      <c r="B448" t="s">
        <v>24</v>
      </c>
      <c r="C448">
        <v>14</v>
      </c>
      <c r="D448">
        <v>25.102598508614498</v>
      </c>
      <c r="E448">
        <v>10.955429589670199</v>
      </c>
      <c r="F448">
        <v>35</v>
      </c>
    </row>
    <row r="449" spans="1:6" x14ac:dyDescent="0.25">
      <c r="A449">
        <v>18037</v>
      </c>
      <c r="B449" t="s">
        <v>24</v>
      </c>
      <c r="C449">
        <v>15</v>
      </c>
      <c r="D449">
        <v>23.8949133569973</v>
      </c>
      <c r="E449">
        <v>6.2972154334325197</v>
      </c>
      <c r="F449">
        <v>35</v>
      </c>
    </row>
    <row r="450" spans="1:6" x14ac:dyDescent="0.25">
      <c r="A450">
        <v>18037</v>
      </c>
      <c r="B450" t="s">
        <v>24</v>
      </c>
      <c r="C450">
        <v>16</v>
      </c>
      <c r="D450">
        <v>22.083385629571499</v>
      </c>
      <c r="E450">
        <v>2.3291070781188701</v>
      </c>
      <c r="F450">
        <v>35</v>
      </c>
    </row>
    <row r="451" spans="1:6" x14ac:dyDescent="0.25">
      <c r="A451">
        <v>18037</v>
      </c>
      <c r="B451" t="s">
        <v>24</v>
      </c>
      <c r="C451">
        <v>17</v>
      </c>
      <c r="D451">
        <v>24.0674398072284</v>
      </c>
      <c r="E451">
        <v>2.8466864288119602</v>
      </c>
      <c r="F451">
        <v>35</v>
      </c>
    </row>
    <row r="452" spans="1:6" x14ac:dyDescent="0.25">
      <c r="A452">
        <v>18037</v>
      </c>
      <c r="B452" t="s">
        <v>24</v>
      </c>
      <c r="C452">
        <v>18</v>
      </c>
      <c r="D452">
        <v>24.757545608152501</v>
      </c>
      <c r="E452">
        <v>2.4153703032343898</v>
      </c>
      <c r="F452">
        <v>35</v>
      </c>
    </row>
    <row r="453" spans="1:6" x14ac:dyDescent="0.25">
      <c r="A453">
        <v>18037</v>
      </c>
      <c r="B453" t="s">
        <v>24</v>
      </c>
      <c r="C453">
        <v>19</v>
      </c>
      <c r="D453">
        <v>26.827863010924801</v>
      </c>
      <c r="E453">
        <v>2.5016335283498998</v>
      </c>
      <c r="F453">
        <v>35</v>
      </c>
    </row>
    <row r="454" spans="1:6" x14ac:dyDescent="0.25">
      <c r="A454">
        <v>18037</v>
      </c>
      <c r="B454" t="s">
        <v>24</v>
      </c>
      <c r="C454">
        <v>20</v>
      </c>
      <c r="D454">
        <v>29.415759764390199</v>
      </c>
      <c r="E454">
        <v>3.2780025543895301</v>
      </c>
      <c r="F454">
        <v>35</v>
      </c>
    </row>
    <row r="455" spans="1:6" x14ac:dyDescent="0.25">
      <c r="A455">
        <v>18037</v>
      </c>
      <c r="B455" t="s">
        <v>24</v>
      </c>
      <c r="C455">
        <v>21</v>
      </c>
      <c r="D455">
        <v>29.502022989505701</v>
      </c>
      <c r="E455">
        <v>3.8818451301981201</v>
      </c>
      <c r="F455">
        <v>35</v>
      </c>
    </row>
    <row r="456" spans="1:6" x14ac:dyDescent="0.25">
      <c r="A456">
        <v>18037</v>
      </c>
      <c r="B456" t="s">
        <v>24</v>
      </c>
      <c r="C456">
        <v>22</v>
      </c>
      <c r="D456">
        <v>30.364655240660898</v>
      </c>
      <c r="E456">
        <v>3.9681083553136398</v>
      </c>
      <c r="F456">
        <v>35</v>
      </c>
    </row>
    <row r="457" spans="1:6" x14ac:dyDescent="0.25">
      <c r="A457">
        <v>18037</v>
      </c>
      <c r="B457" t="s">
        <v>24</v>
      </c>
      <c r="C457">
        <v>23</v>
      </c>
      <c r="D457">
        <v>31.486077167162598</v>
      </c>
      <c r="E457">
        <v>4.5719509311222399</v>
      </c>
      <c r="F457">
        <v>35</v>
      </c>
    </row>
    <row r="458" spans="1:6" x14ac:dyDescent="0.25">
      <c r="A458">
        <v>18039</v>
      </c>
      <c r="B458" t="s">
        <v>25</v>
      </c>
      <c r="C458">
        <v>0</v>
      </c>
      <c r="D458">
        <v>469.44282669004298</v>
      </c>
      <c r="E458">
        <v>36.466646902530698</v>
      </c>
      <c r="F458">
        <v>674</v>
      </c>
    </row>
    <row r="459" spans="1:6" x14ac:dyDescent="0.25">
      <c r="A459">
        <v>18039</v>
      </c>
      <c r="B459" t="s">
        <v>25</v>
      </c>
      <c r="C459">
        <v>1</v>
      </c>
      <c r="D459">
        <v>490.84554174326701</v>
      </c>
      <c r="E459">
        <v>38.778438423959102</v>
      </c>
      <c r="F459">
        <v>674</v>
      </c>
    </row>
    <row r="460" spans="1:6" x14ac:dyDescent="0.25">
      <c r="A460">
        <v>18039</v>
      </c>
      <c r="B460" t="s">
        <v>25</v>
      </c>
      <c r="C460">
        <v>2</v>
      </c>
      <c r="D460">
        <v>504.34342127160602</v>
      </c>
      <c r="E460">
        <v>42.1342648260324</v>
      </c>
      <c r="F460">
        <v>674</v>
      </c>
    </row>
    <row r="461" spans="1:6" x14ac:dyDescent="0.25">
      <c r="A461">
        <v>18039</v>
      </c>
      <c r="B461" t="s">
        <v>25</v>
      </c>
      <c r="C461">
        <v>3</v>
      </c>
      <c r="D461">
        <v>509.41444783473901</v>
      </c>
      <c r="E461">
        <v>45.415517308059798</v>
      </c>
      <c r="F461">
        <v>674</v>
      </c>
    </row>
    <row r="462" spans="1:6" x14ac:dyDescent="0.25">
      <c r="A462">
        <v>18039</v>
      </c>
      <c r="B462" t="s">
        <v>25</v>
      </c>
      <c r="C462">
        <v>4</v>
      </c>
      <c r="D462">
        <v>515.60408319856299</v>
      </c>
      <c r="E462">
        <v>49.218787230409603</v>
      </c>
      <c r="F462">
        <v>674</v>
      </c>
    </row>
    <row r="463" spans="1:6" x14ac:dyDescent="0.25">
      <c r="A463">
        <v>18039</v>
      </c>
      <c r="B463" t="s">
        <v>25</v>
      </c>
      <c r="C463">
        <v>5</v>
      </c>
      <c r="D463">
        <v>517.54300511976101</v>
      </c>
      <c r="E463">
        <v>45.639239068198002</v>
      </c>
      <c r="F463">
        <v>674</v>
      </c>
    </row>
    <row r="464" spans="1:6" x14ac:dyDescent="0.25">
      <c r="A464">
        <v>18039</v>
      </c>
      <c r="B464" t="s">
        <v>25</v>
      </c>
      <c r="C464">
        <v>6</v>
      </c>
      <c r="D464">
        <v>492.11329838404998</v>
      </c>
      <c r="E464">
        <v>40.866508185249202</v>
      </c>
      <c r="F464">
        <v>674</v>
      </c>
    </row>
    <row r="465" spans="1:6" x14ac:dyDescent="0.25">
      <c r="A465">
        <v>18039</v>
      </c>
      <c r="B465" t="s">
        <v>25</v>
      </c>
      <c r="C465">
        <v>7</v>
      </c>
      <c r="D465">
        <v>428.80004026493202</v>
      </c>
      <c r="E465">
        <v>40.120768984788398</v>
      </c>
      <c r="F465">
        <v>674</v>
      </c>
    </row>
    <row r="466" spans="1:6" x14ac:dyDescent="0.25">
      <c r="A466">
        <v>18039</v>
      </c>
      <c r="B466" t="s">
        <v>25</v>
      </c>
      <c r="C466">
        <v>8</v>
      </c>
      <c r="D466">
        <v>343.11460613199199</v>
      </c>
      <c r="E466">
        <v>37.8835513834062</v>
      </c>
      <c r="F466">
        <v>674</v>
      </c>
    </row>
    <row r="467" spans="1:6" x14ac:dyDescent="0.25">
      <c r="A467">
        <v>18039</v>
      </c>
      <c r="B467" t="s">
        <v>25</v>
      </c>
      <c r="C467">
        <v>9</v>
      </c>
      <c r="D467">
        <v>270.55418192716002</v>
      </c>
      <c r="E467">
        <v>40.717360345156997</v>
      </c>
      <c r="F467">
        <v>674</v>
      </c>
    </row>
    <row r="468" spans="1:6" x14ac:dyDescent="0.25">
      <c r="A468">
        <v>18039</v>
      </c>
      <c r="B468" t="s">
        <v>25</v>
      </c>
      <c r="C468">
        <v>10</v>
      </c>
      <c r="D468">
        <v>216.71181165389399</v>
      </c>
      <c r="E468">
        <v>40.866508185249202</v>
      </c>
      <c r="F468">
        <v>674</v>
      </c>
    </row>
    <row r="469" spans="1:6" x14ac:dyDescent="0.25">
      <c r="A469">
        <v>18039</v>
      </c>
      <c r="B469" t="s">
        <v>25</v>
      </c>
      <c r="C469">
        <v>11</v>
      </c>
      <c r="D469">
        <v>192.40071371887399</v>
      </c>
      <c r="E469">
        <v>43.402021466815697</v>
      </c>
      <c r="F469">
        <v>674</v>
      </c>
    </row>
    <row r="470" spans="1:6" x14ac:dyDescent="0.25">
      <c r="A470">
        <v>18039</v>
      </c>
      <c r="B470" t="s">
        <v>25</v>
      </c>
      <c r="C470">
        <v>12</v>
      </c>
      <c r="D470">
        <v>177.33678186956601</v>
      </c>
      <c r="E470">
        <v>36.093777302300403</v>
      </c>
      <c r="F470">
        <v>674</v>
      </c>
    </row>
    <row r="471" spans="1:6" x14ac:dyDescent="0.25">
      <c r="A471">
        <v>18039</v>
      </c>
      <c r="B471" t="s">
        <v>25</v>
      </c>
      <c r="C471">
        <v>13</v>
      </c>
      <c r="D471">
        <v>171.892885706203</v>
      </c>
      <c r="E471">
        <v>26.548315536402701</v>
      </c>
      <c r="F471">
        <v>674</v>
      </c>
    </row>
    <row r="472" spans="1:6" x14ac:dyDescent="0.25">
      <c r="A472">
        <v>18039</v>
      </c>
      <c r="B472" t="s">
        <v>25</v>
      </c>
      <c r="C472">
        <v>14</v>
      </c>
      <c r="D472">
        <v>166.07611994260901</v>
      </c>
      <c r="E472">
        <v>18.568906091472702</v>
      </c>
      <c r="F472">
        <v>674</v>
      </c>
    </row>
    <row r="473" spans="1:6" x14ac:dyDescent="0.25">
      <c r="A473">
        <v>18039</v>
      </c>
      <c r="B473" t="s">
        <v>25</v>
      </c>
      <c r="C473">
        <v>15</v>
      </c>
      <c r="D473">
        <v>169.28279850459</v>
      </c>
      <c r="E473">
        <v>14.392766568892499</v>
      </c>
      <c r="F473">
        <v>674</v>
      </c>
    </row>
    <row r="474" spans="1:6" x14ac:dyDescent="0.25">
      <c r="A474">
        <v>18039</v>
      </c>
      <c r="B474" t="s">
        <v>25</v>
      </c>
      <c r="C474">
        <v>16</v>
      </c>
      <c r="D474">
        <v>183.973860753667</v>
      </c>
      <c r="E474">
        <v>19.314645291933399</v>
      </c>
      <c r="F474">
        <v>674</v>
      </c>
    </row>
    <row r="475" spans="1:6" x14ac:dyDescent="0.25">
      <c r="A475">
        <v>18039</v>
      </c>
      <c r="B475" t="s">
        <v>25</v>
      </c>
      <c r="C475">
        <v>17</v>
      </c>
      <c r="D475">
        <v>200.75299276403399</v>
      </c>
      <c r="E475">
        <v>18.121462571196201</v>
      </c>
      <c r="F475">
        <v>674</v>
      </c>
    </row>
    <row r="476" spans="1:6" x14ac:dyDescent="0.25">
      <c r="A476">
        <v>18039</v>
      </c>
      <c r="B476" t="s">
        <v>25</v>
      </c>
      <c r="C476">
        <v>18</v>
      </c>
      <c r="D476">
        <v>230.731708622556</v>
      </c>
      <c r="E476">
        <v>18.9417756917031</v>
      </c>
      <c r="F476">
        <v>674</v>
      </c>
    </row>
    <row r="477" spans="1:6" x14ac:dyDescent="0.25">
      <c r="A477">
        <v>18039</v>
      </c>
      <c r="B477" t="s">
        <v>25</v>
      </c>
      <c r="C477">
        <v>19</v>
      </c>
      <c r="D477">
        <v>270.40503408706797</v>
      </c>
      <c r="E477">
        <v>20.2841062525324</v>
      </c>
      <c r="F477">
        <v>674</v>
      </c>
    </row>
    <row r="478" spans="1:6" x14ac:dyDescent="0.25">
      <c r="A478">
        <v>18039</v>
      </c>
      <c r="B478" t="s">
        <v>25</v>
      </c>
      <c r="C478">
        <v>20</v>
      </c>
      <c r="D478">
        <v>320.59328227807703</v>
      </c>
      <c r="E478">
        <v>23.267063054375399</v>
      </c>
      <c r="F478">
        <v>674</v>
      </c>
    </row>
    <row r="479" spans="1:6" x14ac:dyDescent="0.25">
      <c r="A479">
        <v>18039</v>
      </c>
      <c r="B479" t="s">
        <v>25</v>
      </c>
      <c r="C479">
        <v>21</v>
      </c>
      <c r="D479">
        <v>365.78507782599797</v>
      </c>
      <c r="E479">
        <v>28.1889417774164</v>
      </c>
      <c r="F479">
        <v>674</v>
      </c>
    </row>
    <row r="480" spans="1:6" x14ac:dyDescent="0.25">
      <c r="A480">
        <v>18039</v>
      </c>
      <c r="B480" t="s">
        <v>25</v>
      </c>
      <c r="C480">
        <v>22</v>
      </c>
      <c r="D480">
        <v>406.94988169143198</v>
      </c>
      <c r="E480">
        <v>31.917637779720099</v>
      </c>
      <c r="F480">
        <v>674</v>
      </c>
    </row>
    <row r="481" spans="1:6" x14ac:dyDescent="0.25">
      <c r="A481">
        <v>18039</v>
      </c>
      <c r="B481" t="s">
        <v>25</v>
      </c>
      <c r="C481">
        <v>23</v>
      </c>
      <c r="D481">
        <v>445.43002443520697</v>
      </c>
      <c r="E481">
        <v>34.527724981332803</v>
      </c>
      <c r="F481">
        <v>674</v>
      </c>
    </row>
    <row r="482" spans="1:6" x14ac:dyDescent="0.25">
      <c r="A482">
        <v>18041</v>
      </c>
      <c r="B482" t="s">
        <v>26</v>
      </c>
      <c r="C482">
        <v>0</v>
      </c>
      <c r="D482">
        <v>0</v>
      </c>
      <c r="E482">
        <v>0.38505234733654897</v>
      </c>
      <c r="F482">
        <v>0</v>
      </c>
    </row>
    <row r="483" spans="1:6" x14ac:dyDescent="0.25">
      <c r="A483">
        <v>18041</v>
      </c>
      <c r="B483" t="s">
        <v>26</v>
      </c>
      <c r="C483">
        <v>1</v>
      </c>
      <c r="D483">
        <v>0</v>
      </c>
      <c r="E483">
        <v>0.38505234733654897</v>
      </c>
      <c r="F483">
        <v>0</v>
      </c>
    </row>
    <row r="484" spans="1:6" x14ac:dyDescent="0.25">
      <c r="A484">
        <v>18041</v>
      </c>
      <c r="B484" t="s">
        <v>26</v>
      </c>
      <c r="C484">
        <v>2</v>
      </c>
      <c r="D484">
        <v>0</v>
      </c>
      <c r="E484">
        <v>0.38505234733654897</v>
      </c>
      <c r="F484">
        <v>0</v>
      </c>
    </row>
    <row r="485" spans="1:6" x14ac:dyDescent="0.25">
      <c r="A485">
        <v>18041</v>
      </c>
      <c r="B485" t="s">
        <v>26</v>
      </c>
      <c r="C485">
        <v>3</v>
      </c>
      <c r="D485">
        <v>0</v>
      </c>
      <c r="E485">
        <v>0.38505234733654897</v>
      </c>
      <c r="F485">
        <v>0</v>
      </c>
    </row>
    <row r="486" spans="1:6" x14ac:dyDescent="0.25">
      <c r="A486">
        <v>18041</v>
      </c>
      <c r="B486" t="s">
        <v>26</v>
      </c>
      <c r="C486">
        <v>4</v>
      </c>
      <c r="D486">
        <v>0</v>
      </c>
      <c r="E486">
        <v>0.48131543417068701</v>
      </c>
      <c r="F486">
        <v>0</v>
      </c>
    </row>
    <row r="487" spans="1:6" x14ac:dyDescent="0.25">
      <c r="A487">
        <v>18041</v>
      </c>
      <c r="B487" t="s">
        <v>26</v>
      </c>
      <c r="C487">
        <v>5</v>
      </c>
      <c r="D487">
        <v>0</v>
      </c>
      <c r="E487">
        <v>0.43318389075361802</v>
      </c>
      <c r="F487">
        <v>0</v>
      </c>
    </row>
    <row r="488" spans="1:6" x14ac:dyDescent="0.25">
      <c r="A488">
        <v>18041</v>
      </c>
      <c r="B488" t="s">
        <v>26</v>
      </c>
      <c r="C488">
        <v>6</v>
      </c>
      <c r="D488">
        <v>0</v>
      </c>
      <c r="E488">
        <v>0.62571006442189303</v>
      </c>
      <c r="F488">
        <v>0</v>
      </c>
    </row>
    <row r="489" spans="1:6" x14ac:dyDescent="0.25">
      <c r="A489">
        <v>18041</v>
      </c>
      <c r="B489" t="s">
        <v>26</v>
      </c>
      <c r="C489">
        <v>7</v>
      </c>
      <c r="D489">
        <v>0</v>
      </c>
      <c r="E489">
        <v>1.15515704200964</v>
      </c>
      <c r="F489">
        <v>0</v>
      </c>
    </row>
    <row r="490" spans="1:6" x14ac:dyDescent="0.25">
      <c r="A490">
        <v>18041</v>
      </c>
      <c r="B490" t="s">
        <v>26</v>
      </c>
      <c r="C490">
        <v>8</v>
      </c>
      <c r="D490">
        <v>0</v>
      </c>
      <c r="E490">
        <v>1.49207784592913</v>
      </c>
      <c r="F490">
        <v>0</v>
      </c>
    </row>
    <row r="491" spans="1:6" x14ac:dyDescent="0.25">
      <c r="A491">
        <v>18041</v>
      </c>
      <c r="B491" t="s">
        <v>26</v>
      </c>
      <c r="C491">
        <v>9</v>
      </c>
      <c r="D491">
        <v>0</v>
      </c>
      <c r="E491">
        <v>2.74349797477291</v>
      </c>
      <c r="F491">
        <v>0</v>
      </c>
    </row>
    <row r="492" spans="1:6" x14ac:dyDescent="0.25">
      <c r="A492">
        <v>18041</v>
      </c>
      <c r="B492" t="s">
        <v>26</v>
      </c>
      <c r="C492">
        <v>10</v>
      </c>
      <c r="D492">
        <v>0</v>
      </c>
      <c r="E492">
        <v>2.5991033445217102</v>
      </c>
      <c r="F492">
        <v>0</v>
      </c>
    </row>
    <row r="493" spans="1:6" x14ac:dyDescent="0.25">
      <c r="A493">
        <v>18041</v>
      </c>
      <c r="B493" t="s">
        <v>26</v>
      </c>
      <c r="C493">
        <v>11</v>
      </c>
      <c r="D493">
        <v>0</v>
      </c>
      <c r="E493">
        <v>2.2621825406022298</v>
      </c>
      <c r="F493">
        <v>0</v>
      </c>
    </row>
    <row r="494" spans="1:6" x14ac:dyDescent="0.25">
      <c r="A494">
        <v>18041</v>
      </c>
      <c r="B494" t="s">
        <v>26</v>
      </c>
      <c r="C494">
        <v>12</v>
      </c>
      <c r="D494">
        <v>0</v>
      </c>
      <c r="E494">
        <v>2.2140509971851601</v>
      </c>
      <c r="F494">
        <v>0</v>
      </c>
    </row>
    <row r="495" spans="1:6" x14ac:dyDescent="0.25">
      <c r="A495">
        <v>18041</v>
      </c>
      <c r="B495" t="s">
        <v>26</v>
      </c>
      <c r="C495">
        <v>13</v>
      </c>
      <c r="D495">
        <v>0</v>
      </c>
      <c r="E495">
        <v>0.96263086834137401</v>
      </c>
      <c r="F495">
        <v>0</v>
      </c>
    </row>
    <row r="496" spans="1:6" x14ac:dyDescent="0.25">
      <c r="A496">
        <v>18041</v>
      </c>
      <c r="B496" t="s">
        <v>26</v>
      </c>
      <c r="C496">
        <v>14</v>
      </c>
      <c r="D496">
        <v>0</v>
      </c>
      <c r="E496">
        <v>9.6263086834137396E-2</v>
      </c>
      <c r="F496">
        <v>0</v>
      </c>
    </row>
    <row r="497" spans="1:6" x14ac:dyDescent="0.25">
      <c r="A497">
        <v>18041</v>
      </c>
      <c r="B497" t="s">
        <v>26</v>
      </c>
      <c r="C497">
        <v>15</v>
      </c>
      <c r="D497">
        <v>0</v>
      </c>
      <c r="E497">
        <v>9.6263086834137396E-2</v>
      </c>
      <c r="F497">
        <v>0</v>
      </c>
    </row>
    <row r="498" spans="1:6" x14ac:dyDescent="0.25">
      <c r="A498">
        <v>18041</v>
      </c>
      <c r="B498" t="s">
        <v>26</v>
      </c>
      <c r="C498">
        <v>16</v>
      </c>
      <c r="D498">
        <v>0</v>
      </c>
      <c r="E498">
        <v>0</v>
      </c>
      <c r="F498">
        <v>0</v>
      </c>
    </row>
    <row r="499" spans="1:6" x14ac:dyDescent="0.25">
      <c r="A499">
        <v>18041</v>
      </c>
      <c r="B499" t="s">
        <v>26</v>
      </c>
      <c r="C499">
        <v>17</v>
      </c>
      <c r="D499">
        <v>0</v>
      </c>
      <c r="E499">
        <v>0</v>
      </c>
      <c r="F499">
        <v>0</v>
      </c>
    </row>
    <row r="500" spans="1:6" x14ac:dyDescent="0.25">
      <c r="A500">
        <v>18041</v>
      </c>
      <c r="B500" t="s">
        <v>26</v>
      </c>
      <c r="C500">
        <v>18</v>
      </c>
      <c r="D500">
        <v>0</v>
      </c>
      <c r="E500">
        <v>0</v>
      </c>
      <c r="F500">
        <v>0</v>
      </c>
    </row>
    <row r="501" spans="1:6" x14ac:dyDescent="0.25">
      <c r="A501">
        <v>18041</v>
      </c>
      <c r="B501" t="s">
        <v>26</v>
      </c>
      <c r="C501">
        <v>19</v>
      </c>
      <c r="D501">
        <v>0</v>
      </c>
      <c r="E501">
        <v>0</v>
      </c>
      <c r="F501">
        <v>0</v>
      </c>
    </row>
    <row r="502" spans="1:6" x14ac:dyDescent="0.25">
      <c r="A502">
        <v>18041</v>
      </c>
      <c r="B502" t="s">
        <v>26</v>
      </c>
      <c r="C502">
        <v>20</v>
      </c>
      <c r="D502">
        <v>0</v>
      </c>
      <c r="E502">
        <v>0</v>
      </c>
      <c r="F502">
        <v>0</v>
      </c>
    </row>
    <row r="503" spans="1:6" x14ac:dyDescent="0.25">
      <c r="A503">
        <v>18041</v>
      </c>
      <c r="B503" t="s">
        <v>26</v>
      </c>
      <c r="C503">
        <v>21</v>
      </c>
      <c r="D503">
        <v>0</v>
      </c>
      <c r="E503">
        <v>0.19252617366827399</v>
      </c>
      <c r="F503">
        <v>0</v>
      </c>
    </row>
    <row r="504" spans="1:6" x14ac:dyDescent="0.25">
      <c r="A504">
        <v>18041</v>
      </c>
      <c r="B504" t="s">
        <v>26</v>
      </c>
      <c r="C504">
        <v>22</v>
      </c>
      <c r="D504">
        <v>0</v>
      </c>
      <c r="E504">
        <v>0.38505234733654897</v>
      </c>
      <c r="F504">
        <v>0</v>
      </c>
    </row>
    <row r="505" spans="1:6" x14ac:dyDescent="0.25">
      <c r="A505">
        <v>18041</v>
      </c>
      <c r="B505" t="s">
        <v>26</v>
      </c>
      <c r="C505">
        <v>23</v>
      </c>
      <c r="D505">
        <v>0</v>
      </c>
      <c r="E505">
        <v>0.38505234733654897</v>
      </c>
      <c r="F505">
        <v>0</v>
      </c>
    </row>
    <row r="506" spans="1:6" x14ac:dyDescent="0.25">
      <c r="A506">
        <v>18043</v>
      </c>
      <c r="B506" t="s">
        <v>27</v>
      </c>
      <c r="C506">
        <v>0</v>
      </c>
      <c r="D506">
        <v>7.9975299187011197</v>
      </c>
      <c r="E506">
        <v>1.99323053358397</v>
      </c>
      <c r="F506">
        <v>86</v>
      </c>
    </row>
    <row r="507" spans="1:6" x14ac:dyDescent="0.25">
      <c r="A507">
        <v>18043</v>
      </c>
      <c r="B507" t="s">
        <v>27</v>
      </c>
      <c r="C507">
        <v>1</v>
      </c>
      <c r="D507">
        <v>7.9975299187011197</v>
      </c>
      <c r="E507">
        <v>2.1162694554101402</v>
      </c>
      <c r="F507">
        <v>86</v>
      </c>
    </row>
    <row r="508" spans="1:6" x14ac:dyDescent="0.25">
      <c r="A508">
        <v>18043</v>
      </c>
      <c r="B508" t="s">
        <v>27</v>
      </c>
      <c r="C508">
        <v>2</v>
      </c>
      <c r="D508">
        <v>7.9729221343358896</v>
      </c>
      <c r="E508">
        <v>2.19009280850584</v>
      </c>
      <c r="F508">
        <v>86</v>
      </c>
    </row>
    <row r="509" spans="1:6" x14ac:dyDescent="0.25">
      <c r="A509">
        <v>18043</v>
      </c>
      <c r="B509" t="s">
        <v>27</v>
      </c>
      <c r="C509">
        <v>3</v>
      </c>
      <c r="D509">
        <v>7.7514520750487801</v>
      </c>
      <c r="E509">
        <v>1.72254490556639</v>
      </c>
      <c r="F509">
        <v>86</v>
      </c>
    </row>
    <row r="510" spans="1:6" x14ac:dyDescent="0.25">
      <c r="A510">
        <v>18043</v>
      </c>
      <c r="B510" t="s">
        <v>27</v>
      </c>
      <c r="C510">
        <v>4</v>
      </c>
      <c r="D510">
        <v>8.3666466841796296</v>
      </c>
      <c r="E510">
        <v>2.5592095739843499</v>
      </c>
      <c r="F510">
        <v>86</v>
      </c>
    </row>
    <row r="511" spans="1:6" x14ac:dyDescent="0.25">
      <c r="A511">
        <v>18043</v>
      </c>
      <c r="B511" t="s">
        <v>27</v>
      </c>
      <c r="C511">
        <v>5</v>
      </c>
      <c r="D511">
        <v>8.2928233310839303</v>
      </c>
      <c r="E511">
        <v>4.1833233420898104</v>
      </c>
      <c r="F511">
        <v>86</v>
      </c>
    </row>
    <row r="512" spans="1:6" x14ac:dyDescent="0.25">
      <c r="A512">
        <v>18043</v>
      </c>
      <c r="B512" t="s">
        <v>27</v>
      </c>
      <c r="C512">
        <v>6</v>
      </c>
      <c r="D512">
        <v>8.4158622529101006</v>
      </c>
      <c r="E512">
        <v>6.27498501313472</v>
      </c>
      <c r="F512">
        <v>86</v>
      </c>
    </row>
    <row r="513" spans="1:6" x14ac:dyDescent="0.25">
      <c r="A513">
        <v>18043</v>
      </c>
      <c r="B513" t="s">
        <v>27</v>
      </c>
      <c r="C513">
        <v>7</v>
      </c>
      <c r="D513">
        <v>7.8498832125097104</v>
      </c>
      <c r="E513">
        <v>4.1587155577245802</v>
      </c>
      <c r="F513">
        <v>86</v>
      </c>
    </row>
    <row r="514" spans="1:6" x14ac:dyDescent="0.25">
      <c r="A514">
        <v>18043</v>
      </c>
      <c r="B514" t="s">
        <v>27</v>
      </c>
      <c r="C514">
        <v>8</v>
      </c>
      <c r="D514">
        <v>6.3980239349608903</v>
      </c>
      <c r="E514">
        <v>3.5189131642284899</v>
      </c>
      <c r="F514">
        <v>86</v>
      </c>
    </row>
    <row r="515" spans="1:6" x14ac:dyDescent="0.25">
      <c r="A515">
        <v>18043</v>
      </c>
      <c r="B515" t="s">
        <v>27</v>
      </c>
      <c r="C515">
        <v>9</v>
      </c>
      <c r="D515">
        <v>5.6351826196386297</v>
      </c>
      <c r="E515">
        <v>4.03567663589841</v>
      </c>
      <c r="F515">
        <v>86</v>
      </c>
    </row>
    <row r="516" spans="1:6" x14ac:dyDescent="0.25">
      <c r="A516">
        <v>18043</v>
      </c>
      <c r="B516" t="s">
        <v>27</v>
      </c>
      <c r="C516">
        <v>10</v>
      </c>
      <c r="D516">
        <v>5.4137125603515299</v>
      </c>
      <c r="E516">
        <v>3.2974431049413799</v>
      </c>
      <c r="F516">
        <v>86</v>
      </c>
    </row>
    <row r="517" spans="1:6" x14ac:dyDescent="0.25">
      <c r="A517">
        <v>18043</v>
      </c>
      <c r="B517" t="s">
        <v>27</v>
      </c>
      <c r="C517">
        <v>11</v>
      </c>
      <c r="D517">
        <v>5.2660658541601197</v>
      </c>
      <c r="E517">
        <v>3.07597304565427</v>
      </c>
      <c r="F517">
        <v>86</v>
      </c>
    </row>
    <row r="518" spans="1:6" x14ac:dyDescent="0.25">
      <c r="A518">
        <v>18043</v>
      </c>
      <c r="B518" t="s">
        <v>27</v>
      </c>
      <c r="C518">
        <v>12</v>
      </c>
      <c r="D518">
        <v>5.85665267892574</v>
      </c>
      <c r="E518">
        <v>3.6665598704199001</v>
      </c>
      <c r="F518">
        <v>86</v>
      </c>
    </row>
    <row r="519" spans="1:6" x14ac:dyDescent="0.25">
      <c r="A519">
        <v>18043</v>
      </c>
      <c r="B519" t="s">
        <v>27</v>
      </c>
      <c r="C519">
        <v>13</v>
      </c>
      <c r="D519">
        <v>5.6105748352734004</v>
      </c>
      <c r="E519">
        <v>3.5189131642284899</v>
      </c>
      <c r="F519">
        <v>86</v>
      </c>
    </row>
    <row r="520" spans="1:6" x14ac:dyDescent="0.25">
      <c r="A520">
        <v>18043</v>
      </c>
      <c r="B520" t="s">
        <v>27</v>
      </c>
      <c r="C520">
        <v>14</v>
      </c>
      <c r="D520">
        <v>5.2906736385253597</v>
      </c>
      <c r="E520">
        <v>3.2974431049413799</v>
      </c>
      <c r="F520">
        <v>86</v>
      </c>
    </row>
    <row r="521" spans="1:6" x14ac:dyDescent="0.25">
      <c r="A521">
        <v>18043</v>
      </c>
      <c r="B521" t="s">
        <v>27</v>
      </c>
      <c r="C521">
        <v>15</v>
      </c>
      <c r="D521">
        <v>5.5613592665429303</v>
      </c>
      <c r="E521">
        <v>2.3131317303320098</v>
      </c>
      <c r="F521">
        <v>86</v>
      </c>
    </row>
    <row r="522" spans="1:6" x14ac:dyDescent="0.25">
      <c r="A522">
        <v>18043</v>
      </c>
      <c r="B522" t="s">
        <v>27</v>
      </c>
      <c r="C522">
        <v>16</v>
      </c>
      <c r="D522">
        <v>5.4629281290819902</v>
      </c>
      <c r="E522">
        <v>1.6733293368359199</v>
      </c>
      <c r="F522">
        <v>86</v>
      </c>
    </row>
    <row r="523" spans="1:6" x14ac:dyDescent="0.25">
      <c r="A523">
        <v>18043</v>
      </c>
      <c r="B523" t="s">
        <v>27</v>
      </c>
      <c r="C523">
        <v>17</v>
      </c>
      <c r="D523">
        <v>6.1027305225780797</v>
      </c>
      <c r="E523">
        <v>1.0827425120703</v>
      </c>
      <c r="F523">
        <v>86</v>
      </c>
    </row>
    <row r="524" spans="1:6" x14ac:dyDescent="0.25">
      <c r="A524">
        <v>18043</v>
      </c>
      <c r="B524" t="s">
        <v>27</v>
      </c>
      <c r="C524">
        <v>18</v>
      </c>
      <c r="D524">
        <v>6.6194939942479998</v>
      </c>
      <c r="E524">
        <v>1.1811736495312399</v>
      </c>
      <c r="F524">
        <v>86</v>
      </c>
    </row>
    <row r="525" spans="1:6" x14ac:dyDescent="0.25">
      <c r="A525">
        <v>18043</v>
      </c>
      <c r="B525" t="s">
        <v>27</v>
      </c>
      <c r="C525">
        <v>19</v>
      </c>
      <c r="D525">
        <v>6.9147874066308104</v>
      </c>
      <c r="E525">
        <v>1.2549970026269399</v>
      </c>
      <c r="F525">
        <v>86</v>
      </c>
    </row>
    <row r="526" spans="1:6" x14ac:dyDescent="0.25">
      <c r="A526">
        <v>18043</v>
      </c>
      <c r="B526" t="s">
        <v>27</v>
      </c>
      <c r="C526">
        <v>20</v>
      </c>
      <c r="D526">
        <v>7.2839041721093301</v>
      </c>
      <c r="E526">
        <v>1.42725149318358</v>
      </c>
      <c r="F526">
        <v>86</v>
      </c>
    </row>
    <row r="527" spans="1:6" x14ac:dyDescent="0.25">
      <c r="A527">
        <v>18043</v>
      </c>
      <c r="B527" t="s">
        <v>27</v>
      </c>
      <c r="C527">
        <v>21</v>
      </c>
      <c r="D527">
        <v>7.5299820157616697</v>
      </c>
      <c r="E527">
        <v>1.50107484627928</v>
      </c>
      <c r="F527">
        <v>86</v>
      </c>
    </row>
    <row r="528" spans="1:6" x14ac:dyDescent="0.25">
      <c r="A528">
        <v>18043</v>
      </c>
      <c r="B528" t="s">
        <v>27</v>
      </c>
      <c r="C528">
        <v>22</v>
      </c>
      <c r="D528">
        <v>7.7760598594140102</v>
      </c>
      <c r="E528">
        <v>1.42725149318358</v>
      </c>
      <c r="F528">
        <v>86</v>
      </c>
    </row>
    <row r="529" spans="1:6" x14ac:dyDescent="0.25">
      <c r="A529">
        <v>18043</v>
      </c>
      <c r="B529" t="s">
        <v>27</v>
      </c>
      <c r="C529">
        <v>23</v>
      </c>
      <c r="D529">
        <v>7.8990987812401796</v>
      </c>
      <c r="E529">
        <v>2.0916616710448999</v>
      </c>
      <c r="F529">
        <v>86</v>
      </c>
    </row>
    <row r="530" spans="1:6" x14ac:dyDescent="0.25">
      <c r="A530">
        <v>18045</v>
      </c>
      <c r="B530" t="s">
        <v>28</v>
      </c>
      <c r="C530">
        <v>0</v>
      </c>
      <c r="D530">
        <v>0</v>
      </c>
      <c r="E530">
        <v>2.6138275043646702</v>
      </c>
      <c r="F530">
        <v>0</v>
      </c>
    </row>
    <row r="531" spans="1:6" x14ac:dyDescent="0.25">
      <c r="A531">
        <v>18045</v>
      </c>
      <c r="B531" t="s">
        <v>28</v>
      </c>
      <c r="C531">
        <v>1</v>
      </c>
      <c r="D531">
        <v>0</v>
      </c>
      <c r="E531">
        <v>1.9947630954361999</v>
      </c>
      <c r="F531">
        <v>0</v>
      </c>
    </row>
    <row r="532" spans="1:6" x14ac:dyDescent="0.25">
      <c r="A532">
        <v>18045</v>
      </c>
      <c r="B532" t="s">
        <v>28</v>
      </c>
      <c r="C532">
        <v>2</v>
      </c>
      <c r="D532">
        <v>0</v>
      </c>
      <c r="E532">
        <v>2.4762576357139001</v>
      </c>
      <c r="F532">
        <v>0</v>
      </c>
    </row>
    <row r="533" spans="1:6" x14ac:dyDescent="0.25">
      <c r="A533">
        <v>18045</v>
      </c>
      <c r="B533" t="s">
        <v>28</v>
      </c>
      <c r="C533">
        <v>3</v>
      </c>
      <c r="D533">
        <v>0</v>
      </c>
      <c r="E533">
        <v>2.6138275043646702</v>
      </c>
      <c r="F533">
        <v>0</v>
      </c>
    </row>
    <row r="534" spans="1:6" x14ac:dyDescent="0.25">
      <c r="A534">
        <v>18045</v>
      </c>
      <c r="B534" t="s">
        <v>28</v>
      </c>
      <c r="C534">
        <v>4</v>
      </c>
      <c r="D534">
        <v>0</v>
      </c>
      <c r="E534">
        <v>3.37046178194392</v>
      </c>
      <c r="F534">
        <v>0</v>
      </c>
    </row>
    <row r="535" spans="1:6" x14ac:dyDescent="0.25">
      <c r="A535">
        <v>18045</v>
      </c>
      <c r="B535" t="s">
        <v>28</v>
      </c>
      <c r="C535">
        <v>5</v>
      </c>
      <c r="D535">
        <v>0</v>
      </c>
      <c r="E535">
        <v>4.5398056654754901</v>
      </c>
      <c r="F535">
        <v>0</v>
      </c>
    </row>
    <row r="536" spans="1:6" x14ac:dyDescent="0.25">
      <c r="A536">
        <v>18045</v>
      </c>
      <c r="B536" t="s">
        <v>28</v>
      </c>
      <c r="C536">
        <v>6</v>
      </c>
      <c r="D536">
        <v>0</v>
      </c>
      <c r="E536">
        <v>5.6403646146816699</v>
      </c>
      <c r="F536">
        <v>0</v>
      </c>
    </row>
    <row r="537" spans="1:6" x14ac:dyDescent="0.25">
      <c r="A537">
        <v>18045</v>
      </c>
      <c r="B537" t="s">
        <v>28</v>
      </c>
      <c r="C537">
        <v>7</v>
      </c>
      <c r="D537">
        <v>0</v>
      </c>
      <c r="E537">
        <v>7.4975578414671</v>
      </c>
      <c r="F537">
        <v>0</v>
      </c>
    </row>
    <row r="538" spans="1:6" x14ac:dyDescent="0.25">
      <c r="A538">
        <v>18045</v>
      </c>
      <c r="B538" t="s">
        <v>28</v>
      </c>
      <c r="C538">
        <v>8</v>
      </c>
      <c r="D538">
        <v>0</v>
      </c>
      <c r="E538">
        <v>7.0848482355147802</v>
      </c>
      <c r="F538">
        <v>0</v>
      </c>
    </row>
    <row r="539" spans="1:6" x14ac:dyDescent="0.25">
      <c r="A539">
        <v>18045</v>
      </c>
      <c r="B539" t="s">
        <v>28</v>
      </c>
      <c r="C539">
        <v>9</v>
      </c>
      <c r="D539">
        <v>0</v>
      </c>
      <c r="E539">
        <v>8.7356866593240508</v>
      </c>
      <c r="F539">
        <v>0</v>
      </c>
    </row>
    <row r="540" spans="1:6" x14ac:dyDescent="0.25">
      <c r="A540">
        <v>18045</v>
      </c>
      <c r="B540" t="s">
        <v>28</v>
      </c>
      <c r="C540">
        <v>10</v>
      </c>
      <c r="D540">
        <v>0</v>
      </c>
      <c r="E540">
        <v>4.8149454027770302</v>
      </c>
      <c r="F540">
        <v>0</v>
      </c>
    </row>
    <row r="541" spans="1:6" x14ac:dyDescent="0.25">
      <c r="A541">
        <v>18045</v>
      </c>
      <c r="B541" t="s">
        <v>28</v>
      </c>
      <c r="C541">
        <v>11</v>
      </c>
      <c r="D541">
        <v>0</v>
      </c>
      <c r="E541">
        <v>5.2964399430547404</v>
      </c>
      <c r="F541">
        <v>0</v>
      </c>
    </row>
    <row r="542" spans="1:6" x14ac:dyDescent="0.25">
      <c r="A542">
        <v>18045</v>
      </c>
      <c r="B542" t="s">
        <v>28</v>
      </c>
      <c r="C542">
        <v>12</v>
      </c>
      <c r="D542">
        <v>0</v>
      </c>
      <c r="E542">
        <v>6.0530742206339898</v>
      </c>
      <c r="F542">
        <v>0</v>
      </c>
    </row>
    <row r="543" spans="1:6" x14ac:dyDescent="0.25">
      <c r="A543">
        <v>18045</v>
      </c>
      <c r="B543" t="s">
        <v>28</v>
      </c>
      <c r="C543">
        <v>13</v>
      </c>
      <c r="D543">
        <v>0</v>
      </c>
      <c r="E543">
        <v>5.2964399430547404</v>
      </c>
      <c r="F543">
        <v>0</v>
      </c>
    </row>
    <row r="544" spans="1:6" x14ac:dyDescent="0.25">
      <c r="A544">
        <v>18045</v>
      </c>
      <c r="B544" t="s">
        <v>28</v>
      </c>
      <c r="C544">
        <v>14</v>
      </c>
      <c r="D544">
        <v>0</v>
      </c>
      <c r="E544">
        <v>3.7831713878962399</v>
      </c>
      <c r="F544">
        <v>0</v>
      </c>
    </row>
    <row r="545" spans="1:6" x14ac:dyDescent="0.25">
      <c r="A545">
        <v>18045</v>
      </c>
      <c r="B545" t="s">
        <v>28</v>
      </c>
      <c r="C545">
        <v>15</v>
      </c>
      <c r="D545">
        <v>0</v>
      </c>
      <c r="E545">
        <v>1.78840829246004</v>
      </c>
      <c r="F545">
        <v>0</v>
      </c>
    </row>
    <row r="546" spans="1:6" x14ac:dyDescent="0.25">
      <c r="A546">
        <v>18045</v>
      </c>
      <c r="B546" t="s">
        <v>28</v>
      </c>
      <c r="C546">
        <v>16</v>
      </c>
      <c r="D546">
        <v>0</v>
      </c>
      <c r="E546">
        <v>1.10055894920618</v>
      </c>
      <c r="F546">
        <v>0</v>
      </c>
    </row>
    <row r="547" spans="1:6" x14ac:dyDescent="0.25">
      <c r="A547">
        <v>18045</v>
      </c>
      <c r="B547" t="s">
        <v>28</v>
      </c>
      <c r="C547">
        <v>17</v>
      </c>
      <c r="D547">
        <v>0</v>
      </c>
      <c r="E547">
        <v>0.41270960595231698</v>
      </c>
      <c r="F547">
        <v>0</v>
      </c>
    </row>
    <row r="548" spans="1:6" x14ac:dyDescent="0.25">
      <c r="A548">
        <v>18045</v>
      </c>
      <c r="B548" t="s">
        <v>28</v>
      </c>
      <c r="C548">
        <v>18</v>
      </c>
      <c r="D548">
        <v>0</v>
      </c>
      <c r="E548">
        <v>0.137569868650772</v>
      </c>
      <c r="F548">
        <v>0</v>
      </c>
    </row>
    <row r="549" spans="1:6" x14ac:dyDescent="0.25">
      <c r="A549">
        <v>18045</v>
      </c>
      <c r="B549" t="s">
        <v>28</v>
      </c>
      <c r="C549">
        <v>19</v>
      </c>
      <c r="D549">
        <v>0</v>
      </c>
      <c r="E549">
        <v>0.68784934325386204</v>
      </c>
      <c r="F549">
        <v>0</v>
      </c>
    </row>
    <row r="550" spans="1:6" x14ac:dyDescent="0.25">
      <c r="A550">
        <v>18045</v>
      </c>
      <c r="B550" t="s">
        <v>28</v>
      </c>
      <c r="C550">
        <v>20</v>
      </c>
      <c r="D550">
        <v>0</v>
      </c>
      <c r="E550">
        <v>0.89420414623002098</v>
      </c>
      <c r="F550">
        <v>0</v>
      </c>
    </row>
    <row r="551" spans="1:6" x14ac:dyDescent="0.25">
      <c r="A551">
        <v>18045</v>
      </c>
      <c r="B551" t="s">
        <v>28</v>
      </c>
      <c r="C551">
        <v>21</v>
      </c>
      <c r="D551">
        <v>0</v>
      </c>
      <c r="E551">
        <v>0.89420414623002098</v>
      </c>
      <c r="F551">
        <v>0</v>
      </c>
    </row>
    <row r="552" spans="1:6" x14ac:dyDescent="0.25">
      <c r="A552">
        <v>18045</v>
      </c>
      <c r="B552" t="s">
        <v>28</v>
      </c>
      <c r="C552">
        <v>22</v>
      </c>
      <c r="D552">
        <v>0</v>
      </c>
      <c r="E552">
        <v>0.962989080555407</v>
      </c>
      <c r="F552">
        <v>0</v>
      </c>
    </row>
    <row r="553" spans="1:6" x14ac:dyDescent="0.25">
      <c r="A553">
        <v>18045</v>
      </c>
      <c r="B553" t="s">
        <v>28</v>
      </c>
      <c r="C553">
        <v>23</v>
      </c>
      <c r="D553">
        <v>0</v>
      </c>
      <c r="E553">
        <v>2.6138275043646702</v>
      </c>
      <c r="F553">
        <v>0</v>
      </c>
    </row>
    <row r="554" spans="1:6" x14ac:dyDescent="0.25">
      <c r="A554">
        <v>18047</v>
      </c>
      <c r="B554" t="s">
        <v>29</v>
      </c>
      <c r="C554">
        <v>0</v>
      </c>
      <c r="D554">
        <v>0.79466732310028498</v>
      </c>
      <c r="E554">
        <v>0.132444553850047</v>
      </c>
      <c r="F554">
        <v>15</v>
      </c>
    </row>
    <row r="555" spans="1:6" x14ac:dyDescent="0.25">
      <c r="A555">
        <v>18047</v>
      </c>
      <c r="B555" t="s">
        <v>29</v>
      </c>
      <c r="C555">
        <v>1</v>
      </c>
      <c r="D555">
        <v>0.79466732310028498</v>
      </c>
      <c r="E555">
        <v>6.6222276925023804E-2</v>
      </c>
      <c r="F555">
        <v>15</v>
      </c>
    </row>
    <row r="556" spans="1:6" x14ac:dyDescent="0.25">
      <c r="A556">
        <v>18047</v>
      </c>
      <c r="B556" t="s">
        <v>29</v>
      </c>
      <c r="C556">
        <v>2</v>
      </c>
      <c r="D556">
        <v>0.79466732310028498</v>
      </c>
      <c r="E556">
        <v>0</v>
      </c>
      <c r="F556">
        <v>15</v>
      </c>
    </row>
    <row r="557" spans="1:6" x14ac:dyDescent="0.25">
      <c r="A557">
        <v>18047</v>
      </c>
      <c r="B557" t="s">
        <v>29</v>
      </c>
      <c r="C557">
        <v>3</v>
      </c>
      <c r="D557">
        <v>0.79466732310028498</v>
      </c>
      <c r="E557">
        <v>0</v>
      </c>
      <c r="F557">
        <v>15</v>
      </c>
    </row>
    <row r="558" spans="1:6" x14ac:dyDescent="0.25">
      <c r="A558">
        <v>18047</v>
      </c>
      <c r="B558" t="s">
        <v>29</v>
      </c>
      <c r="C558">
        <v>4</v>
      </c>
      <c r="D558">
        <v>0.79466732310028498</v>
      </c>
      <c r="E558">
        <v>0.198666830775071</v>
      </c>
      <c r="F558">
        <v>15</v>
      </c>
    </row>
    <row r="559" spans="1:6" x14ac:dyDescent="0.25">
      <c r="A559">
        <v>18047</v>
      </c>
      <c r="B559" t="s">
        <v>29</v>
      </c>
      <c r="C559">
        <v>5</v>
      </c>
      <c r="D559">
        <v>0.72844504617526196</v>
      </c>
      <c r="E559">
        <v>0.198666830775071</v>
      </c>
      <c r="F559">
        <v>15</v>
      </c>
    </row>
    <row r="560" spans="1:6" x14ac:dyDescent="0.25">
      <c r="A560">
        <v>18047</v>
      </c>
      <c r="B560" t="s">
        <v>29</v>
      </c>
      <c r="C560">
        <v>6</v>
      </c>
      <c r="D560">
        <v>0.72844504617526196</v>
      </c>
      <c r="E560">
        <v>0.16555569231255901</v>
      </c>
      <c r="F560">
        <v>15</v>
      </c>
    </row>
    <row r="561" spans="1:6" x14ac:dyDescent="0.25">
      <c r="A561">
        <v>18047</v>
      </c>
      <c r="B561" t="s">
        <v>29</v>
      </c>
      <c r="C561">
        <v>7</v>
      </c>
      <c r="D561">
        <v>0.86088960002530901</v>
      </c>
      <c r="E561">
        <v>0.26488910770009499</v>
      </c>
      <c r="F561">
        <v>15</v>
      </c>
    </row>
    <row r="562" spans="1:6" x14ac:dyDescent="0.25">
      <c r="A562">
        <v>18047</v>
      </c>
      <c r="B562" t="s">
        <v>29</v>
      </c>
      <c r="C562">
        <v>8</v>
      </c>
      <c r="D562">
        <v>1.2913344000379601</v>
      </c>
      <c r="E562">
        <v>0.36422252308763098</v>
      </c>
      <c r="F562">
        <v>15</v>
      </c>
    </row>
    <row r="563" spans="1:6" x14ac:dyDescent="0.25">
      <c r="A563">
        <v>18047</v>
      </c>
      <c r="B563" t="s">
        <v>29</v>
      </c>
      <c r="C563">
        <v>9</v>
      </c>
      <c r="D563">
        <v>1.09266756926289</v>
      </c>
      <c r="E563">
        <v>0.92711187695033304</v>
      </c>
      <c r="F563">
        <v>15</v>
      </c>
    </row>
    <row r="564" spans="1:6" x14ac:dyDescent="0.25">
      <c r="A564">
        <v>18047</v>
      </c>
      <c r="B564" t="s">
        <v>29</v>
      </c>
      <c r="C564">
        <v>10</v>
      </c>
      <c r="D564">
        <v>1.19200098465042</v>
      </c>
      <c r="E564">
        <v>2.2184462769882898</v>
      </c>
      <c r="F564">
        <v>15</v>
      </c>
    </row>
    <row r="565" spans="1:6" x14ac:dyDescent="0.25">
      <c r="A565">
        <v>18047</v>
      </c>
      <c r="B565" t="s">
        <v>29</v>
      </c>
      <c r="C565">
        <v>11</v>
      </c>
      <c r="D565">
        <v>1.75489033851313</v>
      </c>
      <c r="E565">
        <v>3.7084475078013299</v>
      </c>
      <c r="F565">
        <v>15</v>
      </c>
    </row>
    <row r="566" spans="1:6" x14ac:dyDescent="0.25">
      <c r="A566">
        <v>18047</v>
      </c>
      <c r="B566" t="s">
        <v>29</v>
      </c>
      <c r="C566">
        <v>12</v>
      </c>
      <c r="D566">
        <v>1.2582232615754501</v>
      </c>
      <c r="E566">
        <v>2.6157799385384402</v>
      </c>
      <c r="F566">
        <v>15</v>
      </c>
    </row>
    <row r="567" spans="1:6" x14ac:dyDescent="0.25">
      <c r="A567">
        <v>18047</v>
      </c>
      <c r="B567" t="s">
        <v>29</v>
      </c>
      <c r="C567">
        <v>13</v>
      </c>
      <c r="D567">
        <v>0.46355593847516602</v>
      </c>
      <c r="E567">
        <v>0.29800024616260701</v>
      </c>
      <c r="F567">
        <v>15</v>
      </c>
    </row>
    <row r="568" spans="1:6" x14ac:dyDescent="0.25">
      <c r="A568">
        <v>18047</v>
      </c>
      <c r="B568" t="s">
        <v>29</v>
      </c>
      <c r="C568">
        <v>14</v>
      </c>
      <c r="D568">
        <v>0.29800024616260701</v>
      </c>
      <c r="E568">
        <v>0</v>
      </c>
      <c r="F568">
        <v>15</v>
      </c>
    </row>
    <row r="569" spans="1:6" x14ac:dyDescent="0.25">
      <c r="A569">
        <v>18047</v>
      </c>
      <c r="B569" t="s">
        <v>29</v>
      </c>
      <c r="C569">
        <v>15</v>
      </c>
      <c r="D569">
        <v>0.29800024616260701</v>
      </c>
      <c r="E569">
        <v>6.6222276925023804E-2</v>
      </c>
      <c r="F569">
        <v>15</v>
      </c>
    </row>
    <row r="570" spans="1:6" x14ac:dyDescent="0.25">
      <c r="A570">
        <v>18047</v>
      </c>
      <c r="B570" t="s">
        <v>29</v>
      </c>
      <c r="C570">
        <v>16</v>
      </c>
      <c r="D570">
        <v>0.26488910770009499</v>
      </c>
      <c r="E570">
        <v>6.6222276925023804E-2</v>
      </c>
      <c r="F570">
        <v>15</v>
      </c>
    </row>
    <row r="571" spans="1:6" x14ac:dyDescent="0.25">
      <c r="A571">
        <v>18047</v>
      </c>
      <c r="B571" t="s">
        <v>29</v>
      </c>
      <c r="C571">
        <v>17</v>
      </c>
      <c r="D571">
        <v>0.26488910770009499</v>
      </c>
      <c r="E571">
        <v>0</v>
      </c>
      <c r="F571">
        <v>15</v>
      </c>
    </row>
    <row r="572" spans="1:6" x14ac:dyDescent="0.25">
      <c r="A572">
        <v>18047</v>
      </c>
      <c r="B572" t="s">
        <v>29</v>
      </c>
      <c r="C572">
        <v>18</v>
      </c>
      <c r="D572">
        <v>0.36422252308763098</v>
      </c>
      <c r="E572">
        <v>0</v>
      </c>
      <c r="F572">
        <v>15</v>
      </c>
    </row>
    <row r="573" spans="1:6" x14ac:dyDescent="0.25">
      <c r="A573">
        <v>18047</v>
      </c>
      <c r="B573" t="s">
        <v>29</v>
      </c>
      <c r="C573">
        <v>19</v>
      </c>
      <c r="D573">
        <v>0.49666707693767798</v>
      </c>
      <c r="E573">
        <v>0</v>
      </c>
      <c r="F573">
        <v>15</v>
      </c>
    </row>
    <row r="574" spans="1:6" x14ac:dyDescent="0.25">
      <c r="A574">
        <v>18047</v>
      </c>
      <c r="B574" t="s">
        <v>29</v>
      </c>
      <c r="C574">
        <v>20</v>
      </c>
      <c r="D574">
        <v>0.62911163078772603</v>
      </c>
      <c r="E574">
        <v>0</v>
      </c>
      <c r="F574">
        <v>15</v>
      </c>
    </row>
    <row r="575" spans="1:6" x14ac:dyDescent="0.25">
      <c r="A575">
        <v>18047</v>
      </c>
      <c r="B575" t="s">
        <v>29</v>
      </c>
      <c r="C575">
        <v>21</v>
      </c>
      <c r="D575">
        <v>0.66222276925023804</v>
      </c>
      <c r="E575">
        <v>0</v>
      </c>
      <c r="F575">
        <v>15</v>
      </c>
    </row>
    <row r="576" spans="1:6" x14ac:dyDescent="0.25">
      <c r="A576">
        <v>18047</v>
      </c>
      <c r="B576" t="s">
        <v>29</v>
      </c>
      <c r="C576">
        <v>22</v>
      </c>
      <c r="D576">
        <v>0.76155618463777397</v>
      </c>
      <c r="E576">
        <v>0</v>
      </c>
      <c r="F576">
        <v>15</v>
      </c>
    </row>
    <row r="577" spans="1:6" x14ac:dyDescent="0.25">
      <c r="A577">
        <v>18047</v>
      </c>
      <c r="B577" t="s">
        <v>29</v>
      </c>
      <c r="C577">
        <v>23</v>
      </c>
      <c r="D577">
        <v>0.79466732310028498</v>
      </c>
      <c r="E577">
        <v>6.6222276925023804E-2</v>
      </c>
      <c r="F577">
        <v>15</v>
      </c>
    </row>
    <row r="578" spans="1:6" x14ac:dyDescent="0.25">
      <c r="A578">
        <v>18049</v>
      </c>
      <c r="B578" t="s">
        <v>30</v>
      </c>
      <c r="C578">
        <v>0</v>
      </c>
      <c r="D578">
        <v>14.9567112069819</v>
      </c>
      <c r="E578">
        <v>0.721384784902668</v>
      </c>
      <c r="F578">
        <v>50</v>
      </c>
    </row>
    <row r="579" spans="1:6" x14ac:dyDescent="0.25">
      <c r="A579">
        <v>18049</v>
      </c>
      <c r="B579" t="s">
        <v>30</v>
      </c>
      <c r="C579">
        <v>1</v>
      </c>
      <c r="D579">
        <v>15.389542077923499</v>
      </c>
      <c r="E579">
        <v>1.00993869886373</v>
      </c>
      <c r="F579">
        <v>50</v>
      </c>
    </row>
    <row r="580" spans="1:6" x14ac:dyDescent="0.25">
      <c r="A580">
        <v>18049</v>
      </c>
      <c r="B580" t="s">
        <v>30</v>
      </c>
      <c r="C580">
        <v>2</v>
      </c>
      <c r="D580">
        <v>15.389542077923499</v>
      </c>
      <c r="E580">
        <v>1.00993869886373</v>
      </c>
      <c r="F580">
        <v>50</v>
      </c>
    </row>
    <row r="581" spans="1:6" x14ac:dyDescent="0.25">
      <c r="A581">
        <v>18049</v>
      </c>
      <c r="B581" t="s">
        <v>30</v>
      </c>
      <c r="C581">
        <v>3</v>
      </c>
      <c r="D581">
        <v>15.581911353897601</v>
      </c>
      <c r="E581">
        <v>0.96184637987022403</v>
      </c>
      <c r="F581">
        <v>50</v>
      </c>
    </row>
    <row r="582" spans="1:6" x14ac:dyDescent="0.25">
      <c r="A582">
        <v>18049</v>
      </c>
      <c r="B582" t="s">
        <v>30</v>
      </c>
      <c r="C582">
        <v>4</v>
      </c>
      <c r="D582">
        <v>15.052895844968999</v>
      </c>
      <c r="E582">
        <v>0.33664623295457802</v>
      </c>
      <c r="F582">
        <v>50</v>
      </c>
    </row>
    <row r="583" spans="1:6" x14ac:dyDescent="0.25">
      <c r="A583">
        <v>18049</v>
      </c>
      <c r="B583" t="s">
        <v>30</v>
      </c>
      <c r="C583">
        <v>5</v>
      </c>
      <c r="D583">
        <v>13.9948648271117</v>
      </c>
      <c r="E583">
        <v>0.38473855194808898</v>
      </c>
      <c r="F583">
        <v>50</v>
      </c>
    </row>
    <row r="584" spans="1:6" x14ac:dyDescent="0.25">
      <c r="A584">
        <v>18049</v>
      </c>
      <c r="B584" t="s">
        <v>30</v>
      </c>
      <c r="C584">
        <v>6</v>
      </c>
      <c r="D584">
        <v>12.1673567053583</v>
      </c>
      <c r="E584">
        <v>0.4328308709416</v>
      </c>
      <c r="F584">
        <v>50</v>
      </c>
    </row>
    <row r="585" spans="1:6" x14ac:dyDescent="0.25">
      <c r="A585">
        <v>18049</v>
      </c>
      <c r="B585" t="s">
        <v>30</v>
      </c>
      <c r="C585">
        <v>7</v>
      </c>
      <c r="D585">
        <v>9.81083307467628</v>
      </c>
      <c r="E585">
        <v>9.6184637987022398E-2</v>
      </c>
      <c r="F585">
        <v>50</v>
      </c>
    </row>
    <row r="586" spans="1:6" x14ac:dyDescent="0.25">
      <c r="A586">
        <v>18049</v>
      </c>
      <c r="B586" t="s">
        <v>30</v>
      </c>
      <c r="C586">
        <v>8</v>
      </c>
      <c r="D586">
        <v>7.4062171250007198</v>
      </c>
      <c r="E586">
        <v>1.2023079748377801</v>
      </c>
      <c r="F586">
        <v>50</v>
      </c>
    </row>
    <row r="587" spans="1:6" x14ac:dyDescent="0.25">
      <c r="A587">
        <v>18049</v>
      </c>
      <c r="B587" t="s">
        <v>30</v>
      </c>
      <c r="C587">
        <v>9</v>
      </c>
      <c r="D587">
        <v>5.4825243652602698</v>
      </c>
      <c r="E587">
        <v>2.0198773977274702</v>
      </c>
      <c r="F587">
        <v>50</v>
      </c>
    </row>
    <row r="588" spans="1:6" x14ac:dyDescent="0.25">
      <c r="A588">
        <v>18049</v>
      </c>
      <c r="B588" t="s">
        <v>30</v>
      </c>
      <c r="C588">
        <v>10</v>
      </c>
      <c r="D588">
        <v>3.8954778384744002</v>
      </c>
      <c r="E588">
        <v>0.19236927597404399</v>
      </c>
      <c r="F588">
        <v>50</v>
      </c>
    </row>
    <row r="589" spans="1:6" x14ac:dyDescent="0.25">
      <c r="A589">
        <v>18049</v>
      </c>
      <c r="B589" t="s">
        <v>30</v>
      </c>
      <c r="C589">
        <v>11</v>
      </c>
      <c r="D589">
        <v>3.5107392865263098</v>
      </c>
      <c r="E589">
        <v>1.15421565584426</v>
      </c>
      <c r="F589">
        <v>50</v>
      </c>
    </row>
    <row r="590" spans="1:6" x14ac:dyDescent="0.25">
      <c r="A590">
        <v>18049</v>
      </c>
      <c r="B590" t="s">
        <v>30</v>
      </c>
      <c r="C590">
        <v>12</v>
      </c>
      <c r="D590">
        <v>3.1260007345782199</v>
      </c>
      <c r="E590">
        <v>0.24046159496755601</v>
      </c>
      <c r="F590">
        <v>50</v>
      </c>
    </row>
    <row r="591" spans="1:6" x14ac:dyDescent="0.25">
      <c r="A591">
        <v>18049</v>
      </c>
      <c r="B591" t="s">
        <v>30</v>
      </c>
      <c r="C591">
        <v>13</v>
      </c>
      <c r="D591">
        <v>3.2221853725652498</v>
      </c>
      <c r="E591">
        <v>1.2504002938312899</v>
      </c>
      <c r="F591">
        <v>50</v>
      </c>
    </row>
    <row r="592" spans="1:6" x14ac:dyDescent="0.25">
      <c r="A592">
        <v>18049</v>
      </c>
      <c r="B592" t="s">
        <v>30</v>
      </c>
      <c r="C592">
        <v>14</v>
      </c>
      <c r="D592">
        <v>3.5107392865263098</v>
      </c>
      <c r="E592">
        <v>1.4908618887988401</v>
      </c>
      <c r="F592">
        <v>50</v>
      </c>
    </row>
    <row r="593" spans="1:6" x14ac:dyDescent="0.25">
      <c r="A593">
        <v>18049</v>
      </c>
      <c r="B593" t="s">
        <v>30</v>
      </c>
      <c r="C593">
        <v>15</v>
      </c>
      <c r="D593">
        <v>4.1840317524354704</v>
      </c>
      <c r="E593">
        <v>1.3946772508118199</v>
      </c>
      <c r="F593">
        <v>50</v>
      </c>
    </row>
    <row r="594" spans="1:6" x14ac:dyDescent="0.25">
      <c r="A594">
        <v>18049</v>
      </c>
      <c r="B594" t="s">
        <v>30</v>
      </c>
      <c r="C594">
        <v>16</v>
      </c>
      <c r="D594">
        <v>4.6649549423705796</v>
      </c>
      <c r="E594">
        <v>0.91375406087671296</v>
      </c>
      <c r="F594">
        <v>50</v>
      </c>
    </row>
    <row r="595" spans="1:6" x14ac:dyDescent="0.25">
      <c r="A595">
        <v>18049</v>
      </c>
      <c r="B595" t="s">
        <v>30</v>
      </c>
      <c r="C595">
        <v>17</v>
      </c>
      <c r="D595">
        <v>5.9634475551953896</v>
      </c>
      <c r="E595">
        <v>0.81756942288969003</v>
      </c>
      <c r="F595">
        <v>50</v>
      </c>
    </row>
    <row r="596" spans="1:6" x14ac:dyDescent="0.25">
      <c r="A596">
        <v>18049</v>
      </c>
      <c r="B596" t="s">
        <v>30</v>
      </c>
      <c r="C596">
        <v>18</v>
      </c>
      <c r="D596">
        <v>6.7810169780850797</v>
      </c>
      <c r="E596">
        <v>0.721384784902668</v>
      </c>
      <c r="F596">
        <v>50</v>
      </c>
    </row>
    <row r="597" spans="1:6" x14ac:dyDescent="0.25">
      <c r="A597">
        <v>18049</v>
      </c>
      <c r="B597" t="s">
        <v>30</v>
      </c>
      <c r="C597">
        <v>19</v>
      </c>
      <c r="D597">
        <v>8.0314172719163697</v>
      </c>
      <c r="E597">
        <v>0.721384784902668</v>
      </c>
      <c r="F597">
        <v>50</v>
      </c>
    </row>
    <row r="598" spans="1:6" x14ac:dyDescent="0.25">
      <c r="A598">
        <v>18049</v>
      </c>
      <c r="B598" t="s">
        <v>30</v>
      </c>
      <c r="C598">
        <v>20</v>
      </c>
      <c r="D598">
        <v>10.1474793076308</v>
      </c>
      <c r="E598">
        <v>0.721384784902668</v>
      </c>
      <c r="F598">
        <v>50</v>
      </c>
    </row>
    <row r="599" spans="1:6" x14ac:dyDescent="0.25">
      <c r="A599">
        <v>18049</v>
      </c>
      <c r="B599" t="s">
        <v>30</v>
      </c>
      <c r="C599">
        <v>21</v>
      </c>
      <c r="D599">
        <v>11.6383411964297</v>
      </c>
      <c r="E599">
        <v>0.721384784902668</v>
      </c>
      <c r="F599">
        <v>50</v>
      </c>
    </row>
    <row r="600" spans="1:6" x14ac:dyDescent="0.25">
      <c r="A600">
        <v>18049</v>
      </c>
      <c r="B600" t="s">
        <v>30</v>
      </c>
      <c r="C600">
        <v>22</v>
      </c>
      <c r="D600">
        <v>12.9368338092545</v>
      </c>
      <c r="E600">
        <v>0.721384784902668</v>
      </c>
      <c r="F600">
        <v>50</v>
      </c>
    </row>
    <row r="601" spans="1:6" x14ac:dyDescent="0.25">
      <c r="A601">
        <v>18049</v>
      </c>
      <c r="B601" t="s">
        <v>30</v>
      </c>
      <c r="C601">
        <v>23</v>
      </c>
      <c r="D601">
        <v>14.3796033790598</v>
      </c>
      <c r="E601">
        <v>0.721384784902668</v>
      </c>
      <c r="F601">
        <v>50</v>
      </c>
    </row>
    <row r="602" spans="1:6" x14ac:dyDescent="0.25">
      <c r="A602">
        <v>18051</v>
      </c>
      <c r="B602" t="s">
        <v>31</v>
      </c>
      <c r="C602">
        <v>0</v>
      </c>
      <c r="D602">
        <v>300.03443089962201</v>
      </c>
      <c r="E602">
        <v>3.3851195663740801</v>
      </c>
      <c r="F602">
        <v>380</v>
      </c>
    </row>
    <row r="603" spans="1:6" x14ac:dyDescent="0.25">
      <c r="A603">
        <v>18051</v>
      </c>
      <c r="B603" t="s">
        <v>31</v>
      </c>
      <c r="C603">
        <v>1</v>
      </c>
      <c r="D603">
        <v>298.04097159942398</v>
      </c>
      <c r="E603">
        <v>3.3851195663740801</v>
      </c>
      <c r="F603">
        <v>380</v>
      </c>
    </row>
    <row r="604" spans="1:6" x14ac:dyDescent="0.25">
      <c r="A604">
        <v>18051</v>
      </c>
      <c r="B604" t="s">
        <v>31</v>
      </c>
      <c r="C604">
        <v>2</v>
      </c>
      <c r="D604">
        <v>294.12927787828102</v>
      </c>
      <c r="E604">
        <v>3.1970573682421901</v>
      </c>
      <c r="F604">
        <v>380</v>
      </c>
    </row>
    <row r="605" spans="1:6" x14ac:dyDescent="0.25">
      <c r="A605">
        <v>18051</v>
      </c>
      <c r="B605" t="s">
        <v>31</v>
      </c>
      <c r="C605">
        <v>3</v>
      </c>
      <c r="D605">
        <v>287.35903874553298</v>
      </c>
      <c r="E605">
        <v>2.8961578512311599</v>
      </c>
      <c r="F605">
        <v>380</v>
      </c>
    </row>
    <row r="606" spans="1:6" x14ac:dyDescent="0.25">
      <c r="A606">
        <v>18051</v>
      </c>
      <c r="B606" t="s">
        <v>31</v>
      </c>
      <c r="C606">
        <v>4</v>
      </c>
      <c r="D606">
        <v>274.15707243667401</v>
      </c>
      <c r="E606">
        <v>2.78332053235202</v>
      </c>
      <c r="F606">
        <v>380</v>
      </c>
    </row>
    <row r="607" spans="1:6" x14ac:dyDescent="0.25">
      <c r="A607">
        <v>18051</v>
      </c>
      <c r="B607" t="s">
        <v>31</v>
      </c>
      <c r="C607">
        <v>5</v>
      </c>
      <c r="D607">
        <v>254.29770431394601</v>
      </c>
      <c r="E607">
        <v>3.9869186003961401</v>
      </c>
      <c r="F607">
        <v>380</v>
      </c>
    </row>
    <row r="608" spans="1:6" x14ac:dyDescent="0.25">
      <c r="A608">
        <v>18051</v>
      </c>
      <c r="B608" t="s">
        <v>31</v>
      </c>
      <c r="C608">
        <v>6</v>
      </c>
      <c r="D608">
        <v>227.63048461884301</v>
      </c>
      <c r="E608">
        <v>5.5290286250776699</v>
      </c>
      <c r="F608">
        <v>380</v>
      </c>
    </row>
    <row r="609" spans="1:6" x14ac:dyDescent="0.25">
      <c r="A609">
        <v>18051</v>
      </c>
      <c r="B609" t="s">
        <v>31</v>
      </c>
      <c r="C609">
        <v>7</v>
      </c>
      <c r="D609">
        <v>188.55115984703599</v>
      </c>
      <c r="E609">
        <v>5.0400669099347404</v>
      </c>
      <c r="F609">
        <v>380</v>
      </c>
    </row>
    <row r="610" spans="1:6" x14ac:dyDescent="0.25">
      <c r="A610">
        <v>18051</v>
      </c>
      <c r="B610" t="s">
        <v>31</v>
      </c>
      <c r="C610">
        <v>8</v>
      </c>
      <c r="D610">
        <v>149.735122152613</v>
      </c>
      <c r="E610">
        <v>6.1308276590997197</v>
      </c>
      <c r="F610">
        <v>380</v>
      </c>
    </row>
    <row r="611" spans="1:6" x14ac:dyDescent="0.25">
      <c r="A611">
        <v>18051</v>
      </c>
      <c r="B611" t="s">
        <v>31</v>
      </c>
      <c r="C611">
        <v>9</v>
      </c>
      <c r="D611">
        <v>132.35817504522601</v>
      </c>
      <c r="E611">
        <v>6.6197893742426501</v>
      </c>
      <c r="F611">
        <v>380</v>
      </c>
    </row>
    <row r="612" spans="1:6" x14ac:dyDescent="0.25">
      <c r="A612">
        <v>18051</v>
      </c>
      <c r="B612" t="s">
        <v>31</v>
      </c>
      <c r="C612">
        <v>10</v>
      </c>
      <c r="D612">
        <v>123.70731393115901</v>
      </c>
      <c r="E612">
        <v>6.0932152194733504</v>
      </c>
      <c r="F612">
        <v>380</v>
      </c>
    </row>
    <row r="613" spans="1:6" x14ac:dyDescent="0.25">
      <c r="A613">
        <v>18051</v>
      </c>
      <c r="B613" t="s">
        <v>31</v>
      </c>
      <c r="C613">
        <v>11</v>
      </c>
      <c r="D613">
        <v>129.42440475436899</v>
      </c>
      <c r="E613">
        <v>7.4848754856493596</v>
      </c>
      <c r="F613">
        <v>380</v>
      </c>
    </row>
    <row r="614" spans="1:6" x14ac:dyDescent="0.25">
      <c r="A614">
        <v>18051</v>
      </c>
      <c r="B614" t="s">
        <v>31</v>
      </c>
      <c r="C614">
        <v>12</v>
      </c>
      <c r="D614">
        <v>131.831600890457</v>
      </c>
      <c r="E614">
        <v>6.8078515723745401</v>
      </c>
      <c r="F614">
        <v>380</v>
      </c>
    </row>
    <row r="615" spans="1:6" x14ac:dyDescent="0.25">
      <c r="A615">
        <v>18051</v>
      </c>
      <c r="B615" t="s">
        <v>31</v>
      </c>
      <c r="C615">
        <v>13</v>
      </c>
      <c r="D615">
        <v>132.80952432074301</v>
      </c>
      <c r="E615">
        <v>5.2281291080666401</v>
      </c>
      <c r="F615">
        <v>380</v>
      </c>
    </row>
    <row r="616" spans="1:6" x14ac:dyDescent="0.25">
      <c r="A616">
        <v>18051</v>
      </c>
      <c r="B616" t="s">
        <v>31</v>
      </c>
      <c r="C616">
        <v>14</v>
      </c>
      <c r="D616">
        <v>139.20363905722701</v>
      </c>
      <c r="E616">
        <v>2.2943588172090998</v>
      </c>
      <c r="F616">
        <v>380</v>
      </c>
    </row>
    <row r="617" spans="1:6" x14ac:dyDescent="0.25">
      <c r="A617">
        <v>18051</v>
      </c>
      <c r="B617" t="s">
        <v>31</v>
      </c>
      <c r="C617">
        <v>15</v>
      </c>
      <c r="D617">
        <v>151.766193892438</v>
      </c>
      <c r="E617">
        <v>1.5797224643079</v>
      </c>
      <c r="F617">
        <v>380</v>
      </c>
    </row>
    <row r="618" spans="1:6" x14ac:dyDescent="0.25">
      <c r="A618">
        <v>18051</v>
      </c>
      <c r="B618" t="s">
        <v>31</v>
      </c>
      <c r="C618">
        <v>16</v>
      </c>
      <c r="D618">
        <v>176.402341847716</v>
      </c>
      <c r="E618">
        <v>1.54211002468152</v>
      </c>
      <c r="F618">
        <v>380</v>
      </c>
    </row>
    <row r="619" spans="1:6" x14ac:dyDescent="0.25">
      <c r="A619">
        <v>18051</v>
      </c>
      <c r="B619" t="s">
        <v>31</v>
      </c>
      <c r="C619">
        <v>17</v>
      </c>
      <c r="D619">
        <v>202.166862991785</v>
      </c>
      <c r="E619">
        <v>0.86508611140670999</v>
      </c>
      <c r="F619">
        <v>380</v>
      </c>
    </row>
    <row r="620" spans="1:6" x14ac:dyDescent="0.25">
      <c r="A620">
        <v>18051</v>
      </c>
      <c r="B620" t="s">
        <v>31</v>
      </c>
      <c r="C620">
        <v>18</v>
      </c>
      <c r="D620">
        <v>230.865154426712</v>
      </c>
      <c r="E620">
        <v>1.88062198131893</v>
      </c>
      <c r="F620">
        <v>380</v>
      </c>
    </row>
    <row r="621" spans="1:6" x14ac:dyDescent="0.25">
      <c r="A621">
        <v>18051</v>
      </c>
      <c r="B621" t="s">
        <v>31</v>
      </c>
      <c r="C621">
        <v>19</v>
      </c>
      <c r="D621">
        <v>252.830819168517</v>
      </c>
      <c r="E621">
        <v>2.5952583342201301</v>
      </c>
      <c r="F621">
        <v>380</v>
      </c>
    </row>
    <row r="622" spans="1:6" x14ac:dyDescent="0.25">
      <c r="A622">
        <v>18051</v>
      </c>
      <c r="B622" t="s">
        <v>31</v>
      </c>
      <c r="C622">
        <v>20</v>
      </c>
      <c r="D622">
        <v>269.22984284561801</v>
      </c>
      <c r="E622">
        <v>1.6549473435606601</v>
      </c>
      <c r="F622">
        <v>380</v>
      </c>
    </row>
    <row r="623" spans="1:6" x14ac:dyDescent="0.25">
      <c r="A623">
        <v>18051</v>
      </c>
      <c r="B623" t="s">
        <v>31</v>
      </c>
      <c r="C623">
        <v>21</v>
      </c>
      <c r="D623">
        <v>285.74170384159902</v>
      </c>
      <c r="E623">
        <v>1.84300954169255</v>
      </c>
      <c r="F623">
        <v>380</v>
      </c>
    </row>
    <row r="624" spans="1:6" x14ac:dyDescent="0.25">
      <c r="A624">
        <v>18051</v>
      </c>
      <c r="B624" t="s">
        <v>31</v>
      </c>
      <c r="C624">
        <v>22</v>
      </c>
      <c r="D624">
        <v>293.79076592164398</v>
      </c>
      <c r="E624">
        <v>2.3319712568354798</v>
      </c>
      <c r="F624">
        <v>380</v>
      </c>
    </row>
    <row r="625" spans="1:6" x14ac:dyDescent="0.25">
      <c r="A625">
        <v>18051</v>
      </c>
      <c r="B625" t="s">
        <v>31</v>
      </c>
      <c r="C625">
        <v>23</v>
      </c>
      <c r="D625">
        <v>298.37948355606198</v>
      </c>
      <c r="E625">
        <v>3.3851195663740801</v>
      </c>
      <c r="F625">
        <v>380</v>
      </c>
    </row>
    <row r="626" spans="1:6" x14ac:dyDescent="0.25">
      <c r="A626">
        <v>18053</v>
      </c>
      <c r="B626" t="s">
        <v>32</v>
      </c>
      <c r="C626">
        <v>0</v>
      </c>
      <c r="D626">
        <v>109.77988443561399</v>
      </c>
      <c r="E626">
        <v>3.2150081325336202</v>
      </c>
      <c r="F626">
        <v>149</v>
      </c>
    </row>
    <row r="627" spans="1:6" x14ac:dyDescent="0.25">
      <c r="A627">
        <v>18053</v>
      </c>
      <c r="B627" t="s">
        <v>32</v>
      </c>
      <c r="C627">
        <v>1</v>
      </c>
      <c r="D627">
        <v>112.958768881265</v>
      </c>
      <c r="E627">
        <v>4.0097292439464303</v>
      </c>
      <c r="F627">
        <v>149</v>
      </c>
    </row>
    <row r="628" spans="1:6" x14ac:dyDescent="0.25">
      <c r="A628">
        <v>18053</v>
      </c>
      <c r="B628" t="s">
        <v>32</v>
      </c>
      <c r="C628">
        <v>2</v>
      </c>
      <c r="D628">
        <v>114.042479487737</v>
      </c>
      <c r="E628">
        <v>4.6599556078296303</v>
      </c>
      <c r="F628">
        <v>149</v>
      </c>
    </row>
    <row r="629" spans="1:6" x14ac:dyDescent="0.25">
      <c r="A629">
        <v>18053</v>
      </c>
      <c r="B629" t="s">
        <v>32</v>
      </c>
      <c r="C629">
        <v>3</v>
      </c>
      <c r="D629">
        <v>109.888255496261</v>
      </c>
      <c r="E629">
        <v>5.4546767192424399</v>
      </c>
      <c r="F629">
        <v>149</v>
      </c>
    </row>
    <row r="630" spans="1:6" x14ac:dyDescent="0.25">
      <c r="A630">
        <v>18053</v>
      </c>
      <c r="B630" t="s">
        <v>32</v>
      </c>
      <c r="C630">
        <v>4</v>
      </c>
      <c r="D630">
        <v>102.95250761484</v>
      </c>
      <c r="E630">
        <v>5.4185530323600402</v>
      </c>
      <c r="F630">
        <v>149</v>
      </c>
    </row>
    <row r="631" spans="1:6" x14ac:dyDescent="0.25">
      <c r="A631">
        <v>18053</v>
      </c>
      <c r="B631" t="s">
        <v>32</v>
      </c>
      <c r="C631">
        <v>5</v>
      </c>
      <c r="D631">
        <v>100.496096906837</v>
      </c>
      <c r="E631">
        <v>6.1049030831256497</v>
      </c>
      <c r="F631">
        <v>149</v>
      </c>
    </row>
    <row r="632" spans="1:6" x14ac:dyDescent="0.25">
      <c r="A632">
        <v>18053</v>
      </c>
      <c r="B632" t="s">
        <v>32</v>
      </c>
      <c r="C632">
        <v>6</v>
      </c>
      <c r="D632">
        <v>96.811480844832801</v>
      </c>
      <c r="E632">
        <v>10.0785086401896</v>
      </c>
      <c r="F632">
        <v>149</v>
      </c>
    </row>
    <row r="633" spans="1:6" x14ac:dyDescent="0.25">
      <c r="A633">
        <v>18053</v>
      </c>
      <c r="B633" t="s">
        <v>32</v>
      </c>
      <c r="C633">
        <v>7</v>
      </c>
      <c r="D633">
        <v>85.396395789994301</v>
      </c>
      <c r="E633">
        <v>11.053848186014401</v>
      </c>
      <c r="F633">
        <v>149</v>
      </c>
    </row>
    <row r="634" spans="1:6" x14ac:dyDescent="0.25">
      <c r="A634">
        <v>18053</v>
      </c>
      <c r="B634" t="s">
        <v>32</v>
      </c>
      <c r="C634">
        <v>8</v>
      </c>
      <c r="D634">
        <v>75.895866139923001</v>
      </c>
      <c r="E634">
        <v>7.9472111141280601</v>
      </c>
      <c r="F634">
        <v>149</v>
      </c>
    </row>
    <row r="635" spans="1:6" x14ac:dyDescent="0.25">
      <c r="A635">
        <v>18053</v>
      </c>
      <c r="B635" t="s">
        <v>32</v>
      </c>
      <c r="C635">
        <v>9</v>
      </c>
      <c r="D635">
        <v>70.838549976386901</v>
      </c>
      <c r="E635">
        <v>6.6106346994792498</v>
      </c>
      <c r="F635">
        <v>149</v>
      </c>
    </row>
    <row r="636" spans="1:6" x14ac:dyDescent="0.25">
      <c r="A636">
        <v>18053</v>
      </c>
      <c r="B636" t="s">
        <v>32</v>
      </c>
      <c r="C636">
        <v>10</v>
      </c>
      <c r="D636">
        <v>67.406799722558901</v>
      </c>
      <c r="E636">
        <v>6.4661399519496499</v>
      </c>
      <c r="F636">
        <v>149</v>
      </c>
    </row>
    <row r="637" spans="1:6" x14ac:dyDescent="0.25">
      <c r="A637">
        <v>18053</v>
      </c>
      <c r="B637" t="s">
        <v>32</v>
      </c>
      <c r="C637">
        <v>11</v>
      </c>
      <c r="D637">
        <v>65.889604873498101</v>
      </c>
      <c r="E637">
        <v>6.2493978306552496</v>
      </c>
      <c r="F637">
        <v>149</v>
      </c>
    </row>
    <row r="638" spans="1:6" x14ac:dyDescent="0.25">
      <c r="A638">
        <v>18053</v>
      </c>
      <c r="B638" t="s">
        <v>32</v>
      </c>
      <c r="C638">
        <v>12</v>
      </c>
      <c r="D638">
        <v>64.842017953908496</v>
      </c>
      <c r="E638">
        <v>5.8159135880664401</v>
      </c>
      <c r="F638">
        <v>149</v>
      </c>
    </row>
    <row r="639" spans="1:6" x14ac:dyDescent="0.25">
      <c r="A639">
        <v>18053</v>
      </c>
      <c r="B639" t="s">
        <v>32</v>
      </c>
      <c r="C639">
        <v>13</v>
      </c>
      <c r="D639">
        <v>65.925728560380506</v>
      </c>
      <c r="E639">
        <v>4.5154608603000304</v>
      </c>
      <c r="F639">
        <v>149</v>
      </c>
    </row>
    <row r="640" spans="1:6" x14ac:dyDescent="0.25">
      <c r="A640">
        <v>18053</v>
      </c>
      <c r="B640" t="s">
        <v>32</v>
      </c>
      <c r="C640">
        <v>14</v>
      </c>
      <c r="D640">
        <v>67.8041602782653</v>
      </c>
      <c r="E640">
        <v>3.2872555062984201</v>
      </c>
      <c r="F640">
        <v>149</v>
      </c>
    </row>
    <row r="641" spans="1:6" x14ac:dyDescent="0.25">
      <c r="A641">
        <v>18053</v>
      </c>
      <c r="B641" t="s">
        <v>32</v>
      </c>
      <c r="C641">
        <v>15</v>
      </c>
      <c r="D641">
        <v>73.005971189331007</v>
      </c>
      <c r="E641">
        <v>2.6009054555328199</v>
      </c>
      <c r="F641">
        <v>149</v>
      </c>
    </row>
    <row r="642" spans="1:6" x14ac:dyDescent="0.25">
      <c r="A642">
        <v>18053</v>
      </c>
      <c r="B642" t="s">
        <v>32</v>
      </c>
      <c r="C642">
        <v>16</v>
      </c>
      <c r="D642">
        <v>77.413060988983801</v>
      </c>
      <c r="E642">
        <v>2.16742121294401</v>
      </c>
      <c r="F642">
        <v>149</v>
      </c>
    </row>
    <row r="643" spans="1:6" x14ac:dyDescent="0.25">
      <c r="A643">
        <v>18053</v>
      </c>
      <c r="B643" t="s">
        <v>32</v>
      </c>
      <c r="C643">
        <v>17</v>
      </c>
      <c r="D643">
        <v>80.519698060870198</v>
      </c>
      <c r="E643">
        <v>2.7092765161800201</v>
      </c>
      <c r="F643">
        <v>149</v>
      </c>
    </row>
    <row r="644" spans="1:6" x14ac:dyDescent="0.25">
      <c r="A644">
        <v>18053</v>
      </c>
      <c r="B644" t="s">
        <v>32</v>
      </c>
      <c r="C644">
        <v>18</v>
      </c>
      <c r="D644">
        <v>81.386666546047806</v>
      </c>
      <c r="E644">
        <v>2.2757922735912102</v>
      </c>
      <c r="F644">
        <v>149</v>
      </c>
    </row>
    <row r="645" spans="1:6" x14ac:dyDescent="0.25">
      <c r="A645">
        <v>18053</v>
      </c>
      <c r="B645" t="s">
        <v>32</v>
      </c>
      <c r="C645">
        <v>19</v>
      </c>
      <c r="D645">
        <v>86.949714325937506</v>
      </c>
      <c r="E645">
        <v>1.51719484906081</v>
      </c>
      <c r="F645">
        <v>149</v>
      </c>
    </row>
    <row r="646" spans="1:6" x14ac:dyDescent="0.25">
      <c r="A646">
        <v>18053</v>
      </c>
      <c r="B646" t="s">
        <v>32</v>
      </c>
      <c r="C646">
        <v>20</v>
      </c>
      <c r="D646">
        <v>94.138328015535095</v>
      </c>
      <c r="E646">
        <v>2.0229264654144101</v>
      </c>
      <c r="F646">
        <v>149</v>
      </c>
    </row>
    <row r="647" spans="1:6" x14ac:dyDescent="0.25">
      <c r="A647">
        <v>18053</v>
      </c>
      <c r="B647" t="s">
        <v>32</v>
      </c>
      <c r="C647">
        <v>21</v>
      </c>
      <c r="D647">
        <v>96.7031097841856</v>
      </c>
      <c r="E647">
        <v>3.2872555062984201</v>
      </c>
      <c r="F647">
        <v>149</v>
      </c>
    </row>
    <row r="648" spans="1:6" x14ac:dyDescent="0.25">
      <c r="A648">
        <v>18053</v>
      </c>
      <c r="B648" t="s">
        <v>32</v>
      </c>
      <c r="C648">
        <v>22</v>
      </c>
      <c r="D648">
        <v>100.712839028132</v>
      </c>
      <c r="E648">
        <v>4.04585293082883</v>
      </c>
      <c r="F648">
        <v>149</v>
      </c>
    </row>
    <row r="649" spans="1:6" x14ac:dyDescent="0.25">
      <c r="A649">
        <v>18053</v>
      </c>
      <c r="B649" t="s">
        <v>32</v>
      </c>
      <c r="C649">
        <v>23</v>
      </c>
      <c r="D649">
        <v>105.73403150478499</v>
      </c>
      <c r="E649">
        <v>2.78152388994482</v>
      </c>
      <c r="F649">
        <v>149</v>
      </c>
    </row>
    <row r="650" spans="1:6" x14ac:dyDescent="0.25">
      <c r="A650">
        <v>18055</v>
      </c>
      <c r="B650" t="s">
        <v>33</v>
      </c>
      <c r="C650">
        <v>0</v>
      </c>
      <c r="D650">
        <v>3.8910990958142699</v>
      </c>
      <c r="E650">
        <v>4.1772093234476797</v>
      </c>
      <c r="F650">
        <v>43</v>
      </c>
    </row>
    <row r="651" spans="1:6" x14ac:dyDescent="0.25">
      <c r="A651">
        <v>18055</v>
      </c>
      <c r="B651" t="s">
        <v>33</v>
      </c>
      <c r="C651">
        <v>1</v>
      </c>
      <c r="D651">
        <v>3.8910990958142699</v>
      </c>
      <c r="E651">
        <v>4.1772093234476797</v>
      </c>
      <c r="F651">
        <v>43</v>
      </c>
    </row>
    <row r="652" spans="1:6" x14ac:dyDescent="0.25">
      <c r="A652">
        <v>18055</v>
      </c>
      <c r="B652" t="s">
        <v>33</v>
      </c>
      <c r="C652">
        <v>2</v>
      </c>
      <c r="D652">
        <v>3.94832114134095</v>
      </c>
      <c r="E652">
        <v>4.1772093234476797</v>
      </c>
      <c r="F652">
        <v>43</v>
      </c>
    </row>
    <row r="653" spans="1:6" x14ac:dyDescent="0.25">
      <c r="A653">
        <v>18055</v>
      </c>
      <c r="B653" t="s">
        <v>33</v>
      </c>
      <c r="C653">
        <v>3</v>
      </c>
      <c r="D653">
        <v>3.8624880730509301</v>
      </c>
      <c r="E653">
        <v>4.0055431868676301</v>
      </c>
      <c r="F653">
        <v>43</v>
      </c>
    </row>
    <row r="654" spans="1:6" x14ac:dyDescent="0.25">
      <c r="A654">
        <v>18055</v>
      </c>
      <c r="B654" t="s">
        <v>33</v>
      </c>
      <c r="C654">
        <v>4</v>
      </c>
      <c r="D654">
        <v>3.9769321641042898</v>
      </c>
      <c r="E654">
        <v>4.49193057384442</v>
      </c>
      <c r="F654">
        <v>43</v>
      </c>
    </row>
    <row r="655" spans="1:6" x14ac:dyDescent="0.25">
      <c r="A655">
        <v>18055</v>
      </c>
      <c r="B655" t="s">
        <v>33</v>
      </c>
      <c r="C655">
        <v>5</v>
      </c>
      <c r="D655">
        <v>4.1772093234476797</v>
      </c>
      <c r="E655">
        <v>5.0355400063478797</v>
      </c>
      <c r="F655">
        <v>43</v>
      </c>
    </row>
    <row r="656" spans="1:6" x14ac:dyDescent="0.25">
      <c r="A656">
        <v>18055</v>
      </c>
      <c r="B656" t="s">
        <v>33</v>
      </c>
      <c r="C656">
        <v>6</v>
      </c>
      <c r="D656">
        <v>4.1199872779209903</v>
      </c>
      <c r="E656">
        <v>4.9783179608212</v>
      </c>
      <c r="F656">
        <v>43</v>
      </c>
    </row>
    <row r="657" spans="1:6" x14ac:dyDescent="0.25">
      <c r="A657">
        <v>18055</v>
      </c>
      <c r="B657" t="s">
        <v>33</v>
      </c>
      <c r="C657">
        <v>7</v>
      </c>
      <c r="D657">
        <v>4.6922077331878</v>
      </c>
      <c r="E657">
        <v>4.4060975055544001</v>
      </c>
      <c r="F657">
        <v>43</v>
      </c>
    </row>
    <row r="658" spans="1:6" x14ac:dyDescent="0.25">
      <c r="A658">
        <v>18055</v>
      </c>
      <c r="B658" t="s">
        <v>33</v>
      </c>
      <c r="C658">
        <v>8</v>
      </c>
      <c r="D658">
        <v>5.66498250714137</v>
      </c>
      <c r="E658">
        <v>4.49193057384442</v>
      </c>
      <c r="F658">
        <v>43</v>
      </c>
    </row>
    <row r="659" spans="1:6" x14ac:dyDescent="0.25">
      <c r="A659">
        <v>18055</v>
      </c>
      <c r="B659" t="s">
        <v>33</v>
      </c>
      <c r="C659">
        <v>9</v>
      </c>
      <c r="D659">
        <v>4.8638738697678399</v>
      </c>
      <c r="E659">
        <v>4.4633195510810797</v>
      </c>
      <c r="F659">
        <v>43</v>
      </c>
    </row>
    <row r="660" spans="1:6" x14ac:dyDescent="0.25">
      <c r="A660">
        <v>18055</v>
      </c>
      <c r="B660" t="s">
        <v>33</v>
      </c>
      <c r="C660">
        <v>10</v>
      </c>
      <c r="D660">
        <v>4.4060975055544001</v>
      </c>
      <c r="E660">
        <v>5.66498250714137</v>
      </c>
      <c r="F660">
        <v>43</v>
      </c>
    </row>
    <row r="661" spans="1:6" x14ac:dyDescent="0.25">
      <c r="A661">
        <v>18055</v>
      </c>
      <c r="B661" t="s">
        <v>33</v>
      </c>
      <c r="C661">
        <v>11</v>
      </c>
      <c r="D661">
        <v>4.8924848925311801</v>
      </c>
      <c r="E661">
        <v>5.8938706892480903</v>
      </c>
      <c r="F661">
        <v>43</v>
      </c>
    </row>
    <row r="662" spans="1:6" x14ac:dyDescent="0.25">
      <c r="A662">
        <v>18055</v>
      </c>
      <c r="B662" t="s">
        <v>33</v>
      </c>
      <c r="C662">
        <v>12</v>
      </c>
      <c r="D662">
        <v>4.8352628470044996</v>
      </c>
      <c r="E662">
        <v>6.0655368258281301</v>
      </c>
      <c r="F662">
        <v>43</v>
      </c>
    </row>
    <row r="663" spans="1:6" x14ac:dyDescent="0.25">
      <c r="A663">
        <v>18055</v>
      </c>
      <c r="B663" t="s">
        <v>33</v>
      </c>
      <c r="C663">
        <v>13</v>
      </c>
      <c r="D663">
        <v>4.0341542096309704</v>
      </c>
      <c r="E663">
        <v>4.9783179608212</v>
      </c>
      <c r="F663">
        <v>43</v>
      </c>
    </row>
    <row r="664" spans="1:6" x14ac:dyDescent="0.25">
      <c r="A664">
        <v>18055</v>
      </c>
      <c r="B664" t="s">
        <v>33</v>
      </c>
      <c r="C664">
        <v>14</v>
      </c>
      <c r="D664">
        <v>3.23304557225745</v>
      </c>
      <c r="E664">
        <v>3.4619337543641699</v>
      </c>
      <c r="F664">
        <v>43</v>
      </c>
    </row>
    <row r="665" spans="1:6" x14ac:dyDescent="0.25">
      <c r="A665">
        <v>18055</v>
      </c>
      <c r="B665" t="s">
        <v>33</v>
      </c>
      <c r="C665">
        <v>15</v>
      </c>
      <c r="D665">
        <v>2.8038802308073398</v>
      </c>
      <c r="E665">
        <v>2.9183243218607</v>
      </c>
      <c r="F665">
        <v>43</v>
      </c>
    </row>
    <row r="666" spans="1:6" x14ac:dyDescent="0.25">
      <c r="A666">
        <v>18055</v>
      </c>
      <c r="B666" t="s">
        <v>33</v>
      </c>
      <c r="C666">
        <v>16</v>
      </c>
      <c r="D666">
        <v>2.6036030714639602</v>
      </c>
      <c r="E666">
        <v>2.03138261619715</v>
      </c>
      <c r="F666">
        <v>43</v>
      </c>
    </row>
    <row r="667" spans="1:6" x14ac:dyDescent="0.25">
      <c r="A667">
        <v>18055</v>
      </c>
      <c r="B667" t="s">
        <v>33</v>
      </c>
      <c r="C667">
        <v>17</v>
      </c>
      <c r="D667">
        <v>2.3174928438305602</v>
      </c>
      <c r="E667">
        <v>1.57360625198371</v>
      </c>
      <c r="F667">
        <v>43</v>
      </c>
    </row>
    <row r="668" spans="1:6" x14ac:dyDescent="0.25">
      <c r="A668">
        <v>18055</v>
      </c>
      <c r="B668" t="s">
        <v>33</v>
      </c>
      <c r="C668">
        <v>18</v>
      </c>
      <c r="D668">
        <v>2.3747148893572398</v>
      </c>
      <c r="E668">
        <v>2.0886046617238399</v>
      </c>
      <c r="F668">
        <v>43</v>
      </c>
    </row>
    <row r="669" spans="1:6" x14ac:dyDescent="0.25">
      <c r="A669">
        <v>18055</v>
      </c>
      <c r="B669" t="s">
        <v>33</v>
      </c>
      <c r="C669">
        <v>19</v>
      </c>
      <c r="D669">
        <v>2.775269208044</v>
      </c>
      <c r="E669">
        <v>2.1172156844871801</v>
      </c>
      <c r="F669">
        <v>43</v>
      </c>
    </row>
    <row r="670" spans="1:6" x14ac:dyDescent="0.25">
      <c r="A670">
        <v>18055</v>
      </c>
      <c r="B670" t="s">
        <v>33</v>
      </c>
      <c r="C670">
        <v>20</v>
      </c>
      <c r="D670">
        <v>3.0327684129140602</v>
      </c>
      <c r="E670">
        <v>2.8897132990973602</v>
      </c>
      <c r="F670">
        <v>43</v>
      </c>
    </row>
    <row r="671" spans="1:6" x14ac:dyDescent="0.25">
      <c r="A671">
        <v>18055</v>
      </c>
      <c r="B671" t="s">
        <v>33</v>
      </c>
      <c r="C671">
        <v>21</v>
      </c>
      <c r="D671">
        <v>3.17582352673077</v>
      </c>
      <c r="E671">
        <v>2.8611022763340199</v>
      </c>
      <c r="F671">
        <v>43</v>
      </c>
    </row>
    <row r="672" spans="1:6" x14ac:dyDescent="0.25">
      <c r="A672">
        <v>18055</v>
      </c>
      <c r="B672" t="s">
        <v>33</v>
      </c>
      <c r="C672">
        <v>22</v>
      </c>
      <c r="D672">
        <v>3.6335998909442102</v>
      </c>
      <c r="E672">
        <v>3.0041573901507199</v>
      </c>
      <c r="F672">
        <v>43</v>
      </c>
    </row>
    <row r="673" spans="1:6" x14ac:dyDescent="0.25">
      <c r="A673">
        <v>18055</v>
      </c>
      <c r="B673" t="s">
        <v>33</v>
      </c>
      <c r="C673">
        <v>23</v>
      </c>
      <c r="D673">
        <v>3.7194329592342301</v>
      </c>
      <c r="E673">
        <v>3.6908219364708899</v>
      </c>
      <c r="F673">
        <v>43</v>
      </c>
    </row>
    <row r="674" spans="1:6" x14ac:dyDescent="0.25">
      <c r="A674">
        <v>18057</v>
      </c>
      <c r="B674" t="s">
        <v>34</v>
      </c>
      <c r="C674">
        <v>0</v>
      </c>
      <c r="D674">
        <v>11.5701429336833</v>
      </c>
      <c r="E674">
        <v>1.2145453908286401</v>
      </c>
      <c r="F674">
        <v>40</v>
      </c>
    </row>
    <row r="675" spans="1:6" x14ac:dyDescent="0.25">
      <c r="A675">
        <v>18057</v>
      </c>
      <c r="B675" t="s">
        <v>34</v>
      </c>
      <c r="C675">
        <v>1</v>
      </c>
      <c r="D675">
        <v>11.889760141796099</v>
      </c>
      <c r="E675">
        <v>1.02277506596096</v>
      </c>
      <c r="F675">
        <v>40</v>
      </c>
    </row>
    <row r="676" spans="1:6" x14ac:dyDescent="0.25">
      <c r="A676">
        <v>18057</v>
      </c>
      <c r="B676" t="s">
        <v>34</v>
      </c>
      <c r="C676">
        <v>2</v>
      </c>
      <c r="D676">
        <v>12.273300791531501</v>
      </c>
      <c r="E676">
        <v>1.53416259894144</v>
      </c>
      <c r="F676">
        <v>40</v>
      </c>
    </row>
    <row r="677" spans="1:6" x14ac:dyDescent="0.25">
      <c r="A677">
        <v>18057</v>
      </c>
      <c r="B677" t="s">
        <v>34</v>
      </c>
      <c r="C677">
        <v>3</v>
      </c>
      <c r="D677">
        <v>12.273300791531501</v>
      </c>
      <c r="E677">
        <v>1.9177032486768</v>
      </c>
      <c r="F677">
        <v>40</v>
      </c>
    </row>
    <row r="678" spans="1:6" x14ac:dyDescent="0.25">
      <c r="A678">
        <v>18057</v>
      </c>
      <c r="B678" t="s">
        <v>34</v>
      </c>
      <c r="C678">
        <v>4</v>
      </c>
      <c r="D678">
        <v>11.761913258550999</v>
      </c>
      <c r="E678">
        <v>2.1733970151670401</v>
      </c>
      <c r="F678">
        <v>40</v>
      </c>
    </row>
    <row r="679" spans="1:6" x14ac:dyDescent="0.25">
      <c r="A679">
        <v>18057</v>
      </c>
      <c r="B679" t="s">
        <v>34</v>
      </c>
      <c r="C679">
        <v>5</v>
      </c>
      <c r="D679">
        <v>11.8258367001736</v>
      </c>
      <c r="E679">
        <v>1.5980860405640001</v>
      </c>
      <c r="F679">
        <v>40</v>
      </c>
    </row>
    <row r="680" spans="1:6" x14ac:dyDescent="0.25">
      <c r="A680">
        <v>18057</v>
      </c>
      <c r="B680" t="s">
        <v>34</v>
      </c>
      <c r="C680">
        <v>6</v>
      </c>
      <c r="D680">
        <v>11.9536835834187</v>
      </c>
      <c r="E680">
        <v>2.6208611065249601</v>
      </c>
      <c r="F680">
        <v>40</v>
      </c>
    </row>
    <row r="681" spans="1:6" x14ac:dyDescent="0.25">
      <c r="A681">
        <v>18057</v>
      </c>
      <c r="B681" t="s">
        <v>34</v>
      </c>
      <c r="C681">
        <v>7</v>
      </c>
      <c r="D681">
        <v>10.866985075835199</v>
      </c>
      <c r="E681">
        <v>4.0911002638438401</v>
      </c>
      <c r="F681">
        <v>40</v>
      </c>
    </row>
    <row r="682" spans="1:6" x14ac:dyDescent="0.25">
      <c r="A682">
        <v>18057</v>
      </c>
      <c r="B682" t="s">
        <v>34</v>
      </c>
      <c r="C682">
        <v>8</v>
      </c>
      <c r="D682">
        <v>7.86258331957489</v>
      </c>
      <c r="E682">
        <v>11.0587554007028</v>
      </c>
      <c r="F682">
        <v>40</v>
      </c>
    </row>
    <row r="683" spans="1:6" x14ac:dyDescent="0.25">
      <c r="A683">
        <v>18057</v>
      </c>
      <c r="B683" t="s">
        <v>34</v>
      </c>
      <c r="C683">
        <v>9</v>
      </c>
      <c r="D683">
        <v>5.88095662927552</v>
      </c>
      <c r="E683">
        <v>15.533396314282101</v>
      </c>
      <c r="F683">
        <v>40</v>
      </c>
    </row>
    <row r="684" spans="1:6" x14ac:dyDescent="0.25">
      <c r="A684">
        <v>18057</v>
      </c>
      <c r="B684" t="s">
        <v>34</v>
      </c>
      <c r="C684">
        <v>10</v>
      </c>
      <c r="D684">
        <v>4.5385643552017596</v>
      </c>
      <c r="E684">
        <v>15.789090080772301</v>
      </c>
      <c r="F684">
        <v>40</v>
      </c>
    </row>
    <row r="685" spans="1:6" x14ac:dyDescent="0.25">
      <c r="A685">
        <v>18057</v>
      </c>
      <c r="B685" t="s">
        <v>34</v>
      </c>
      <c r="C685">
        <v>11</v>
      </c>
      <c r="D685">
        <v>3.4518658476182398</v>
      </c>
      <c r="E685">
        <v>14.4466978066985</v>
      </c>
      <c r="F685">
        <v>40</v>
      </c>
    </row>
    <row r="686" spans="1:6" x14ac:dyDescent="0.25">
      <c r="A686">
        <v>18057</v>
      </c>
      <c r="B686" t="s">
        <v>34</v>
      </c>
      <c r="C686">
        <v>12</v>
      </c>
      <c r="D686">
        <v>3.38794240599568</v>
      </c>
      <c r="E686">
        <v>15.2137791061692</v>
      </c>
      <c r="F686">
        <v>40</v>
      </c>
    </row>
    <row r="687" spans="1:6" x14ac:dyDescent="0.25">
      <c r="A687">
        <v>18057</v>
      </c>
      <c r="B687" t="s">
        <v>34</v>
      </c>
      <c r="C687">
        <v>13</v>
      </c>
      <c r="D687">
        <v>2.8765548730152002</v>
      </c>
      <c r="E687">
        <v>12.9764586493796</v>
      </c>
      <c r="F687">
        <v>40</v>
      </c>
    </row>
    <row r="688" spans="1:6" x14ac:dyDescent="0.25">
      <c r="A688">
        <v>18057</v>
      </c>
      <c r="B688" t="s">
        <v>34</v>
      </c>
      <c r="C688">
        <v>14</v>
      </c>
      <c r="D688">
        <v>3.0683251978828801</v>
      </c>
      <c r="E688">
        <v>12.9764586493796</v>
      </c>
      <c r="F688">
        <v>40</v>
      </c>
    </row>
    <row r="689" spans="1:6" x14ac:dyDescent="0.25">
      <c r="A689">
        <v>18057</v>
      </c>
      <c r="B689" t="s">
        <v>34</v>
      </c>
      <c r="C689">
        <v>15</v>
      </c>
      <c r="D689">
        <v>2.8765548730152002</v>
      </c>
      <c r="E689">
        <v>7.86258331957489</v>
      </c>
      <c r="F689">
        <v>40</v>
      </c>
    </row>
    <row r="690" spans="1:6" x14ac:dyDescent="0.25">
      <c r="A690">
        <v>18057</v>
      </c>
      <c r="B690" t="s">
        <v>34</v>
      </c>
      <c r="C690">
        <v>16</v>
      </c>
      <c r="D690">
        <v>3.7714830557310401</v>
      </c>
      <c r="E690">
        <v>2.04555013192192</v>
      </c>
      <c r="F690">
        <v>40</v>
      </c>
    </row>
    <row r="691" spans="1:6" x14ac:dyDescent="0.25">
      <c r="A691">
        <v>18057</v>
      </c>
      <c r="B691" t="s">
        <v>34</v>
      </c>
      <c r="C691">
        <v>17</v>
      </c>
      <c r="D691">
        <v>3.7075596141084799</v>
      </c>
      <c r="E691">
        <v>0.89492818271584096</v>
      </c>
      <c r="F691">
        <v>40</v>
      </c>
    </row>
    <row r="692" spans="1:6" x14ac:dyDescent="0.25">
      <c r="A692">
        <v>18057</v>
      </c>
      <c r="B692" t="s">
        <v>34</v>
      </c>
      <c r="C692">
        <v>18</v>
      </c>
      <c r="D692">
        <v>4.41071747195664</v>
      </c>
      <c r="E692">
        <v>0.70315785784815998</v>
      </c>
      <c r="F692">
        <v>40</v>
      </c>
    </row>
    <row r="693" spans="1:6" x14ac:dyDescent="0.25">
      <c r="A693">
        <v>18057</v>
      </c>
      <c r="B693" t="s">
        <v>34</v>
      </c>
      <c r="C693">
        <v>19</v>
      </c>
      <c r="D693">
        <v>5.8170331876529602</v>
      </c>
      <c r="E693">
        <v>0.89492818271584096</v>
      </c>
      <c r="F693">
        <v>40</v>
      </c>
    </row>
    <row r="694" spans="1:6" x14ac:dyDescent="0.25">
      <c r="A694">
        <v>18057</v>
      </c>
      <c r="B694" t="s">
        <v>34</v>
      </c>
      <c r="C694">
        <v>20</v>
      </c>
      <c r="D694">
        <v>7.0315785784816001</v>
      </c>
      <c r="E694">
        <v>0.63923441622559996</v>
      </c>
      <c r="F694">
        <v>40</v>
      </c>
    </row>
    <row r="695" spans="1:6" x14ac:dyDescent="0.25">
      <c r="A695">
        <v>18057</v>
      </c>
      <c r="B695" t="s">
        <v>34</v>
      </c>
      <c r="C695">
        <v>21</v>
      </c>
      <c r="D695">
        <v>9.0132052687809701</v>
      </c>
      <c r="E695">
        <v>0.76708129947072001</v>
      </c>
      <c r="F695">
        <v>40</v>
      </c>
    </row>
    <row r="696" spans="1:6" x14ac:dyDescent="0.25">
      <c r="A696">
        <v>18057</v>
      </c>
      <c r="B696" t="s">
        <v>34</v>
      </c>
      <c r="C696">
        <v>22</v>
      </c>
      <c r="D696">
        <v>10.2916741012321</v>
      </c>
      <c r="E696">
        <v>0.76708129947072001</v>
      </c>
      <c r="F696">
        <v>40</v>
      </c>
    </row>
    <row r="697" spans="1:6" x14ac:dyDescent="0.25">
      <c r="A697">
        <v>18057</v>
      </c>
      <c r="B697" t="s">
        <v>34</v>
      </c>
      <c r="C697">
        <v>23</v>
      </c>
      <c r="D697">
        <v>10.866985075835199</v>
      </c>
      <c r="E697">
        <v>0.76708129947072001</v>
      </c>
      <c r="F697">
        <v>40</v>
      </c>
    </row>
    <row r="698" spans="1:6" x14ac:dyDescent="0.25">
      <c r="A698">
        <v>18059</v>
      </c>
      <c r="B698" t="s">
        <v>35</v>
      </c>
      <c r="C698">
        <v>0</v>
      </c>
      <c r="D698">
        <v>365.17341591440601</v>
      </c>
      <c r="E698">
        <v>26.6489705352929</v>
      </c>
      <c r="F698">
        <v>540</v>
      </c>
    </row>
    <row r="699" spans="1:6" x14ac:dyDescent="0.25">
      <c r="A699">
        <v>18059</v>
      </c>
      <c r="B699" t="s">
        <v>35</v>
      </c>
      <c r="C699">
        <v>1</v>
      </c>
      <c r="D699">
        <v>374.44473353233099</v>
      </c>
      <c r="E699">
        <v>30.483704000298701</v>
      </c>
      <c r="F699">
        <v>540</v>
      </c>
    </row>
    <row r="700" spans="1:6" x14ac:dyDescent="0.25">
      <c r="A700">
        <v>18059</v>
      </c>
      <c r="B700" t="s">
        <v>35</v>
      </c>
      <c r="C700">
        <v>2</v>
      </c>
      <c r="D700">
        <v>377.74551676803202</v>
      </c>
      <c r="E700">
        <v>32.716586777390603</v>
      </c>
      <c r="F700">
        <v>540</v>
      </c>
    </row>
    <row r="701" spans="1:6" x14ac:dyDescent="0.25">
      <c r="A701">
        <v>18059</v>
      </c>
      <c r="B701" t="s">
        <v>35</v>
      </c>
      <c r="C701">
        <v>3</v>
      </c>
      <c r="D701">
        <v>377.21156653872799</v>
      </c>
      <c r="E701">
        <v>32.328259337896398</v>
      </c>
      <c r="F701">
        <v>540</v>
      </c>
    </row>
    <row r="702" spans="1:6" x14ac:dyDescent="0.25">
      <c r="A702">
        <v>18059</v>
      </c>
      <c r="B702" t="s">
        <v>35</v>
      </c>
      <c r="C702">
        <v>4</v>
      </c>
      <c r="D702">
        <v>368.91106751953799</v>
      </c>
      <c r="E702">
        <v>31.600145388844599</v>
      </c>
      <c r="F702">
        <v>540</v>
      </c>
    </row>
    <row r="703" spans="1:6" x14ac:dyDescent="0.25">
      <c r="A703">
        <v>18059</v>
      </c>
      <c r="B703" t="s">
        <v>35</v>
      </c>
      <c r="C703">
        <v>5</v>
      </c>
      <c r="D703">
        <v>353.62067458945199</v>
      </c>
      <c r="E703">
        <v>30.143917490741199</v>
      </c>
      <c r="F703">
        <v>540</v>
      </c>
    </row>
    <row r="704" spans="1:6" x14ac:dyDescent="0.25">
      <c r="A704">
        <v>18059</v>
      </c>
      <c r="B704" t="s">
        <v>35</v>
      </c>
      <c r="C704">
        <v>6</v>
      </c>
      <c r="D704">
        <v>325.661098945866</v>
      </c>
      <c r="E704">
        <v>30.9691132996665</v>
      </c>
      <c r="F704">
        <v>540</v>
      </c>
    </row>
    <row r="705" spans="1:6" x14ac:dyDescent="0.25">
      <c r="A705">
        <v>18059</v>
      </c>
      <c r="B705" t="s">
        <v>35</v>
      </c>
      <c r="C705">
        <v>7</v>
      </c>
      <c r="D705">
        <v>287.41084615568201</v>
      </c>
      <c r="E705">
        <v>27.182920764597501</v>
      </c>
      <c r="F705">
        <v>540</v>
      </c>
    </row>
    <row r="706" spans="1:6" x14ac:dyDescent="0.25">
      <c r="A706">
        <v>18059</v>
      </c>
      <c r="B706" t="s">
        <v>35</v>
      </c>
      <c r="C706">
        <v>8</v>
      </c>
      <c r="D706">
        <v>228.821943721987</v>
      </c>
      <c r="E706">
        <v>22.425909630793001</v>
      </c>
      <c r="F706">
        <v>540</v>
      </c>
    </row>
    <row r="707" spans="1:6" x14ac:dyDescent="0.25">
      <c r="A707">
        <v>18059</v>
      </c>
      <c r="B707" t="s">
        <v>35</v>
      </c>
      <c r="C707">
        <v>9</v>
      </c>
      <c r="D707">
        <v>184.455533759769</v>
      </c>
      <c r="E707">
        <v>18.542635235850401</v>
      </c>
      <c r="F707">
        <v>540</v>
      </c>
    </row>
    <row r="708" spans="1:6" x14ac:dyDescent="0.25">
      <c r="A708">
        <v>18059</v>
      </c>
      <c r="B708" t="s">
        <v>35</v>
      </c>
      <c r="C708">
        <v>10</v>
      </c>
      <c r="D708">
        <v>152.66122465117701</v>
      </c>
      <c r="E708">
        <v>15.872884089327499</v>
      </c>
      <c r="F708">
        <v>540</v>
      </c>
    </row>
    <row r="709" spans="1:6" x14ac:dyDescent="0.25">
      <c r="A709">
        <v>18059</v>
      </c>
      <c r="B709" t="s">
        <v>35</v>
      </c>
      <c r="C709">
        <v>11</v>
      </c>
      <c r="D709">
        <v>141.98222006508499</v>
      </c>
      <c r="E709">
        <v>12.3293962039424</v>
      </c>
      <c r="F709">
        <v>540</v>
      </c>
    </row>
    <row r="710" spans="1:6" x14ac:dyDescent="0.25">
      <c r="A710">
        <v>18059</v>
      </c>
      <c r="B710" t="s">
        <v>35</v>
      </c>
      <c r="C710">
        <v>12</v>
      </c>
      <c r="D710">
        <v>136.739799631913</v>
      </c>
      <c r="E710">
        <v>9.1742357580516796</v>
      </c>
      <c r="F710">
        <v>540</v>
      </c>
    </row>
    <row r="711" spans="1:6" x14ac:dyDescent="0.25">
      <c r="A711">
        <v>18059</v>
      </c>
      <c r="B711" t="s">
        <v>35</v>
      </c>
      <c r="C711">
        <v>13</v>
      </c>
      <c r="D711">
        <v>132.953607096844</v>
      </c>
      <c r="E711">
        <v>5.1938795032355998</v>
      </c>
      <c r="F711">
        <v>540</v>
      </c>
    </row>
    <row r="712" spans="1:6" x14ac:dyDescent="0.25">
      <c r="A712">
        <v>18059</v>
      </c>
      <c r="B712" t="s">
        <v>35</v>
      </c>
      <c r="C712">
        <v>14</v>
      </c>
      <c r="D712">
        <v>133.778802905769</v>
      </c>
      <c r="E712">
        <v>7.0384348408333004</v>
      </c>
      <c r="F712">
        <v>540</v>
      </c>
    </row>
    <row r="713" spans="1:6" x14ac:dyDescent="0.25">
      <c r="A713">
        <v>18059</v>
      </c>
      <c r="B713" t="s">
        <v>35</v>
      </c>
      <c r="C713">
        <v>15</v>
      </c>
      <c r="D713">
        <v>140.18620565742401</v>
      </c>
      <c r="E713">
        <v>6.9898939108965203</v>
      </c>
      <c r="F713">
        <v>540</v>
      </c>
    </row>
    <row r="714" spans="1:6" x14ac:dyDescent="0.25">
      <c r="A714">
        <v>18059</v>
      </c>
      <c r="B714" t="s">
        <v>35</v>
      </c>
      <c r="C714">
        <v>16</v>
      </c>
      <c r="D714">
        <v>151.83602884225201</v>
      </c>
      <c r="E714">
        <v>6.9413529809597403</v>
      </c>
      <c r="F714">
        <v>540</v>
      </c>
    </row>
    <row r="715" spans="1:6" x14ac:dyDescent="0.25">
      <c r="A715">
        <v>18059</v>
      </c>
      <c r="B715" t="s">
        <v>35</v>
      </c>
      <c r="C715">
        <v>17</v>
      </c>
      <c r="D715">
        <v>173.72798824373999</v>
      </c>
      <c r="E715">
        <v>7.6694669300114597</v>
      </c>
      <c r="F715">
        <v>540</v>
      </c>
    </row>
    <row r="716" spans="1:6" x14ac:dyDescent="0.25">
      <c r="A716">
        <v>18059</v>
      </c>
      <c r="B716" t="s">
        <v>35</v>
      </c>
      <c r="C716">
        <v>18</v>
      </c>
      <c r="D716">
        <v>198.095535072004</v>
      </c>
      <c r="E716">
        <v>6.9898939108965203</v>
      </c>
      <c r="F716">
        <v>540</v>
      </c>
    </row>
    <row r="717" spans="1:6" x14ac:dyDescent="0.25">
      <c r="A717">
        <v>18059</v>
      </c>
      <c r="B717" t="s">
        <v>35</v>
      </c>
      <c r="C717">
        <v>19</v>
      </c>
      <c r="D717">
        <v>228.23945256274601</v>
      </c>
      <c r="E717">
        <v>7.4753032102643298</v>
      </c>
      <c r="F717">
        <v>540</v>
      </c>
    </row>
    <row r="718" spans="1:6" x14ac:dyDescent="0.25">
      <c r="A718">
        <v>18059</v>
      </c>
      <c r="B718" t="s">
        <v>35</v>
      </c>
      <c r="C718">
        <v>20</v>
      </c>
      <c r="D718">
        <v>264.25682257583702</v>
      </c>
      <c r="E718">
        <v>10.0965134268505</v>
      </c>
      <c r="F718">
        <v>540</v>
      </c>
    </row>
    <row r="719" spans="1:6" x14ac:dyDescent="0.25">
      <c r="A719">
        <v>18059</v>
      </c>
      <c r="B719" t="s">
        <v>35</v>
      </c>
      <c r="C719">
        <v>21</v>
      </c>
      <c r="D719">
        <v>301.19647025772798</v>
      </c>
      <c r="E719">
        <v>13.1060510829309</v>
      </c>
      <c r="F719">
        <v>540</v>
      </c>
    </row>
    <row r="720" spans="1:6" x14ac:dyDescent="0.25">
      <c r="A720">
        <v>18059</v>
      </c>
      <c r="B720" t="s">
        <v>35</v>
      </c>
      <c r="C720">
        <v>22</v>
      </c>
      <c r="D720">
        <v>328.96188218156698</v>
      </c>
      <c r="E720">
        <v>17.620357567051599</v>
      </c>
      <c r="F720">
        <v>540</v>
      </c>
    </row>
    <row r="721" spans="1:6" x14ac:dyDescent="0.25">
      <c r="A721">
        <v>18059</v>
      </c>
      <c r="B721" t="s">
        <v>35</v>
      </c>
      <c r="C721">
        <v>23</v>
      </c>
      <c r="D721">
        <v>349.83448205438299</v>
      </c>
      <c r="E721">
        <v>22.7656961403504</v>
      </c>
      <c r="F721">
        <v>540</v>
      </c>
    </row>
    <row r="722" spans="1:6" x14ac:dyDescent="0.25">
      <c r="A722">
        <v>18061</v>
      </c>
      <c r="B722" t="s">
        <v>36</v>
      </c>
      <c r="C722">
        <v>0</v>
      </c>
      <c r="D722">
        <v>0</v>
      </c>
      <c r="E722">
        <v>2.8536242683575299</v>
      </c>
      <c r="F722">
        <v>0</v>
      </c>
    </row>
    <row r="723" spans="1:6" x14ac:dyDescent="0.25">
      <c r="A723">
        <v>18061</v>
      </c>
      <c r="B723" t="s">
        <v>36</v>
      </c>
      <c r="C723">
        <v>1</v>
      </c>
      <c r="D723">
        <v>0</v>
      </c>
      <c r="E723">
        <v>3.3835830610525002</v>
      </c>
      <c r="F723">
        <v>0</v>
      </c>
    </row>
    <row r="724" spans="1:6" x14ac:dyDescent="0.25">
      <c r="A724">
        <v>18061</v>
      </c>
      <c r="B724" t="s">
        <v>36</v>
      </c>
      <c r="C724">
        <v>2</v>
      </c>
      <c r="D724">
        <v>0</v>
      </c>
      <c r="E724">
        <v>3.5874133659351899</v>
      </c>
      <c r="F724">
        <v>0</v>
      </c>
    </row>
    <row r="725" spans="1:6" x14ac:dyDescent="0.25">
      <c r="A725">
        <v>18061</v>
      </c>
      <c r="B725" t="s">
        <v>36</v>
      </c>
      <c r="C725">
        <v>3</v>
      </c>
      <c r="D725">
        <v>0</v>
      </c>
      <c r="E725">
        <v>3.6689454878882599</v>
      </c>
      <c r="F725">
        <v>0</v>
      </c>
    </row>
    <row r="726" spans="1:6" x14ac:dyDescent="0.25">
      <c r="A726">
        <v>18061</v>
      </c>
      <c r="B726" t="s">
        <v>36</v>
      </c>
      <c r="C726">
        <v>4</v>
      </c>
      <c r="D726">
        <v>0</v>
      </c>
      <c r="E726">
        <v>3.46511518300558</v>
      </c>
      <c r="F726">
        <v>0</v>
      </c>
    </row>
    <row r="727" spans="1:6" x14ac:dyDescent="0.25">
      <c r="A727">
        <v>18061</v>
      </c>
      <c r="B727" t="s">
        <v>36</v>
      </c>
      <c r="C727">
        <v>5</v>
      </c>
      <c r="D727">
        <v>0</v>
      </c>
      <c r="E727">
        <v>5.5441842928089198</v>
      </c>
      <c r="F727">
        <v>0</v>
      </c>
    </row>
    <row r="728" spans="1:6" x14ac:dyDescent="0.25">
      <c r="A728">
        <v>18061</v>
      </c>
      <c r="B728" t="s">
        <v>36</v>
      </c>
      <c r="C728">
        <v>6</v>
      </c>
      <c r="D728">
        <v>0</v>
      </c>
      <c r="E728">
        <v>7.01176248796423</v>
      </c>
      <c r="F728">
        <v>0</v>
      </c>
    </row>
    <row r="729" spans="1:6" x14ac:dyDescent="0.25">
      <c r="A729">
        <v>18061</v>
      </c>
      <c r="B729" t="s">
        <v>36</v>
      </c>
      <c r="C729">
        <v>7</v>
      </c>
      <c r="D729">
        <v>0</v>
      </c>
      <c r="E729">
        <v>6.1556752074569703</v>
      </c>
      <c r="F729">
        <v>0</v>
      </c>
    </row>
    <row r="730" spans="1:6" x14ac:dyDescent="0.25">
      <c r="A730">
        <v>18061</v>
      </c>
      <c r="B730" t="s">
        <v>36</v>
      </c>
      <c r="C730">
        <v>8</v>
      </c>
      <c r="D730">
        <v>0</v>
      </c>
      <c r="E730">
        <v>6.4410376342927202</v>
      </c>
      <c r="F730">
        <v>0</v>
      </c>
    </row>
    <row r="731" spans="1:6" x14ac:dyDescent="0.25">
      <c r="A731">
        <v>18061</v>
      </c>
      <c r="B731" t="s">
        <v>36</v>
      </c>
      <c r="C731">
        <v>9</v>
      </c>
      <c r="D731">
        <v>0</v>
      </c>
      <c r="E731">
        <v>4.9326933781608799</v>
      </c>
      <c r="F731">
        <v>0</v>
      </c>
    </row>
    <row r="732" spans="1:6" x14ac:dyDescent="0.25">
      <c r="A732">
        <v>18061</v>
      </c>
      <c r="B732" t="s">
        <v>36</v>
      </c>
      <c r="C732">
        <v>10</v>
      </c>
      <c r="D732">
        <v>0</v>
      </c>
      <c r="E732">
        <v>3.1389866951932901</v>
      </c>
      <c r="F732">
        <v>0</v>
      </c>
    </row>
    <row r="733" spans="1:6" x14ac:dyDescent="0.25">
      <c r="A733">
        <v>18061</v>
      </c>
      <c r="B733" t="s">
        <v>36</v>
      </c>
      <c r="C733">
        <v>11</v>
      </c>
      <c r="D733">
        <v>0</v>
      </c>
      <c r="E733">
        <v>3.3020509390994301</v>
      </c>
      <c r="F733">
        <v>0</v>
      </c>
    </row>
    <row r="734" spans="1:6" x14ac:dyDescent="0.25">
      <c r="A734">
        <v>18061</v>
      </c>
      <c r="B734" t="s">
        <v>36</v>
      </c>
      <c r="C734">
        <v>12</v>
      </c>
      <c r="D734">
        <v>0</v>
      </c>
      <c r="E734">
        <v>3.0574545732402099</v>
      </c>
      <c r="F734">
        <v>0</v>
      </c>
    </row>
    <row r="735" spans="1:6" x14ac:dyDescent="0.25">
      <c r="A735">
        <v>18061</v>
      </c>
      <c r="B735" t="s">
        <v>36</v>
      </c>
      <c r="C735">
        <v>13</v>
      </c>
      <c r="D735">
        <v>0</v>
      </c>
      <c r="E735">
        <v>2.52749578054524</v>
      </c>
      <c r="F735">
        <v>0</v>
      </c>
    </row>
    <row r="736" spans="1:6" x14ac:dyDescent="0.25">
      <c r="A736">
        <v>18061</v>
      </c>
      <c r="B736" t="s">
        <v>36</v>
      </c>
      <c r="C736">
        <v>14</v>
      </c>
      <c r="D736">
        <v>0</v>
      </c>
      <c r="E736">
        <v>1.71217456101452</v>
      </c>
      <c r="F736">
        <v>0</v>
      </c>
    </row>
    <row r="737" spans="1:6" x14ac:dyDescent="0.25">
      <c r="A737">
        <v>18061</v>
      </c>
      <c r="B737" t="s">
        <v>36</v>
      </c>
      <c r="C737">
        <v>15</v>
      </c>
      <c r="D737">
        <v>0</v>
      </c>
      <c r="E737">
        <v>1.0599175853899401</v>
      </c>
      <c r="F737">
        <v>0</v>
      </c>
    </row>
    <row r="738" spans="1:6" x14ac:dyDescent="0.25">
      <c r="A738">
        <v>18061</v>
      </c>
      <c r="B738" t="s">
        <v>36</v>
      </c>
      <c r="C738">
        <v>16</v>
      </c>
      <c r="D738">
        <v>0</v>
      </c>
      <c r="E738">
        <v>1.18221576831955</v>
      </c>
      <c r="F738">
        <v>0</v>
      </c>
    </row>
    <row r="739" spans="1:6" x14ac:dyDescent="0.25">
      <c r="A739">
        <v>18061</v>
      </c>
      <c r="B739" t="s">
        <v>36</v>
      </c>
      <c r="C739">
        <v>17</v>
      </c>
      <c r="D739">
        <v>0</v>
      </c>
      <c r="E739">
        <v>1.2229818292960799</v>
      </c>
      <c r="F739">
        <v>0</v>
      </c>
    </row>
    <row r="740" spans="1:6" x14ac:dyDescent="0.25">
      <c r="A740">
        <v>18061</v>
      </c>
      <c r="B740" t="s">
        <v>36</v>
      </c>
      <c r="C740">
        <v>18</v>
      </c>
      <c r="D740">
        <v>0</v>
      </c>
      <c r="E740">
        <v>2.6090279024983198</v>
      </c>
      <c r="F740">
        <v>0</v>
      </c>
    </row>
    <row r="741" spans="1:6" x14ac:dyDescent="0.25">
      <c r="A741">
        <v>18061</v>
      </c>
      <c r="B741" t="s">
        <v>36</v>
      </c>
      <c r="C741">
        <v>19</v>
      </c>
      <c r="D741">
        <v>0</v>
      </c>
      <c r="E741">
        <v>2.5682618415217799</v>
      </c>
      <c r="F741">
        <v>0</v>
      </c>
    </row>
    <row r="742" spans="1:6" x14ac:dyDescent="0.25">
      <c r="A742">
        <v>18061</v>
      </c>
      <c r="B742" t="s">
        <v>36</v>
      </c>
      <c r="C742">
        <v>20</v>
      </c>
      <c r="D742">
        <v>0</v>
      </c>
      <c r="E742">
        <v>1.9567709268737301</v>
      </c>
      <c r="F742">
        <v>0</v>
      </c>
    </row>
    <row r="743" spans="1:6" x14ac:dyDescent="0.25">
      <c r="A743">
        <v>18061</v>
      </c>
      <c r="B743" t="s">
        <v>36</v>
      </c>
      <c r="C743">
        <v>21</v>
      </c>
      <c r="D743">
        <v>0</v>
      </c>
      <c r="E743">
        <v>2.4051975976156301</v>
      </c>
      <c r="F743">
        <v>0</v>
      </c>
    </row>
    <row r="744" spans="1:6" x14ac:dyDescent="0.25">
      <c r="A744">
        <v>18061</v>
      </c>
      <c r="B744" t="s">
        <v>36</v>
      </c>
      <c r="C744">
        <v>22</v>
      </c>
      <c r="D744">
        <v>0</v>
      </c>
      <c r="E744">
        <v>2.52749578054524</v>
      </c>
      <c r="F744">
        <v>0</v>
      </c>
    </row>
    <row r="745" spans="1:6" x14ac:dyDescent="0.25">
      <c r="A745">
        <v>18061</v>
      </c>
      <c r="B745" t="s">
        <v>36</v>
      </c>
      <c r="C745">
        <v>23</v>
      </c>
      <c r="D745">
        <v>0</v>
      </c>
      <c r="E745">
        <v>2.6090279024983198</v>
      </c>
      <c r="F745">
        <v>0</v>
      </c>
    </row>
    <row r="746" spans="1:6" x14ac:dyDescent="0.25">
      <c r="A746">
        <v>18063</v>
      </c>
      <c r="B746" t="s">
        <v>37</v>
      </c>
      <c r="C746">
        <v>0</v>
      </c>
      <c r="D746">
        <v>455.63177318512999</v>
      </c>
      <c r="E746">
        <v>41.467381861884597</v>
      </c>
      <c r="F746">
        <v>409</v>
      </c>
    </row>
    <row r="747" spans="1:6" x14ac:dyDescent="0.25">
      <c r="A747">
        <v>18063</v>
      </c>
      <c r="B747" t="s">
        <v>37</v>
      </c>
      <c r="C747">
        <v>1</v>
      </c>
      <c r="D747">
        <v>458.38268058137299</v>
      </c>
      <c r="E747">
        <v>46.3069411700898</v>
      </c>
      <c r="F747">
        <v>409</v>
      </c>
    </row>
    <row r="748" spans="1:6" x14ac:dyDescent="0.25">
      <c r="A748">
        <v>18063</v>
      </c>
      <c r="B748" t="s">
        <v>37</v>
      </c>
      <c r="C748">
        <v>2</v>
      </c>
      <c r="D748">
        <v>459.60530609081502</v>
      </c>
      <c r="E748">
        <v>48.293707622931997</v>
      </c>
      <c r="F748">
        <v>409</v>
      </c>
    </row>
    <row r="749" spans="1:6" x14ac:dyDescent="0.25">
      <c r="A749">
        <v>18063</v>
      </c>
      <c r="B749" t="s">
        <v>37</v>
      </c>
      <c r="C749">
        <v>3</v>
      </c>
      <c r="D749">
        <v>458.433623310933</v>
      </c>
      <c r="E749">
        <v>49.4144476732532</v>
      </c>
      <c r="F749">
        <v>409</v>
      </c>
    </row>
    <row r="750" spans="1:6" x14ac:dyDescent="0.25">
      <c r="A750">
        <v>18063</v>
      </c>
      <c r="B750" t="s">
        <v>37</v>
      </c>
      <c r="C750">
        <v>4</v>
      </c>
      <c r="D750">
        <v>442.94703352467701</v>
      </c>
      <c r="E750">
        <v>48.4974785411722</v>
      </c>
      <c r="F750">
        <v>409</v>
      </c>
    </row>
    <row r="751" spans="1:6" x14ac:dyDescent="0.25">
      <c r="A751">
        <v>18063</v>
      </c>
      <c r="B751" t="s">
        <v>37</v>
      </c>
      <c r="C751">
        <v>5</v>
      </c>
      <c r="D751">
        <v>418.44358060629003</v>
      </c>
      <c r="E751">
        <v>48.905020377652598</v>
      </c>
      <c r="F751">
        <v>409</v>
      </c>
    </row>
    <row r="752" spans="1:6" x14ac:dyDescent="0.25">
      <c r="A752">
        <v>18063</v>
      </c>
      <c r="B752" t="s">
        <v>37</v>
      </c>
      <c r="C752">
        <v>6</v>
      </c>
      <c r="D752">
        <v>377.02714147396603</v>
      </c>
      <c r="E752">
        <v>47.631452138651298</v>
      </c>
      <c r="F752">
        <v>409</v>
      </c>
    </row>
    <row r="753" spans="1:6" x14ac:dyDescent="0.25">
      <c r="A753">
        <v>18063</v>
      </c>
      <c r="B753" t="s">
        <v>37</v>
      </c>
      <c r="C753">
        <v>7</v>
      </c>
      <c r="D753">
        <v>325.11650005227</v>
      </c>
      <c r="E753">
        <v>41.0088972958441</v>
      </c>
      <c r="F753">
        <v>409</v>
      </c>
    </row>
    <row r="754" spans="1:6" x14ac:dyDescent="0.25">
      <c r="A754">
        <v>18063</v>
      </c>
      <c r="B754" t="s">
        <v>37</v>
      </c>
      <c r="C754">
        <v>8</v>
      </c>
      <c r="D754">
        <v>289.40564663067101</v>
      </c>
      <c r="E754">
        <v>33.061831484475597</v>
      </c>
      <c r="F754">
        <v>409</v>
      </c>
    </row>
    <row r="755" spans="1:6" x14ac:dyDescent="0.25">
      <c r="A755">
        <v>18063</v>
      </c>
      <c r="B755" t="s">
        <v>37</v>
      </c>
      <c r="C755">
        <v>9</v>
      </c>
      <c r="D755">
        <v>268.21347113368898</v>
      </c>
      <c r="E755">
        <v>26.5921048303486</v>
      </c>
      <c r="F755">
        <v>409</v>
      </c>
    </row>
    <row r="756" spans="1:6" x14ac:dyDescent="0.25">
      <c r="A756">
        <v>18063</v>
      </c>
      <c r="B756" t="s">
        <v>37</v>
      </c>
      <c r="C756">
        <v>10</v>
      </c>
      <c r="D756">
        <v>258.94189435375898</v>
      </c>
      <c r="E756">
        <v>19.154466314580599</v>
      </c>
      <c r="F756">
        <v>409</v>
      </c>
    </row>
    <row r="757" spans="1:6" x14ac:dyDescent="0.25">
      <c r="A757">
        <v>18063</v>
      </c>
      <c r="B757" t="s">
        <v>37</v>
      </c>
      <c r="C757">
        <v>11</v>
      </c>
      <c r="D757">
        <v>255.93627330971501</v>
      </c>
      <c r="E757">
        <v>11.7168277988126</v>
      </c>
      <c r="F757">
        <v>409</v>
      </c>
    </row>
    <row r="758" spans="1:6" x14ac:dyDescent="0.25">
      <c r="A758">
        <v>18063</v>
      </c>
      <c r="B758" t="s">
        <v>37</v>
      </c>
      <c r="C758">
        <v>12</v>
      </c>
      <c r="D758">
        <v>259.85886348583898</v>
      </c>
      <c r="E758">
        <v>10.392316830251101</v>
      </c>
      <c r="F758">
        <v>409</v>
      </c>
    </row>
    <row r="759" spans="1:6" x14ac:dyDescent="0.25">
      <c r="A759">
        <v>18063</v>
      </c>
      <c r="B759" t="s">
        <v>37</v>
      </c>
      <c r="C759">
        <v>13</v>
      </c>
      <c r="D759">
        <v>266.379532869527</v>
      </c>
      <c r="E759">
        <v>9.6281758868503697</v>
      </c>
      <c r="F759">
        <v>409</v>
      </c>
    </row>
    <row r="760" spans="1:6" x14ac:dyDescent="0.25">
      <c r="A760">
        <v>18063</v>
      </c>
      <c r="B760" t="s">
        <v>37</v>
      </c>
      <c r="C760">
        <v>14</v>
      </c>
      <c r="D760">
        <v>276.66996424065798</v>
      </c>
      <c r="E760">
        <v>11.156457773652001</v>
      </c>
      <c r="F760">
        <v>409</v>
      </c>
    </row>
    <row r="761" spans="1:6" x14ac:dyDescent="0.25">
      <c r="A761">
        <v>18063</v>
      </c>
      <c r="B761" t="s">
        <v>37</v>
      </c>
      <c r="C761">
        <v>15</v>
      </c>
      <c r="D761">
        <v>296.79234241687902</v>
      </c>
      <c r="E761">
        <v>9.9338322642107002</v>
      </c>
      <c r="F761">
        <v>409</v>
      </c>
    </row>
    <row r="762" spans="1:6" x14ac:dyDescent="0.25">
      <c r="A762">
        <v>18063</v>
      </c>
      <c r="B762" t="s">
        <v>37</v>
      </c>
      <c r="C762">
        <v>16</v>
      </c>
      <c r="D762">
        <v>322.467478115147</v>
      </c>
      <c r="E762">
        <v>7.4376385157680103</v>
      </c>
      <c r="F762">
        <v>409</v>
      </c>
    </row>
    <row r="763" spans="1:6" x14ac:dyDescent="0.25">
      <c r="A763">
        <v>18063</v>
      </c>
      <c r="B763" t="s">
        <v>37</v>
      </c>
      <c r="C763">
        <v>17</v>
      </c>
      <c r="D763">
        <v>356.34439327258298</v>
      </c>
      <c r="E763">
        <v>7.3866957862079499</v>
      </c>
      <c r="F763">
        <v>409</v>
      </c>
    </row>
    <row r="764" spans="1:6" x14ac:dyDescent="0.25">
      <c r="A764">
        <v>18063</v>
      </c>
      <c r="B764" t="s">
        <v>37</v>
      </c>
      <c r="C764">
        <v>18</v>
      </c>
      <c r="D764">
        <v>384.92326455577398</v>
      </c>
      <c r="E764">
        <v>6.5716121132470802</v>
      </c>
      <c r="F764">
        <v>409</v>
      </c>
    </row>
    <row r="765" spans="1:6" x14ac:dyDescent="0.25">
      <c r="A765">
        <v>18063</v>
      </c>
      <c r="B765" t="s">
        <v>37</v>
      </c>
      <c r="C765">
        <v>19</v>
      </c>
      <c r="D765">
        <v>406.573924618798</v>
      </c>
      <c r="E765">
        <v>9.3734622390500899</v>
      </c>
      <c r="F765">
        <v>409</v>
      </c>
    </row>
    <row r="766" spans="1:6" x14ac:dyDescent="0.25">
      <c r="A766">
        <v>18063</v>
      </c>
      <c r="B766" t="s">
        <v>37</v>
      </c>
      <c r="C766">
        <v>20</v>
      </c>
      <c r="D766">
        <v>429.14155381390202</v>
      </c>
      <c r="E766">
        <v>15.843188893177</v>
      </c>
      <c r="F766">
        <v>409</v>
      </c>
    </row>
    <row r="767" spans="1:6" x14ac:dyDescent="0.25">
      <c r="A767">
        <v>18063</v>
      </c>
      <c r="B767" t="s">
        <v>37</v>
      </c>
      <c r="C767">
        <v>21</v>
      </c>
      <c r="D767">
        <v>442.69231987687601</v>
      </c>
      <c r="E767">
        <v>21.2940609561029</v>
      </c>
      <c r="F767">
        <v>409</v>
      </c>
    </row>
    <row r="768" spans="1:6" x14ac:dyDescent="0.25">
      <c r="A768">
        <v>18063</v>
      </c>
      <c r="B768" t="s">
        <v>37</v>
      </c>
      <c r="C768">
        <v>22</v>
      </c>
      <c r="D768">
        <v>451.91295392724601</v>
      </c>
      <c r="E768">
        <v>28.1203867171502</v>
      </c>
      <c r="F768">
        <v>409</v>
      </c>
    </row>
    <row r="769" spans="1:6" x14ac:dyDescent="0.25">
      <c r="A769">
        <v>18063</v>
      </c>
      <c r="B769" t="s">
        <v>37</v>
      </c>
      <c r="C769">
        <v>23</v>
      </c>
      <c r="D769">
        <v>450.89409933604497</v>
      </c>
      <c r="E769">
        <v>35.201426125997898</v>
      </c>
      <c r="F769">
        <v>409</v>
      </c>
    </row>
    <row r="770" spans="1:6" x14ac:dyDescent="0.25">
      <c r="A770">
        <v>18065</v>
      </c>
      <c r="B770" t="s">
        <v>38</v>
      </c>
      <c r="C770">
        <v>0</v>
      </c>
      <c r="D770">
        <v>411.39417906487103</v>
      </c>
      <c r="E770">
        <v>4.9242898376097504</v>
      </c>
      <c r="F770">
        <v>449</v>
      </c>
    </row>
    <row r="771" spans="1:6" x14ac:dyDescent="0.25">
      <c r="A771">
        <v>18065</v>
      </c>
      <c r="B771" t="s">
        <v>38</v>
      </c>
      <c r="C771">
        <v>1</v>
      </c>
      <c r="D771">
        <v>413.38117320987101</v>
      </c>
      <c r="E771">
        <v>5.0538764122836897</v>
      </c>
      <c r="F771">
        <v>449</v>
      </c>
    </row>
    <row r="772" spans="1:6" x14ac:dyDescent="0.25">
      <c r="A772">
        <v>18065</v>
      </c>
      <c r="B772" t="s">
        <v>38</v>
      </c>
      <c r="C772">
        <v>2</v>
      </c>
      <c r="D772">
        <v>410.09831331813098</v>
      </c>
      <c r="E772">
        <v>5.5290271860881397</v>
      </c>
      <c r="F772">
        <v>449</v>
      </c>
    </row>
    <row r="773" spans="1:6" x14ac:dyDescent="0.25">
      <c r="A773">
        <v>18065</v>
      </c>
      <c r="B773" t="s">
        <v>38</v>
      </c>
      <c r="C773">
        <v>3</v>
      </c>
      <c r="D773">
        <v>400.16334259312902</v>
      </c>
      <c r="E773">
        <v>6.0905690096752201</v>
      </c>
      <c r="F773">
        <v>449</v>
      </c>
    </row>
    <row r="774" spans="1:6" x14ac:dyDescent="0.25">
      <c r="A774">
        <v>18065</v>
      </c>
      <c r="B774" t="s">
        <v>38</v>
      </c>
      <c r="C774">
        <v>4</v>
      </c>
      <c r="D774">
        <v>383.31708788551703</v>
      </c>
      <c r="E774">
        <v>6.60891530837098</v>
      </c>
      <c r="F774">
        <v>449</v>
      </c>
    </row>
    <row r="775" spans="1:6" x14ac:dyDescent="0.25">
      <c r="A775">
        <v>18065</v>
      </c>
      <c r="B775" t="s">
        <v>38</v>
      </c>
      <c r="C775">
        <v>5</v>
      </c>
      <c r="D775">
        <v>360.85541494203397</v>
      </c>
      <c r="E775">
        <v>6.7816974079362398</v>
      </c>
      <c r="F775">
        <v>449</v>
      </c>
    </row>
    <row r="776" spans="1:6" x14ac:dyDescent="0.25">
      <c r="A776">
        <v>18065</v>
      </c>
      <c r="B776" t="s">
        <v>38</v>
      </c>
      <c r="C776">
        <v>6</v>
      </c>
      <c r="D776">
        <v>330.18659226920101</v>
      </c>
      <c r="E776">
        <v>7.7751944804364497</v>
      </c>
      <c r="F776">
        <v>449</v>
      </c>
    </row>
    <row r="777" spans="1:6" x14ac:dyDescent="0.25">
      <c r="A777">
        <v>18065</v>
      </c>
      <c r="B777" t="s">
        <v>38</v>
      </c>
      <c r="C777">
        <v>7</v>
      </c>
      <c r="D777">
        <v>282.45553726429898</v>
      </c>
      <c r="E777">
        <v>9.1142557520671694</v>
      </c>
      <c r="F777">
        <v>449</v>
      </c>
    </row>
    <row r="778" spans="1:6" x14ac:dyDescent="0.25">
      <c r="A778">
        <v>18065</v>
      </c>
      <c r="B778" t="s">
        <v>38</v>
      </c>
      <c r="C778">
        <v>8</v>
      </c>
      <c r="D778">
        <v>231.05286264363599</v>
      </c>
      <c r="E778">
        <v>10.064557299676</v>
      </c>
      <c r="F778">
        <v>449</v>
      </c>
    </row>
    <row r="779" spans="1:6" x14ac:dyDescent="0.25">
      <c r="A779">
        <v>18065</v>
      </c>
      <c r="B779" t="s">
        <v>38</v>
      </c>
      <c r="C779">
        <v>9</v>
      </c>
      <c r="D779">
        <v>201.463928093086</v>
      </c>
      <c r="E779">
        <v>9.5030154760890007</v>
      </c>
      <c r="F779">
        <v>449</v>
      </c>
    </row>
    <row r="780" spans="1:6" x14ac:dyDescent="0.25">
      <c r="A780">
        <v>18065</v>
      </c>
      <c r="B780" t="s">
        <v>38</v>
      </c>
      <c r="C780">
        <v>10</v>
      </c>
      <c r="D780">
        <v>184.228913661452</v>
      </c>
      <c r="E780">
        <v>8.9414736525019194</v>
      </c>
      <c r="F780">
        <v>449</v>
      </c>
    </row>
    <row r="781" spans="1:6" x14ac:dyDescent="0.25">
      <c r="A781">
        <v>18065</v>
      </c>
      <c r="B781" t="s">
        <v>38</v>
      </c>
      <c r="C781">
        <v>11</v>
      </c>
      <c r="D781">
        <v>180.55729404569101</v>
      </c>
      <c r="E781">
        <v>6.7385018830449201</v>
      </c>
      <c r="F781">
        <v>449</v>
      </c>
    </row>
    <row r="782" spans="1:6" x14ac:dyDescent="0.25">
      <c r="A782">
        <v>18065</v>
      </c>
      <c r="B782" t="s">
        <v>38</v>
      </c>
      <c r="C782">
        <v>12</v>
      </c>
      <c r="D782">
        <v>179.002255149603</v>
      </c>
      <c r="E782">
        <v>5.7882003354360201</v>
      </c>
      <c r="F782">
        <v>449</v>
      </c>
    </row>
    <row r="783" spans="1:6" x14ac:dyDescent="0.25">
      <c r="A783">
        <v>18065</v>
      </c>
      <c r="B783" t="s">
        <v>38</v>
      </c>
      <c r="C783">
        <v>13</v>
      </c>
      <c r="D783">
        <v>182.069137416887</v>
      </c>
      <c r="E783">
        <v>4.1899659144574199</v>
      </c>
      <c r="F783">
        <v>449</v>
      </c>
    </row>
    <row r="784" spans="1:6" x14ac:dyDescent="0.25">
      <c r="A784">
        <v>18065</v>
      </c>
      <c r="B784" t="s">
        <v>38</v>
      </c>
      <c r="C784">
        <v>14</v>
      </c>
      <c r="D784">
        <v>195.934900906998</v>
      </c>
      <c r="E784">
        <v>3.8444017153269101</v>
      </c>
      <c r="F784">
        <v>449</v>
      </c>
    </row>
    <row r="785" spans="1:6" x14ac:dyDescent="0.25">
      <c r="A785">
        <v>18065</v>
      </c>
      <c r="B785" t="s">
        <v>38</v>
      </c>
      <c r="C785">
        <v>15</v>
      </c>
      <c r="D785">
        <v>214.16341241113301</v>
      </c>
      <c r="E785">
        <v>2.8509046428267002</v>
      </c>
      <c r="F785">
        <v>449</v>
      </c>
    </row>
    <row r="786" spans="1:6" x14ac:dyDescent="0.25">
      <c r="A786">
        <v>18065</v>
      </c>
      <c r="B786" t="s">
        <v>38</v>
      </c>
      <c r="C786">
        <v>16</v>
      </c>
      <c r="D786">
        <v>237.79136452668101</v>
      </c>
      <c r="E786">
        <v>3.1964688419571998</v>
      </c>
      <c r="F786">
        <v>449</v>
      </c>
    </row>
    <row r="787" spans="1:6" x14ac:dyDescent="0.25">
      <c r="A787">
        <v>18065</v>
      </c>
      <c r="B787" t="s">
        <v>38</v>
      </c>
      <c r="C787">
        <v>17</v>
      </c>
      <c r="D787">
        <v>267.46669012701398</v>
      </c>
      <c r="E787">
        <v>1.8574075703264801</v>
      </c>
      <c r="F787">
        <v>449</v>
      </c>
    </row>
    <row r="788" spans="1:6" x14ac:dyDescent="0.25">
      <c r="A788">
        <v>18065</v>
      </c>
      <c r="B788" t="s">
        <v>38</v>
      </c>
      <c r="C788">
        <v>18</v>
      </c>
      <c r="D788">
        <v>301.504763741369</v>
      </c>
      <c r="E788">
        <v>1.33906127163072</v>
      </c>
      <c r="F788">
        <v>449</v>
      </c>
    </row>
    <row r="789" spans="1:6" x14ac:dyDescent="0.25">
      <c r="A789">
        <v>18065</v>
      </c>
      <c r="B789" t="s">
        <v>38</v>
      </c>
      <c r="C789">
        <v>19</v>
      </c>
      <c r="D789">
        <v>330.31617884387498</v>
      </c>
      <c r="E789">
        <v>1.1230836471741501</v>
      </c>
      <c r="F789">
        <v>449</v>
      </c>
    </row>
    <row r="790" spans="1:6" x14ac:dyDescent="0.25">
      <c r="A790">
        <v>18065</v>
      </c>
      <c r="B790" t="s">
        <v>38</v>
      </c>
      <c r="C790">
        <v>20</v>
      </c>
      <c r="D790">
        <v>354.721650407467</v>
      </c>
      <c r="E790">
        <v>1.7710165205438499</v>
      </c>
      <c r="F790">
        <v>449</v>
      </c>
    </row>
    <row r="791" spans="1:6" x14ac:dyDescent="0.25">
      <c r="A791">
        <v>18065</v>
      </c>
      <c r="B791" t="s">
        <v>38</v>
      </c>
      <c r="C791">
        <v>21</v>
      </c>
      <c r="D791">
        <v>374.807569481928</v>
      </c>
      <c r="E791">
        <v>2.6781225432614399</v>
      </c>
      <c r="F791">
        <v>449</v>
      </c>
    </row>
    <row r="792" spans="1:6" x14ac:dyDescent="0.25">
      <c r="A792">
        <v>18065</v>
      </c>
      <c r="B792" t="s">
        <v>38</v>
      </c>
      <c r="C792">
        <v>22</v>
      </c>
      <c r="D792">
        <v>390.01239424366997</v>
      </c>
      <c r="E792">
        <v>2.9372956926093199</v>
      </c>
      <c r="F792">
        <v>449</v>
      </c>
    </row>
    <row r="793" spans="1:6" x14ac:dyDescent="0.25">
      <c r="A793">
        <v>18065</v>
      </c>
      <c r="B793" t="s">
        <v>38</v>
      </c>
      <c r="C793">
        <v>23</v>
      </c>
      <c r="D793">
        <v>401.50240386476003</v>
      </c>
      <c r="E793">
        <v>3.6716196157616499</v>
      </c>
      <c r="F793">
        <v>449</v>
      </c>
    </row>
    <row r="794" spans="1:6" x14ac:dyDescent="0.25">
      <c r="A794">
        <v>18067</v>
      </c>
      <c r="B794" t="s">
        <v>39</v>
      </c>
      <c r="C794">
        <v>0</v>
      </c>
      <c r="D794">
        <v>0</v>
      </c>
      <c r="E794">
        <v>1.6040069258760199</v>
      </c>
      <c r="F794">
        <v>0</v>
      </c>
    </row>
    <row r="795" spans="1:6" x14ac:dyDescent="0.25">
      <c r="A795">
        <v>18067</v>
      </c>
      <c r="B795" t="s">
        <v>39</v>
      </c>
      <c r="C795">
        <v>1</v>
      </c>
      <c r="D795">
        <v>0</v>
      </c>
      <c r="E795">
        <v>1.71462809317781</v>
      </c>
      <c r="F795">
        <v>0</v>
      </c>
    </row>
    <row r="796" spans="1:6" x14ac:dyDescent="0.25">
      <c r="A796">
        <v>18067</v>
      </c>
      <c r="B796" t="s">
        <v>39</v>
      </c>
      <c r="C796">
        <v>2</v>
      </c>
      <c r="D796">
        <v>0</v>
      </c>
      <c r="E796">
        <v>3.8164302719119099</v>
      </c>
      <c r="F796">
        <v>0</v>
      </c>
    </row>
    <row r="797" spans="1:6" x14ac:dyDescent="0.25">
      <c r="A797">
        <v>18067</v>
      </c>
      <c r="B797" t="s">
        <v>39</v>
      </c>
      <c r="C797">
        <v>3</v>
      </c>
      <c r="D797">
        <v>0</v>
      </c>
      <c r="E797">
        <v>4.8120207776280699</v>
      </c>
      <c r="F797">
        <v>0</v>
      </c>
    </row>
    <row r="798" spans="1:6" x14ac:dyDescent="0.25">
      <c r="A798">
        <v>18067</v>
      </c>
      <c r="B798" t="s">
        <v>39</v>
      </c>
      <c r="C798">
        <v>4</v>
      </c>
      <c r="D798">
        <v>0</v>
      </c>
      <c r="E798">
        <v>5.4204371977879404</v>
      </c>
      <c r="F798">
        <v>0</v>
      </c>
    </row>
    <row r="799" spans="1:6" x14ac:dyDescent="0.25">
      <c r="A799">
        <v>18067</v>
      </c>
      <c r="B799" t="s">
        <v>39</v>
      </c>
      <c r="C799">
        <v>5</v>
      </c>
      <c r="D799">
        <v>0</v>
      </c>
      <c r="E799">
        <v>6.6372700381076797</v>
      </c>
      <c r="F799">
        <v>0</v>
      </c>
    </row>
    <row r="800" spans="1:6" x14ac:dyDescent="0.25">
      <c r="A800">
        <v>18067</v>
      </c>
      <c r="B800" t="s">
        <v>39</v>
      </c>
      <c r="C800">
        <v>6</v>
      </c>
      <c r="D800">
        <v>0</v>
      </c>
      <c r="E800">
        <v>7.5775499601729397</v>
      </c>
      <c r="F800">
        <v>0</v>
      </c>
    </row>
    <row r="801" spans="1:6" x14ac:dyDescent="0.25">
      <c r="A801">
        <v>18067</v>
      </c>
      <c r="B801" t="s">
        <v>39</v>
      </c>
      <c r="C801">
        <v>7</v>
      </c>
      <c r="D801">
        <v>0</v>
      </c>
      <c r="E801">
        <v>7.79879229477653</v>
      </c>
      <c r="F801">
        <v>0</v>
      </c>
    </row>
    <row r="802" spans="1:6" x14ac:dyDescent="0.25">
      <c r="A802">
        <v>18067</v>
      </c>
      <c r="B802" t="s">
        <v>39</v>
      </c>
      <c r="C802">
        <v>8</v>
      </c>
      <c r="D802">
        <v>0</v>
      </c>
      <c r="E802">
        <v>7.9647240457292199</v>
      </c>
      <c r="F802">
        <v>0</v>
      </c>
    </row>
    <row r="803" spans="1:6" x14ac:dyDescent="0.25">
      <c r="A803">
        <v>18067</v>
      </c>
      <c r="B803" t="s">
        <v>39</v>
      </c>
      <c r="C803">
        <v>9</v>
      </c>
      <c r="D803">
        <v>0</v>
      </c>
      <c r="E803">
        <v>7.4116182092202401</v>
      </c>
      <c r="F803">
        <v>0</v>
      </c>
    </row>
    <row r="804" spans="1:6" x14ac:dyDescent="0.25">
      <c r="A804">
        <v>18067</v>
      </c>
      <c r="B804" t="s">
        <v>39</v>
      </c>
      <c r="C804">
        <v>10</v>
      </c>
      <c r="D804">
        <v>0</v>
      </c>
      <c r="E804">
        <v>6.7478912054094797</v>
      </c>
      <c r="F804">
        <v>0</v>
      </c>
    </row>
    <row r="805" spans="1:6" x14ac:dyDescent="0.25">
      <c r="A805">
        <v>18067</v>
      </c>
      <c r="B805" t="s">
        <v>39</v>
      </c>
      <c r="C805">
        <v>11</v>
      </c>
      <c r="D805">
        <v>0</v>
      </c>
      <c r="E805">
        <v>3.70580910461012</v>
      </c>
      <c r="F805">
        <v>0</v>
      </c>
    </row>
    <row r="806" spans="1:6" x14ac:dyDescent="0.25">
      <c r="A806">
        <v>18067</v>
      </c>
      <c r="B806" t="s">
        <v>39</v>
      </c>
      <c r="C806">
        <v>12</v>
      </c>
      <c r="D806">
        <v>0</v>
      </c>
      <c r="E806">
        <v>4.0376726065154998</v>
      </c>
      <c r="F806">
        <v>0</v>
      </c>
    </row>
    <row r="807" spans="1:6" x14ac:dyDescent="0.25">
      <c r="A807">
        <v>18067</v>
      </c>
      <c r="B807" t="s">
        <v>39</v>
      </c>
      <c r="C807">
        <v>13</v>
      </c>
      <c r="D807">
        <v>0</v>
      </c>
      <c r="E807">
        <v>3.9270514392137099</v>
      </c>
      <c r="F807">
        <v>0</v>
      </c>
    </row>
    <row r="808" spans="1:6" x14ac:dyDescent="0.25">
      <c r="A808">
        <v>18067</v>
      </c>
      <c r="B808" t="s">
        <v>39</v>
      </c>
      <c r="C808">
        <v>14</v>
      </c>
      <c r="D808">
        <v>0</v>
      </c>
      <c r="E808">
        <v>1.4933857585742201</v>
      </c>
      <c r="F808">
        <v>0</v>
      </c>
    </row>
    <row r="809" spans="1:6" x14ac:dyDescent="0.25">
      <c r="A809">
        <v>18067</v>
      </c>
      <c r="B809" t="s">
        <v>39</v>
      </c>
      <c r="C809">
        <v>15</v>
      </c>
      <c r="D809">
        <v>0</v>
      </c>
      <c r="E809">
        <v>1.6593175095269199</v>
      </c>
      <c r="F809">
        <v>0</v>
      </c>
    </row>
    <row r="810" spans="1:6" x14ac:dyDescent="0.25">
      <c r="A810">
        <v>18067</v>
      </c>
      <c r="B810" t="s">
        <v>39</v>
      </c>
      <c r="C810">
        <v>16</v>
      </c>
      <c r="D810">
        <v>0</v>
      </c>
      <c r="E810">
        <v>0.82965875476345996</v>
      </c>
      <c r="F810">
        <v>0</v>
      </c>
    </row>
    <row r="811" spans="1:6" x14ac:dyDescent="0.25">
      <c r="A811">
        <v>18067</v>
      </c>
      <c r="B811" t="s">
        <v>39</v>
      </c>
      <c r="C811">
        <v>17</v>
      </c>
      <c r="D811">
        <v>0</v>
      </c>
      <c r="E811">
        <v>0.38717408555628102</v>
      </c>
      <c r="F811">
        <v>0</v>
      </c>
    </row>
    <row r="812" spans="1:6" x14ac:dyDescent="0.25">
      <c r="A812">
        <v>18067</v>
      </c>
      <c r="B812" t="s">
        <v>39</v>
      </c>
      <c r="C812">
        <v>18</v>
      </c>
      <c r="D812">
        <v>0</v>
      </c>
      <c r="E812">
        <v>0.44248466920717899</v>
      </c>
      <c r="F812">
        <v>0</v>
      </c>
    </row>
    <row r="813" spans="1:6" x14ac:dyDescent="0.25">
      <c r="A813">
        <v>18067</v>
      </c>
      <c r="B813" t="s">
        <v>39</v>
      </c>
      <c r="C813">
        <v>19</v>
      </c>
      <c r="D813">
        <v>0</v>
      </c>
      <c r="E813">
        <v>0.77434817111256304</v>
      </c>
      <c r="F813">
        <v>0</v>
      </c>
    </row>
    <row r="814" spans="1:6" x14ac:dyDescent="0.25">
      <c r="A814">
        <v>18067</v>
      </c>
      <c r="B814" t="s">
        <v>39</v>
      </c>
      <c r="C814">
        <v>20</v>
      </c>
      <c r="D814">
        <v>0</v>
      </c>
      <c r="E814">
        <v>1.1062116730179401</v>
      </c>
      <c r="F814">
        <v>0</v>
      </c>
    </row>
    <row r="815" spans="1:6" x14ac:dyDescent="0.25">
      <c r="A815">
        <v>18067</v>
      </c>
      <c r="B815" t="s">
        <v>39</v>
      </c>
      <c r="C815">
        <v>21</v>
      </c>
      <c r="D815">
        <v>0</v>
      </c>
      <c r="E815">
        <v>0.82965875476345996</v>
      </c>
      <c r="F815">
        <v>0</v>
      </c>
    </row>
    <row r="816" spans="1:6" x14ac:dyDescent="0.25">
      <c r="A816">
        <v>18067</v>
      </c>
      <c r="B816" t="s">
        <v>39</v>
      </c>
      <c r="C816">
        <v>22</v>
      </c>
      <c r="D816">
        <v>0</v>
      </c>
      <c r="E816">
        <v>0.60841642015987096</v>
      </c>
      <c r="F816">
        <v>0</v>
      </c>
    </row>
    <row r="817" spans="1:6" x14ac:dyDescent="0.25">
      <c r="A817">
        <v>18067</v>
      </c>
      <c r="B817" t="s">
        <v>39</v>
      </c>
      <c r="C817">
        <v>23</v>
      </c>
      <c r="D817">
        <v>0</v>
      </c>
      <c r="E817">
        <v>1.2168328403197399</v>
      </c>
      <c r="F817">
        <v>0</v>
      </c>
    </row>
    <row r="818" spans="1:6" x14ac:dyDescent="0.25">
      <c r="A818">
        <v>18069</v>
      </c>
      <c r="B818" t="s">
        <v>40</v>
      </c>
      <c r="C818">
        <v>0</v>
      </c>
      <c r="D818">
        <v>34.047309915161001</v>
      </c>
      <c r="E818">
        <v>2.2359427406971402</v>
      </c>
      <c r="F818">
        <v>130</v>
      </c>
    </row>
    <row r="819" spans="1:6" x14ac:dyDescent="0.25">
      <c r="A819">
        <v>18069</v>
      </c>
      <c r="B819" t="s">
        <v>40</v>
      </c>
      <c r="C819">
        <v>1</v>
      </c>
      <c r="D819">
        <v>34.962013763628001</v>
      </c>
      <c r="E819">
        <v>2.7102336250874401</v>
      </c>
      <c r="F819">
        <v>130</v>
      </c>
    </row>
    <row r="820" spans="1:6" x14ac:dyDescent="0.25">
      <c r="A820">
        <v>18069</v>
      </c>
      <c r="B820" t="s">
        <v>40</v>
      </c>
      <c r="C820">
        <v>2</v>
      </c>
      <c r="D820">
        <v>35.4701825683319</v>
      </c>
      <c r="E820">
        <v>3.8959608360632001</v>
      </c>
      <c r="F820">
        <v>130</v>
      </c>
    </row>
    <row r="821" spans="1:6" x14ac:dyDescent="0.25">
      <c r="A821">
        <v>18069</v>
      </c>
      <c r="B821" t="s">
        <v>40</v>
      </c>
      <c r="C821">
        <v>3</v>
      </c>
      <c r="D821">
        <v>35.4024267277047</v>
      </c>
      <c r="E821">
        <v>3.9298387563767898</v>
      </c>
      <c r="F821">
        <v>130</v>
      </c>
    </row>
    <row r="822" spans="1:6" x14ac:dyDescent="0.25">
      <c r="A822">
        <v>18069</v>
      </c>
      <c r="B822" t="s">
        <v>40</v>
      </c>
      <c r="C822">
        <v>4</v>
      </c>
      <c r="D822">
        <v>34.419967038610501</v>
      </c>
      <c r="E822">
        <v>4.6751530032758399</v>
      </c>
      <c r="F822">
        <v>130</v>
      </c>
    </row>
    <row r="823" spans="1:6" x14ac:dyDescent="0.25">
      <c r="A823">
        <v>18069</v>
      </c>
      <c r="B823" t="s">
        <v>40</v>
      </c>
      <c r="C823">
        <v>5</v>
      </c>
      <c r="D823">
        <v>33.098728146380402</v>
      </c>
      <c r="E823">
        <v>5.7253685329972299</v>
      </c>
      <c r="F823">
        <v>130</v>
      </c>
    </row>
    <row r="824" spans="1:6" x14ac:dyDescent="0.25">
      <c r="A824">
        <v>18069</v>
      </c>
      <c r="B824" t="s">
        <v>40</v>
      </c>
      <c r="C824">
        <v>6</v>
      </c>
      <c r="D824">
        <v>31.9468788557182</v>
      </c>
      <c r="E824">
        <v>7.9274333533807804</v>
      </c>
      <c r="F824">
        <v>130</v>
      </c>
    </row>
    <row r="825" spans="1:6" x14ac:dyDescent="0.25">
      <c r="A825">
        <v>18069</v>
      </c>
      <c r="B825" t="s">
        <v>40</v>
      </c>
      <c r="C825">
        <v>7</v>
      </c>
      <c r="D825">
        <v>26.560289525856899</v>
      </c>
      <c r="E825">
        <v>8.6049917596526395</v>
      </c>
      <c r="F825">
        <v>130</v>
      </c>
    </row>
    <row r="826" spans="1:6" x14ac:dyDescent="0.25">
      <c r="A826">
        <v>18069</v>
      </c>
      <c r="B826" t="s">
        <v>40</v>
      </c>
      <c r="C826">
        <v>8</v>
      </c>
      <c r="D826">
        <v>18.1246873677722</v>
      </c>
      <c r="E826">
        <v>6.74170614240502</v>
      </c>
      <c r="F826">
        <v>130</v>
      </c>
    </row>
    <row r="827" spans="1:6" x14ac:dyDescent="0.25">
      <c r="A827">
        <v>18069</v>
      </c>
      <c r="B827" t="s">
        <v>40</v>
      </c>
      <c r="C827">
        <v>9</v>
      </c>
      <c r="D827">
        <v>14.567505734845</v>
      </c>
      <c r="E827">
        <v>5.6237347720564497</v>
      </c>
      <c r="F827">
        <v>130</v>
      </c>
    </row>
    <row r="828" spans="1:6" x14ac:dyDescent="0.25">
      <c r="A828">
        <v>18069</v>
      </c>
      <c r="B828" t="s">
        <v>40</v>
      </c>
      <c r="C828">
        <v>10</v>
      </c>
      <c r="D828">
        <v>12.5009525957158</v>
      </c>
      <c r="E828">
        <v>4.5735192423350597</v>
      </c>
      <c r="F828">
        <v>130</v>
      </c>
    </row>
    <row r="829" spans="1:6" x14ac:dyDescent="0.25">
      <c r="A829">
        <v>18069</v>
      </c>
      <c r="B829" t="s">
        <v>40</v>
      </c>
      <c r="C829">
        <v>11</v>
      </c>
      <c r="D829">
        <v>11.179713703485699</v>
      </c>
      <c r="E829">
        <v>3.35391411104571</v>
      </c>
      <c r="F829">
        <v>130</v>
      </c>
    </row>
    <row r="830" spans="1:6" x14ac:dyDescent="0.25">
      <c r="A830">
        <v>18069</v>
      </c>
      <c r="B830" t="s">
        <v>40</v>
      </c>
      <c r="C830">
        <v>12</v>
      </c>
      <c r="D830">
        <v>10.5360332175274</v>
      </c>
      <c r="E830">
        <v>3.7943270751224198</v>
      </c>
      <c r="F830">
        <v>130</v>
      </c>
    </row>
    <row r="831" spans="1:6" x14ac:dyDescent="0.25">
      <c r="A831">
        <v>18069</v>
      </c>
      <c r="B831" t="s">
        <v>40</v>
      </c>
      <c r="C831">
        <v>13</v>
      </c>
      <c r="D831">
        <v>9.8584748112555793</v>
      </c>
      <c r="E831">
        <v>2.33757650163792</v>
      </c>
      <c r="F831">
        <v>130</v>
      </c>
    </row>
    <row r="832" spans="1:6" x14ac:dyDescent="0.25">
      <c r="A832">
        <v>18069</v>
      </c>
      <c r="B832" t="s">
        <v>40</v>
      </c>
      <c r="C832">
        <v>14</v>
      </c>
      <c r="D832">
        <v>10.332765695645801</v>
      </c>
      <c r="E832">
        <v>2.33757650163792</v>
      </c>
      <c r="F832">
        <v>130</v>
      </c>
    </row>
    <row r="833" spans="1:6" x14ac:dyDescent="0.25">
      <c r="A833">
        <v>18069</v>
      </c>
      <c r="B833" t="s">
        <v>40</v>
      </c>
      <c r="C833">
        <v>15</v>
      </c>
      <c r="D833">
        <v>11.654004587876001</v>
      </c>
      <c r="E833">
        <v>1.5583843344252799</v>
      </c>
      <c r="F833">
        <v>130</v>
      </c>
    </row>
    <row r="834" spans="1:6" x14ac:dyDescent="0.25">
      <c r="A834">
        <v>18069</v>
      </c>
      <c r="B834" t="s">
        <v>40</v>
      </c>
      <c r="C834">
        <v>16</v>
      </c>
      <c r="D834">
        <v>13.6866798066916</v>
      </c>
      <c r="E834">
        <v>1.49062849379809</v>
      </c>
      <c r="F834">
        <v>130</v>
      </c>
    </row>
    <row r="835" spans="1:6" x14ac:dyDescent="0.25">
      <c r="A835">
        <v>18069</v>
      </c>
      <c r="B835" t="s">
        <v>40</v>
      </c>
      <c r="C835">
        <v>17</v>
      </c>
      <c r="D835">
        <v>16.125890069270302</v>
      </c>
      <c r="E835">
        <v>1.4567505734845001</v>
      </c>
      <c r="F835">
        <v>130</v>
      </c>
    </row>
    <row r="836" spans="1:6" x14ac:dyDescent="0.25">
      <c r="A836">
        <v>18069</v>
      </c>
      <c r="B836" t="s">
        <v>40</v>
      </c>
      <c r="C836">
        <v>18</v>
      </c>
      <c r="D836">
        <v>18.0569315271451</v>
      </c>
      <c r="E836">
        <v>1.2196051312893501</v>
      </c>
      <c r="F836">
        <v>130</v>
      </c>
    </row>
    <row r="837" spans="1:6" x14ac:dyDescent="0.25">
      <c r="A837">
        <v>18069</v>
      </c>
      <c r="B837" t="s">
        <v>40</v>
      </c>
      <c r="C837">
        <v>19</v>
      </c>
      <c r="D837">
        <v>22.257793646030599</v>
      </c>
      <c r="E837">
        <v>1.6938960156796501</v>
      </c>
      <c r="F837">
        <v>130</v>
      </c>
    </row>
    <row r="838" spans="1:6" x14ac:dyDescent="0.25">
      <c r="A838">
        <v>18069</v>
      </c>
      <c r="B838" t="s">
        <v>40</v>
      </c>
      <c r="C838">
        <v>20</v>
      </c>
      <c r="D838">
        <v>26.221510322720999</v>
      </c>
      <c r="E838">
        <v>1.52450641411168</v>
      </c>
      <c r="F838">
        <v>130</v>
      </c>
    </row>
    <row r="839" spans="1:6" x14ac:dyDescent="0.25">
      <c r="A839">
        <v>18069</v>
      </c>
      <c r="B839" t="s">
        <v>40</v>
      </c>
      <c r="C839">
        <v>21</v>
      </c>
      <c r="D839">
        <v>28.863988107181299</v>
      </c>
      <c r="E839">
        <v>1.49062849379809</v>
      </c>
      <c r="F839">
        <v>130</v>
      </c>
    </row>
    <row r="840" spans="1:6" x14ac:dyDescent="0.25">
      <c r="A840">
        <v>18069</v>
      </c>
      <c r="B840" t="s">
        <v>40</v>
      </c>
      <c r="C840">
        <v>22</v>
      </c>
      <c r="D840">
        <v>30.862785405683201</v>
      </c>
      <c r="E840">
        <v>1.8971635375612099</v>
      </c>
      <c r="F840">
        <v>130</v>
      </c>
    </row>
    <row r="841" spans="1:6" x14ac:dyDescent="0.25">
      <c r="A841">
        <v>18069</v>
      </c>
      <c r="B841" t="s">
        <v>40</v>
      </c>
      <c r="C841">
        <v>23</v>
      </c>
      <c r="D841">
        <v>32.590559341676503</v>
      </c>
      <c r="E841">
        <v>2.0665531391291698</v>
      </c>
      <c r="F841">
        <v>130</v>
      </c>
    </row>
    <row r="842" spans="1:6" x14ac:dyDescent="0.25">
      <c r="A842">
        <v>18071</v>
      </c>
      <c r="B842" t="s">
        <v>41</v>
      </c>
      <c r="C842">
        <v>0</v>
      </c>
      <c r="D842">
        <v>156.482731480881</v>
      </c>
      <c r="E842">
        <v>14.4773756793507</v>
      </c>
      <c r="F842">
        <v>189</v>
      </c>
    </row>
    <row r="843" spans="1:6" x14ac:dyDescent="0.25">
      <c r="A843">
        <v>18071</v>
      </c>
      <c r="B843" t="s">
        <v>41</v>
      </c>
      <c r="C843">
        <v>1</v>
      </c>
      <c r="D843">
        <v>156.89118408625501</v>
      </c>
      <c r="E843">
        <v>11.073603967904599</v>
      </c>
      <c r="F843">
        <v>189</v>
      </c>
    </row>
    <row r="844" spans="1:6" x14ac:dyDescent="0.25">
      <c r="A844">
        <v>18071</v>
      </c>
      <c r="B844" t="s">
        <v>41</v>
      </c>
      <c r="C844">
        <v>2</v>
      </c>
      <c r="D844">
        <v>158.615761753388</v>
      </c>
      <c r="E844">
        <v>11.164371213543101</v>
      </c>
      <c r="F844">
        <v>189</v>
      </c>
    </row>
    <row r="845" spans="1:6" x14ac:dyDescent="0.25">
      <c r="A845">
        <v>18071</v>
      </c>
      <c r="B845" t="s">
        <v>41</v>
      </c>
      <c r="C845">
        <v>3</v>
      </c>
      <c r="D845">
        <v>158.07115827955599</v>
      </c>
      <c r="E845">
        <v>10.5290004940732</v>
      </c>
      <c r="F845">
        <v>189</v>
      </c>
    </row>
    <row r="846" spans="1:6" x14ac:dyDescent="0.25">
      <c r="A846">
        <v>18071</v>
      </c>
      <c r="B846" t="s">
        <v>41</v>
      </c>
      <c r="C846">
        <v>4</v>
      </c>
      <c r="D846">
        <v>154.25893396273699</v>
      </c>
      <c r="E846">
        <v>10.7105349853503</v>
      </c>
      <c r="F846">
        <v>189</v>
      </c>
    </row>
    <row r="847" spans="1:6" x14ac:dyDescent="0.25">
      <c r="A847">
        <v>18071</v>
      </c>
      <c r="B847" t="s">
        <v>41</v>
      </c>
      <c r="C847">
        <v>5</v>
      </c>
      <c r="D847">
        <v>147.72369227676</v>
      </c>
      <c r="E847">
        <v>11.572823818916699</v>
      </c>
      <c r="F847">
        <v>189</v>
      </c>
    </row>
    <row r="848" spans="1:6" x14ac:dyDescent="0.25">
      <c r="A848">
        <v>18071</v>
      </c>
      <c r="B848" t="s">
        <v>41</v>
      </c>
      <c r="C848">
        <v>6</v>
      </c>
      <c r="D848">
        <v>135.10704513300001</v>
      </c>
      <c r="E848">
        <v>15.2035136444592</v>
      </c>
      <c r="F848">
        <v>189</v>
      </c>
    </row>
    <row r="849" spans="1:6" x14ac:dyDescent="0.25">
      <c r="A849">
        <v>18071</v>
      </c>
      <c r="B849" t="s">
        <v>41</v>
      </c>
      <c r="C849">
        <v>7</v>
      </c>
      <c r="D849">
        <v>117.90665208449199</v>
      </c>
      <c r="E849">
        <v>14.0689230739771</v>
      </c>
      <c r="F849">
        <v>189</v>
      </c>
    </row>
    <row r="850" spans="1:6" x14ac:dyDescent="0.25">
      <c r="A850">
        <v>18071</v>
      </c>
      <c r="B850" t="s">
        <v>41</v>
      </c>
      <c r="C850">
        <v>8</v>
      </c>
      <c r="D850">
        <v>96.440198490972605</v>
      </c>
      <c r="E850">
        <v>10.302082379976801</v>
      </c>
      <c r="F850">
        <v>189</v>
      </c>
    </row>
    <row r="851" spans="1:6" x14ac:dyDescent="0.25">
      <c r="A851">
        <v>18071</v>
      </c>
      <c r="B851" t="s">
        <v>41</v>
      </c>
      <c r="C851">
        <v>9</v>
      </c>
      <c r="D851">
        <v>80.873615863959202</v>
      </c>
      <c r="E851">
        <v>6.7621598000729</v>
      </c>
      <c r="F851">
        <v>189</v>
      </c>
    </row>
    <row r="852" spans="1:6" x14ac:dyDescent="0.25">
      <c r="A852">
        <v>18071</v>
      </c>
      <c r="B852" t="s">
        <v>41</v>
      </c>
      <c r="C852">
        <v>10</v>
      </c>
      <c r="D852">
        <v>69.663861027596695</v>
      </c>
      <c r="E852">
        <v>6.17217270342225</v>
      </c>
      <c r="F852">
        <v>189</v>
      </c>
    </row>
    <row r="853" spans="1:6" x14ac:dyDescent="0.25">
      <c r="A853">
        <v>18071</v>
      </c>
      <c r="B853" t="s">
        <v>41</v>
      </c>
      <c r="C853">
        <v>11</v>
      </c>
      <c r="D853">
        <v>68.892339439668902</v>
      </c>
      <c r="E853">
        <v>6.2175563262415299</v>
      </c>
      <c r="F853">
        <v>189</v>
      </c>
    </row>
    <row r="854" spans="1:6" x14ac:dyDescent="0.25">
      <c r="A854">
        <v>18071</v>
      </c>
      <c r="B854" t="s">
        <v>41</v>
      </c>
      <c r="C854">
        <v>12</v>
      </c>
      <c r="D854">
        <v>69.300792045042499</v>
      </c>
      <c r="E854">
        <v>5.9452545893258399</v>
      </c>
      <c r="F854">
        <v>189</v>
      </c>
    </row>
    <row r="855" spans="1:6" x14ac:dyDescent="0.25">
      <c r="A855">
        <v>18071</v>
      </c>
      <c r="B855" t="s">
        <v>41</v>
      </c>
      <c r="C855">
        <v>13</v>
      </c>
      <c r="D855">
        <v>63.945524552367303</v>
      </c>
      <c r="E855">
        <v>5.1737330013980598</v>
      </c>
      <c r="F855">
        <v>189</v>
      </c>
    </row>
    <row r="856" spans="1:6" x14ac:dyDescent="0.25">
      <c r="A856">
        <v>18071</v>
      </c>
      <c r="B856" t="s">
        <v>41</v>
      </c>
      <c r="C856">
        <v>14</v>
      </c>
      <c r="D856">
        <v>64.172442666463695</v>
      </c>
      <c r="E856">
        <v>3.8576079396388998</v>
      </c>
      <c r="F856">
        <v>189</v>
      </c>
    </row>
    <row r="857" spans="1:6" x14ac:dyDescent="0.25">
      <c r="A857">
        <v>18071</v>
      </c>
      <c r="B857" t="s">
        <v>41</v>
      </c>
      <c r="C857">
        <v>15</v>
      </c>
      <c r="D857">
        <v>69.346175667861701</v>
      </c>
      <c r="E857">
        <v>2.2691811409640601</v>
      </c>
      <c r="F857">
        <v>189</v>
      </c>
    </row>
    <row r="858" spans="1:6" x14ac:dyDescent="0.25">
      <c r="A858">
        <v>18071</v>
      </c>
      <c r="B858" t="s">
        <v>41</v>
      </c>
      <c r="C858">
        <v>16</v>
      </c>
      <c r="D858">
        <v>77.969064003525204</v>
      </c>
      <c r="E858">
        <v>2.9045518604340002</v>
      </c>
      <c r="F858">
        <v>189</v>
      </c>
    </row>
    <row r="859" spans="1:6" x14ac:dyDescent="0.25">
      <c r="A859">
        <v>18071</v>
      </c>
      <c r="B859" t="s">
        <v>41</v>
      </c>
      <c r="C859">
        <v>17</v>
      </c>
      <c r="D859">
        <v>90.540327524466093</v>
      </c>
      <c r="E859">
        <v>1.31612506175915</v>
      </c>
      <c r="F859">
        <v>189</v>
      </c>
    </row>
    <row r="860" spans="1:6" x14ac:dyDescent="0.25">
      <c r="A860">
        <v>18071</v>
      </c>
      <c r="B860" t="s">
        <v>41</v>
      </c>
      <c r="C860">
        <v>18</v>
      </c>
      <c r="D860">
        <v>104.881552335359</v>
      </c>
      <c r="E860">
        <v>1.4522759302170001</v>
      </c>
      <c r="F860">
        <v>189</v>
      </c>
    </row>
    <row r="861" spans="1:6" x14ac:dyDescent="0.25">
      <c r="A861">
        <v>18071</v>
      </c>
      <c r="B861" t="s">
        <v>41</v>
      </c>
      <c r="C861">
        <v>19</v>
      </c>
      <c r="D861">
        <v>117.725117593215</v>
      </c>
      <c r="E861">
        <v>1.8607285355905301</v>
      </c>
      <c r="F861">
        <v>189</v>
      </c>
    </row>
    <row r="862" spans="1:6" x14ac:dyDescent="0.25">
      <c r="A862">
        <v>18071</v>
      </c>
      <c r="B862" t="s">
        <v>41</v>
      </c>
      <c r="C862">
        <v>20</v>
      </c>
      <c r="D862">
        <v>129.29794141213199</v>
      </c>
      <c r="E862">
        <v>3.9483751852774698</v>
      </c>
      <c r="F862">
        <v>189</v>
      </c>
    </row>
    <row r="863" spans="1:6" x14ac:dyDescent="0.25">
      <c r="A863">
        <v>18071</v>
      </c>
      <c r="B863" t="s">
        <v>41</v>
      </c>
      <c r="C863">
        <v>21</v>
      </c>
      <c r="D863">
        <v>137.421609896783</v>
      </c>
      <c r="E863">
        <v>7.7605995020970902</v>
      </c>
      <c r="F863">
        <v>189</v>
      </c>
    </row>
    <row r="864" spans="1:6" x14ac:dyDescent="0.25">
      <c r="A864">
        <v>18071</v>
      </c>
      <c r="B864" t="s">
        <v>41</v>
      </c>
      <c r="C864">
        <v>22</v>
      </c>
      <c r="D864">
        <v>148.585981110326</v>
      </c>
      <c r="E864">
        <v>14.7042937934471</v>
      </c>
      <c r="F864">
        <v>189</v>
      </c>
    </row>
    <row r="865" spans="1:6" x14ac:dyDescent="0.25">
      <c r="A865">
        <v>18071</v>
      </c>
      <c r="B865" t="s">
        <v>41</v>
      </c>
      <c r="C865">
        <v>23</v>
      </c>
      <c r="D865">
        <v>156.482731480881</v>
      </c>
      <c r="E865">
        <v>17.427311162603999</v>
      </c>
      <c r="F865">
        <v>189</v>
      </c>
    </row>
    <row r="866" spans="1:6" x14ac:dyDescent="0.25">
      <c r="A866">
        <v>18073</v>
      </c>
      <c r="B866" t="s">
        <v>42</v>
      </c>
      <c r="C866">
        <v>0</v>
      </c>
      <c r="D866">
        <v>666.24797953009897</v>
      </c>
      <c r="E866">
        <v>19.20928316957</v>
      </c>
      <c r="F866">
        <v>869</v>
      </c>
    </row>
    <row r="867" spans="1:6" x14ac:dyDescent="0.25">
      <c r="A867">
        <v>18073</v>
      </c>
      <c r="B867" t="s">
        <v>42</v>
      </c>
      <c r="C867">
        <v>1</v>
      </c>
      <c r="D867">
        <v>667.32946732248797</v>
      </c>
      <c r="E867">
        <v>22.041751197254499</v>
      </c>
      <c r="F867">
        <v>869</v>
      </c>
    </row>
    <row r="868" spans="1:6" x14ac:dyDescent="0.25">
      <c r="A868">
        <v>18073</v>
      </c>
      <c r="B868" t="s">
        <v>42</v>
      </c>
      <c r="C868">
        <v>2</v>
      </c>
      <c r="D868">
        <v>659.03806091417505</v>
      </c>
      <c r="E868">
        <v>25.080216899679801</v>
      </c>
      <c r="F868">
        <v>869</v>
      </c>
    </row>
    <row r="869" spans="1:6" x14ac:dyDescent="0.25">
      <c r="A869">
        <v>18073</v>
      </c>
      <c r="B869" t="s">
        <v>42</v>
      </c>
      <c r="C869">
        <v>3</v>
      </c>
      <c r="D869">
        <v>627.77791377227402</v>
      </c>
      <c r="E869">
        <v>23.020240152272802</v>
      </c>
      <c r="F869">
        <v>869</v>
      </c>
    </row>
    <row r="870" spans="1:6" x14ac:dyDescent="0.25">
      <c r="A870">
        <v>18073</v>
      </c>
      <c r="B870" t="s">
        <v>42</v>
      </c>
      <c r="C870">
        <v>4</v>
      </c>
      <c r="D870">
        <v>595.33328000061397</v>
      </c>
      <c r="E870">
        <v>24.204726782031901</v>
      </c>
      <c r="F870">
        <v>869</v>
      </c>
    </row>
    <row r="871" spans="1:6" x14ac:dyDescent="0.25">
      <c r="A871">
        <v>18073</v>
      </c>
      <c r="B871" t="s">
        <v>42</v>
      </c>
      <c r="C871">
        <v>5</v>
      </c>
      <c r="D871">
        <v>541.10439212512597</v>
      </c>
      <c r="E871">
        <v>28.582177370271701</v>
      </c>
      <c r="F871">
        <v>869</v>
      </c>
    </row>
    <row r="872" spans="1:6" x14ac:dyDescent="0.25">
      <c r="A872">
        <v>18073</v>
      </c>
      <c r="B872" t="s">
        <v>42</v>
      </c>
      <c r="C872">
        <v>6</v>
      </c>
      <c r="D872">
        <v>462.46477979286499</v>
      </c>
      <c r="E872">
        <v>25.9042075986426</v>
      </c>
      <c r="F872">
        <v>869</v>
      </c>
    </row>
    <row r="873" spans="1:6" x14ac:dyDescent="0.25">
      <c r="A873">
        <v>18073</v>
      </c>
      <c r="B873" t="s">
        <v>42</v>
      </c>
      <c r="C873">
        <v>7</v>
      </c>
      <c r="D873">
        <v>377.49073896232699</v>
      </c>
      <c r="E873">
        <v>18.1792947958665</v>
      </c>
      <c r="F873">
        <v>869</v>
      </c>
    </row>
    <row r="874" spans="1:6" x14ac:dyDescent="0.25">
      <c r="A874">
        <v>18073</v>
      </c>
      <c r="B874" t="s">
        <v>42</v>
      </c>
      <c r="C874">
        <v>8</v>
      </c>
      <c r="D874">
        <v>308.84201385499</v>
      </c>
      <c r="E874">
        <v>11.484370366793801</v>
      </c>
      <c r="F874">
        <v>869</v>
      </c>
    </row>
    <row r="875" spans="1:6" x14ac:dyDescent="0.25">
      <c r="A875">
        <v>18073</v>
      </c>
      <c r="B875" t="s">
        <v>42</v>
      </c>
      <c r="C875">
        <v>9</v>
      </c>
      <c r="D875">
        <v>266.50949169577598</v>
      </c>
      <c r="E875">
        <v>10.917876761256901</v>
      </c>
      <c r="F875">
        <v>869</v>
      </c>
    </row>
    <row r="876" spans="1:6" x14ac:dyDescent="0.25">
      <c r="A876">
        <v>18073</v>
      </c>
      <c r="B876" t="s">
        <v>42</v>
      </c>
      <c r="C876">
        <v>10</v>
      </c>
      <c r="D876">
        <v>251.83215737050199</v>
      </c>
      <c r="E876">
        <v>9.7333901314979308</v>
      </c>
      <c r="F876">
        <v>869</v>
      </c>
    </row>
    <row r="877" spans="1:6" x14ac:dyDescent="0.25">
      <c r="A877">
        <v>18073</v>
      </c>
      <c r="B877" t="s">
        <v>42</v>
      </c>
      <c r="C877">
        <v>11</v>
      </c>
      <c r="D877">
        <v>256.62160330822297</v>
      </c>
      <c r="E877">
        <v>8.7549011764796205</v>
      </c>
      <c r="F877">
        <v>869</v>
      </c>
    </row>
    <row r="878" spans="1:6" x14ac:dyDescent="0.25">
      <c r="A878">
        <v>18073</v>
      </c>
      <c r="B878" t="s">
        <v>42</v>
      </c>
      <c r="C878">
        <v>12</v>
      </c>
      <c r="D878">
        <v>272.17442775114603</v>
      </c>
      <c r="E878">
        <v>7.8279116401464899</v>
      </c>
      <c r="F878">
        <v>869</v>
      </c>
    </row>
    <row r="879" spans="1:6" x14ac:dyDescent="0.25">
      <c r="A879">
        <v>18073</v>
      </c>
      <c r="B879" t="s">
        <v>42</v>
      </c>
      <c r="C879">
        <v>13</v>
      </c>
      <c r="D879">
        <v>283.86479579268001</v>
      </c>
      <c r="E879">
        <v>7.98240989620201</v>
      </c>
      <c r="F879">
        <v>869</v>
      </c>
    </row>
    <row r="880" spans="1:6" x14ac:dyDescent="0.25">
      <c r="A880">
        <v>18073</v>
      </c>
      <c r="B880" t="s">
        <v>42</v>
      </c>
      <c r="C880">
        <v>14</v>
      </c>
      <c r="D880">
        <v>305.28855396571299</v>
      </c>
      <c r="E880">
        <v>5.6134366366839901</v>
      </c>
      <c r="F880">
        <v>869</v>
      </c>
    </row>
    <row r="881" spans="1:6" x14ac:dyDescent="0.25">
      <c r="A881">
        <v>18073</v>
      </c>
      <c r="B881" t="s">
        <v>42</v>
      </c>
      <c r="C881">
        <v>15</v>
      </c>
      <c r="D881">
        <v>341.95614006955702</v>
      </c>
      <c r="E881">
        <v>4.4804494256101597</v>
      </c>
      <c r="F881">
        <v>869</v>
      </c>
    </row>
    <row r="882" spans="1:6" x14ac:dyDescent="0.25">
      <c r="A882">
        <v>18073</v>
      </c>
      <c r="B882" t="s">
        <v>42</v>
      </c>
      <c r="C882">
        <v>16</v>
      </c>
      <c r="D882">
        <v>397.421013993489</v>
      </c>
      <c r="E882">
        <v>4.1714529134991096</v>
      </c>
      <c r="F882">
        <v>869</v>
      </c>
    </row>
    <row r="883" spans="1:6" x14ac:dyDescent="0.25">
      <c r="A883">
        <v>18073</v>
      </c>
      <c r="B883" t="s">
        <v>42</v>
      </c>
      <c r="C883">
        <v>17</v>
      </c>
      <c r="D883">
        <v>449.538425702886</v>
      </c>
      <c r="E883">
        <v>4.7894459377212</v>
      </c>
      <c r="F883">
        <v>869</v>
      </c>
    </row>
    <row r="884" spans="1:6" x14ac:dyDescent="0.25">
      <c r="A884">
        <v>18073</v>
      </c>
      <c r="B884" t="s">
        <v>42</v>
      </c>
      <c r="C884">
        <v>18</v>
      </c>
      <c r="D884">
        <v>504.848801370763</v>
      </c>
      <c r="E884">
        <v>5.3559395432581196</v>
      </c>
      <c r="F884">
        <v>869</v>
      </c>
    </row>
    <row r="885" spans="1:6" x14ac:dyDescent="0.25">
      <c r="A885">
        <v>18073</v>
      </c>
      <c r="B885" t="s">
        <v>42</v>
      </c>
      <c r="C885">
        <v>19</v>
      </c>
      <c r="D885">
        <v>558.09920029123305</v>
      </c>
      <c r="E885">
        <v>4.9954436124618997</v>
      </c>
      <c r="F885">
        <v>869</v>
      </c>
    </row>
    <row r="886" spans="1:6" x14ac:dyDescent="0.25">
      <c r="A886">
        <v>18073</v>
      </c>
      <c r="B886" t="s">
        <v>42</v>
      </c>
      <c r="C886">
        <v>20</v>
      </c>
      <c r="D886">
        <v>595.95127302483604</v>
      </c>
      <c r="E886">
        <v>7.2099186159243898</v>
      </c>
      <c r="F886">
        <v>869</v>
      </c>
    </row>
    <row r="887" spans="1:6" x14ac:dyDescent="0.25">
      <c r="A887">
        <v>18073</v>
      </c>
      <c r="B887" t="s">
        <v>42</v>
      </c>
      <c r="C887">
        <v>21</v>
      </c>
      <c r="D887">
        <v>628.03541086569999</v>
      </c>
      <c r="E887">
        <v>9.6303912941275893</v>
      </c>
      <c r="F887">
        <v>869</v>
      </c>
    </row>
    <row r="888" spans="1:6" x14ac:dyDescent="0.25">
      <c r="A888">
        <v>18073</v>
      </c>
      <c r="B888" t="s">
        <v>42</v>
      </c>
      <c r="C888">
        <v>22</v>
      </c>
      <c r="D888">
        <v>645.28771612523303</v>
      </c>
      <c r="E888">
        <v>12.720356415237999</v>
      </c>
      <c r="F888">
        <v>869</v>
      </c>
    </row>
    <row r="889" spans="1:6" x14ac:dyDescent="0.25">
      <c r="A889">
        <v>18073</v>
      </c>
      <c r="B889" t="s">
        <v>42</v>
      </c>
      <c r="C889">
        <v>23</v>
      </c>
      <c r="D889">
        <v>659.03806091417505</v>
      </c>
      <c r="E889">
        <v>16.119318048459501</v>
      </c>
      <c r="F889">
        <v>869</v>
      </c>
    </row>
    <row r="890" spans="1:6" x14ac:dyDescent="0.25">
      <c r="A890">
        <v>18075</v>
      </c>
      <c r="B890" t="s">
        <v>43</v>
      </c>
      <c r="C890">
        <v>0</v>
      </c>
      <c r="D890">
        <v>9.3336473924849503</v>
      </c>
      <c r="E890">
        <v>0</v>
      </c>
      <c r="F890">
        <v>30</v>
      </c>
    </row>
    <row r="891" spans="1:6" x14ac:dyDescent="0.25">
      <c r="A891">
        <v>18075</v>
      </c>
      <c r="B891" t="s">
        <v>43</v>
      </c>
      <c r="C891">
        <v>1</v>
      </c>
      <c r="D891">
        <v>9.7445626864937207</v>
      </c>
      <c r="E891">
        <v>0</v>
      </c>
      <c r="F891">
        <v>30</v>
      </c>
    </row>
    <row r="892" spans="1:6" x14ac:dyDescent="0.25">
      <c r="A892">
        <v>18075</v>
      </c>
      <c r="B892" t="s">
        <v>43</v>
      </c>
      <c r="C892">
        <v>2</v>
      </c>
      <c r="D892">
        <v>9.8032648713521198</v>
      </c>
      <c r="E892">
        <v>0</v>
      </c>
      <c r="F892">
        <v>30</v>
      </c>
    </row>
    <row r="893" spans="1:6" x14ac:dyDescent="0.25">
      <c r="A893">
        <v>18075</v>
      </c>
      <c r="B893" t="s">
        <v>43</v>
      </c>
      <c r="C893">
        <v>3</v>
      </c>
      <c r="D893">
        <v>9.9793714259272992</v>
      </c>
      <c r="E893">
        <v>0</v>
      </c>
      <c r="F893">
        <v>30</v>
      </c>
    </row>
    <row r="894" spans="1:6" x14ac:dyDescent="0.25">
      <c r="A894">
        <v>18075</v>
      </c>
      <c r="B894" t="s">
        <v>43</v>
      </c>
      <c r="C894">
        <v>4</v>
      </c>
      <c r="D894">
        <v>9.6858605016353199</v>
      </c>
      <c r="E894">
        <v>0</v>
      </c>
      <c r="F894">
        <v>30</v>
      </c>
    </row>
    <row r="895" spans="1:6" x14ac:dyDescent="0.25">
      <c r="A895">
        <v>18075</v>
      </c>
      <c r="B895" t="s">
        <v>43</v>
      </c>
      <c r="C895">
        <v>5</v>
      </c>
      <c r="D895">
        <v>9.3923495773433494</v>
      </c>
      <c r="E895">
        <v>0</v>
      </c>
      <c r="F895">
        <v>30</v>
      </c>
    </row>
    <row r="896" spans="1:6" x14ac:dyDescent="0.25">
      <c r="A896">
        <v>18075</v>
      </c>
      <c r="B896" t="s">
        <v>43</v>
      </c>
      <c r="C896">
        <v>6</v>
      </c>
      <c r="D896">
        <v>9.0401364681929692</v>
      </c>
      <c r="E896">
        <v>0</v>
      </c>
      <c r="F896">
        <v>30</v>
      </c>
    </row>
    <row r="897" spans="1:6" x14ac:dyDescent="0.25">
      <c r="A897">
        <v>18075</v>
      </c>
      <c r="B897" t="s">
        <v>43</v>
      </c>
      <c r="C897">
        <v>7</v>
      </c>
      <c r="D897">
        <v>8.8053277287593801</v>
      </c>
      <c r="E897">
        <v>0</v>
      </c>
      <c r="F897">
        <v>30</v>
      </c>
    </row>
    <row r="898" spans="1:6" x14ac:dyDescent="0.25">
      <c r="A898">
        <v>18075</v>
      </c>
      <c r="B898" t="s">
        <v>43</v>
      </c>
      <c r="C898">
        <v>8</v>
      </c>
      <c r="D898">
        <v>6.8681556284323202</v>
      </c>
      <c r="E898">
        <v>1.2914480668847099</v>
      </c>
      <c r="F898">
        <v>30</v>
      </c>
    </row>
    <row r="899" spans="1:6" x14ac:dyDescent="0.25">
      <c r="A899">
        <v>18075</v>
      </c>
      <c r="B899" t="s">
        <v>43</v>
      </c>
      <c r="C899">
        <v>9</v>
      </c>
      <c r="D899">
        <v>4.9309835281052496</v>
      </c>
      <c r="E899">
        <v>3.28732235207017</v>
      </c>
      <c r="F899">
        <v>30</v>
      </c>
    </row>
    <row r="900" spans="1:6" x14ac:dyDescent="0.25">
      <c r="A900">
        <v>18075</v>
      </c>
      <c r="B900" t="s">
        <v>43</v>
      </c>
      <c r="C900">
        <v>10</v>
      </c>
      <c r="D900">
        <v>4.8135791583884604</v>
      </c>
      <c r="E900">
        <v>3.4047267217869601</v>
      </c>
      <c r="F900">
        <v>30</v>
      </c>
    </row>
    <row r="901" spans="1:6" x14ac:dyDescent="0.25">
      <c r="A901">
        <v>18075</v>
      </c>
      <c r="B901" t="s">
        <v>43</v>
      </c>
      <c r="C901">
        <v>11</v>
      </c>
      <c r="D901">
        <v>5.6354097464060002</v>
      </c>
      <c r="E901">
        <v>3.1699179823533798</v>
      </c>
      <c r="F901">
        <v>30</v>
      </c>
    </row>
    <row r="902" spans="1:6" x14ac:dyDescent="0.25">
      <c r="A902">
        <v>18075</v>
      </c>
      <c r="B902" t="s">
        <v>43</v>
      </c>
      <c r="C902">
        <v>12</v>
      </c>
      <c r="D902">
        <v>5.5180053766892101</v>
      </c>
      <c r="E902">
        <v>2.64159831862781</v>
      </c>
      <c r="F902">
        <v>30</v>
      </c>
    </row>
    <row r="903" spans="1:6" x14ac:dyDescent="0.25">
      <c r="A903">
        <v>18075</v>
      </c>
      <c r="B903" t="s">
        <v>43</v>
      </c>
      <c r="C903">
        <v>13</v>
      </c>
      <c r="D903">
        <v>3.9330463855125202</v>
      </c>
      <c r="E903">
        <v>1.9958742851854601</v>
      </c>
      <c r="F903">
        <v>30</v>
      </c>
    </row>
    <row r="904" spans="1:6" x14ac:dyDescent="0.25">
      <c r="A904">
        <v>18075</v>
      </c>
      <c r="B904" t="s">
        <v>43</v>
      </c>
      <c r="C904">
        <v>14</v>
      </c>
      <c r="D904">
        <v>2.9351092429197898</v>
      </c>
      <c r="E904">
        <v>1.5849589911766899</v>
      </c>
      <c r="F904">
        <v>30</v>
      </c>
    </row>
    <row r="905" spans="1:6" x14ac:dyDescent="0.25">
      <c r="A905">
        <v>18075</v>
      </c>
      <c r="B905" t="s">
        <v>43</v>
      </c>
      <c r="C905">
        <v>15</v>
      </c>
      <c r="D905">
        <v>3.28732235207017</v>
      </c>
      <c r="E905">
        <v>0.76312840315914698</v>
      </c>
      <c r="F905">
        <v>30</v>
      </c>
    </row>
    <row r="906" spans="1:6" x14ac:dyDescent="0.25">
      <c r="A906">
        <v>18075</v>
      </c>
      <c r="B906" t="s">
        <v>43</v>
      </c>
      <c r="C906">
        <v>16</v>
      </c>
      <c r="D906">
        <v>3.87434420065413</v>
      </c>
      <c r="E906">
        <v>0</v>
      </c>
      <c r="F906">
        <v>30</v>
      </c>
    </row>
    <row r="907" spans="1:6" x14ac:dyDescent="0.25">
      <c r="A907">
        <v>18075</v>
      </c>
      <c r="B907" t="s">
        <v>43</v>
      </c>
      <c r="C907">
        <v>17</v>
      </c>
      <c r="D907">
        <v>4.1678551249461098</v>
      </c>
      <c r="E907">
        <v>0</v>
      </c>
      <c r="F907">
        <v>30</v>
      </c>
    </row>
    <row r="908" spans="1:6" x14ac:dyDescent="0.25">
      <c r="A908">
        <v>18075</v>
      </c>
      <c r="B908" t="s">
        <v>43</v>
      </c>
      <c r="C908">
        <v>18</v>
      </c>
      <c r="D908">
        <v>5.3418988221140298</v>
      </c>
      <c r="E908">
        <v>0.117404369716791</v>
      </c>
      <c r="F908">
        <v>30</v>
      </c>
    </row>
    <row r="909" spans="1:6" x14ac:dyDescent="0.25">
      <c r="A909">
        <v>18075</v>
      </c>
      <c r="B909" t="s">
        <v>43</v>
      </c>
      <c r="C909">
        <v>19</v>
      </c>
      <c r="D909">
        <v>6.3985381495651499</v>
      </c>
      <c r="E909">
        <v>0</v>
      </c>
      <c r="F909">
        <v>30</v>
      </c>
    </row>
    <row r="910" spans="1:6" x14ac:dyDescent="0.25">
      <c r="A910">
        <v>18075</v>
      </c>
      <c r="B910" t="s">
        <v>43</v>
      </c>
      <c r="C910">
        <v>20</v>
      </c>
      <c r="D910">
        <v>7.3964752921578798</v>
      </c>
      <c r="E910">
        <v>0</v>
      </c>
      <c r="F910">
        <v>30</v>
      </c>
    </row>
    <row r="911" spans="1:6" x14ac:dyDescent="0.25">
      <c r="A911">
        <v>18075</v>
      </c>
      <c r="B911" t="s">
        <v>43</v>
      </c>
      <c r="C911">
        <v>21</v>
      </c>
      <c r="D911">
        <v>7.8660927710250501</v>
      </c>
      <c r="E911">
        <v>0</v>
      </c>
      <c r="F911">
        <v>30</v>
      </c>
    </row>
    <row r="912" spans="1:6" x14ac:dyDescent="0.25">
      <c r="A912">
        <v>18075</v>
      </c>
      <c r="B912" t="s">
        <v>43</v>
      </c>
      <c r="C912">
        <v>22</v>
      </c>
      <c r="D912">
        <v>8.6879233590425908</v>
      </c>
      <c r="E912">
        <v>0</v>
      </c>
      <c r="F912">
        <v>30</v>
      </c>
    </row>
    <row r="913" spans="1:6" x14ac:dyDescent="0.25">
      <c r="A913">
        <v>18075</v>
      </c>
      <c r="B913" t="s">
        <v>43</v>
      </c>
      <c r="C913">
        <v>23</v>
      </c>
      <c r="D913">
        <v>9.2162430227681593</v>
      </c>
      <c r="E913">
        <v>0</v>
      </c>
      <c r="F913">
        <v>30</v>
      </c>
    </row>
    <row r="914" spans="1:6" x14ac:dyDescent="0.25">
      <c r="A914">
        <v>18077</v>
      </c>
      <c r="B914" t="s">
        <v>44</v>
      </c>
      <c r="C914">
        <v>0</v>
      </c>
      <c r="D914">
        <v>0</v>
      </c>
      <c r="E914">
        <v>0.64332432734641498</v>
      </c>
      <c r="F914">
        <v>0</v>
      </c>
    </row>
    <row r="915" spans="1:6" x14ac:dyDescent="0.25">
      <c r="A915">
        <v>18077</v>
      </c>
      <c r="B915" t="s">
        <v>44</v>
      </c>
      <c r="C915">
        <v>1</v>
      </c>
      <c r="D915">
        <v>0</v>
      </c>
      <c r="E915">
        <v>0.64332432734641498</v>
      </c>
      <c r="F915">
        <v>0</v>
      </c>
    </row>
    <row r="916" spans="1:6" x14ac:dyDescent="0.25">
      <c r="A916">
        <v>18077</v>
      </c>
      <c r="B916" t="s">
        <v>44</v>
      </c>
      <c r="C916">
        <v>2</v>
      </c>
      <c r="D916">
        <v>0</v>
      </c>
      <c r="E916">
        <v>0.73522780268161703</v>
      </c>
      <c r="F916">
        <v>0</v>
      </c>
    </row>
    <row r="917" spans="1:6" x14ac:dyDescent="0.25">
      <c r="A917">
        <v>18077</v>
      </c>
      <c r="B917" t="s">
        <v>44</v>
      </c>
      <c r="C917">
        <v>3</v>
      </c>
      <c r="D917">
        <v>0</v>
      </c>
      <c r="E917">
        <v>0.73522780268161703</v>
      </c>
      <c r="F917">
        <v>0</v>
      </c>
    </row>
    <row r="918" spans="1:6" x14ac:dyDescent="0.25">
      <c r="A918">
        <v>18077</v>
      </c>
      <c r="B918" t="s">
        <v>44</v>
      </c>
      <c r="C918">
        <v>4</v>
      </c>
      <c r="D918">
        <v>0</v>
      </c>
      <c r="E918">
        <v>0.73522780268161703</v>
      </c>
      <c r="F918">
        <v>0</v>
      </c>
    </row>
    <row r="919" spans="1:6" x14ac:dyDescent="0.25">
      <c r="A919">
        <v>18077</v>
      </c>
      <c r="B919" t="s">
        <v>44</v>
      </c>
      <c r="C919">
        <v>5</v>
      </c>
      <c r="D919">
        <v>0</v>
      </c>
      <c r="E919">
        <v>0.64332432734641498</v>
      </c>
      <c r="F919">
        <v>0</v>
      </c>
    </row>
    <row r="920" spans="1:6" x14ac:dyDescent="0.25">
      <c r="A920">
        <v>18077</v>
      </c>
      <c r="B920" t="s">
        <v>44</v>
      </c>
      <c r="C920">
        <v>6</v>
      </c>
      <c r="D920">
        <v>0</v>
      </c>
      <c r="E920">
        <v>2.8949594730588601</v>
      </c>
      <c r="F920">
        <v>0</v>
      </c>
    </row>
    <row r="921" spans="1:6" x14ac:dyDescent="0.25">
      <c r="A921">
        <v>18077</v>
      </c>
      <c r="B921" t="s">
        <v>44</v>
      </c>
      <c r="C921">
        <v>7</v>
      </c>
      <c r="D921">
        <v>0</v>
      </c>
      <c r="E921">
        <v>3.5382838004052801</v>
      </c>
      <c r="F921">
        <v>0</v>
      </c>
    </row>
    <row r="922" spans="1:6" x14ac:dyDescent="0.25">
      <c r="A922">
        <v>18077</v>
      </c>
      <c r="B922" t="s">
        <v>44</v>
      </c>
      <c r="C922">
        <v>8</v>
      </c>
      <c r="D922">
        <v>0</v>
      </c>
      <c r="E922">
        <v>7.0306158631429598</v>
      </c>
      <c r="F922">
        <v>0</v>
      </c>
    </row>
    <row r="923" spans="1:6" x14ac:dyDescent="0.25">
      <c r="A923">
        <v>18077</v>
      </c>
      <c r="B923" t="s">
        <v>44</v>
      </c>
      <c r="C923">
        <v>9</v>
      </c>
      <c r="D923">
        <v>0</v>
      </c>
      <c r="E923">
        <v>5.1006428811037097</v>
      </c>
      <c r="F923">
        <v>0</v>
      </c>
    </row>
    <row r="924" spans="1:6" x14ac:dyDescent="0.25">
      <c r="A924">
        <v>18077</v>
      </c>
      <c r="B924" t="s">
        <v>44</v>
      </c>
      <c r="C924">
        <v>10</v>
      </c>
      <c r="D924">
        <v>0</v>
      </c>
      <c r="E924">
        <v>6.0656293721233396</v>
      </c>
      <c r="F924">
        <v>0</v>
      </c>
    </row>
    <row r="925" spans="1:6" x14ac:dyDescent="0.25">
      <c r="A925">
        <v>18077</v>
      </c>
      <c r="B925" t="s">
        <v>44</v>
      </c>
      <c r="C925">
        <v>11</v>
      </c>
      <c r="D925">
        <v>0</v>
      </c>
      <c r="E925">
        <v>4.6411255044277002</v>
      </c>
      <c r="F925">
        <v>0</v>
      </c>
    </row>
    <row r="926" spans="1:6" x14ac:dyDescent="0.25">
      <c r="A926">
        <v>18077</v>
      </c>
      <c r="B926" t="s">
        <v>44</v>
      </c>
      <c r="C926">
        <v>12</v>
      </c>
      <c r="D926">
        <v>0</v>
      </c>
      <c r="E926">
        <v>3.5382838004052801</v>
      </c>
      <c r="F926">
        <v>0</v>
      </c>
    </row>
    <row r="927" spans="1:6" x14ac:dyDescent="0.25">
      <c r="A927">
        <v>18077</v>
      </c>
      <c r="B927" t="s">
        <v>44</v>
      </c>
      <c r="C927">
        <v>13</v>
      </c>
      <c r="D927">
        <v>0</v>
      </c>
      <c r="E927">
        <v>1.83806950670404</v>
      </c>
      <c r="F927">
        <v>0</v>
      </c>
    </row>
    <row r="928" spans="1:6" x14ac:dyDescent="0.25">
      <c r="A928">
        <v>18077</v>
      </c>
      <c r="B928" t="s">
        <v>44</v>
      </c>
      <c r="C928">
        <v>14</v>
      </c>
      <c r="D928">
        <v>0</v>
      </c>
      <c r="E928">
        <v>0.68927606501401595</v>
      </c>
      <c r="F928">
        <v>0</v>
      </c>
    </row>
    <row r="929" spans="1:6" x14ac:dyDescent="0.25">
      <c r="A929">
        <v>18077</v>
      </c>
      <c r="B929" t="s">
        <v>44</v>
      </c>
      <c r="C929">
        <v>15</v>
      </c>
      <c r="D929">
        <v>0</v>
      </c>
      <c r="E929">
        <v>0.41356563900840898</v>
      </c>
      <c r="F929">
        <v>0</v>
      </c>
    </row>
    <row r="930" spans="1:6" x14ac:dyDescent="0.25">
      <c r="A930">
        <v>18077</v>
      </c>
      <c r="B930" t="s">
        <v>44</v>
      </c>
      <c r="C930">
        <v>16</v>
      </c>
      <c r="D930">
        <v>0</v>
      </c>
      <c r="E930">
        <v>0.41356563900840898</v>
      </c>
      <c r="F930">
        <v>0</v>
      </c>
    </row>
    <row r="931" spans="1:6" x14ac:dyDescent="0.25">
      <c r="A931">
        <v>18077</v>
      </c>
      <c r="B931" t="s">
        <v>44</v>
      </c>
      <c r="C931">
        <v>17</v>
      </c>
      <c r="D931">
        <v>0</v>
      </c>
      <c r="E931">
        <v>0.18380695067040401</v>
      </c>
      <c r="F931">
        <v>0</v>
      </c>
    </row>
    <row r="932" spans="1:6" x14ac:dyDescent="0.25">
      <c r="A932">
        <v>18077</v>
      </c>
      <c r="B932" t="s">
        <v>44</v>
      </c>
      <c r="C932">
        <v>18</v>
      </c>
      <c r="D932">
        <v>0</v>
      </c>
      <c r="E932">
        <v>9.1903475335202101E-2</v>
      </c>
      <c r="F932">
        <v>0</v>
      </c>
    </row>
    <row r="933" spans="1:6" x14ac:dyDescent="0.25">
      <c r="A933">
        <v>18077</v>
      </c>
      <c r="B933" t="s">
        <v>44</v>
      </c>
      <c r="C933">
        <v>19</v>
      </c>
      <c r="D933">
        <v>0</v>
      </c>
      <c r="E933">
        <v>0.27571042600560602</v>
      </c>
      <c r="F933">
        <v>0</v>
      </c>
    </row>
    <row r="934" spans="1:6" x14ac:dyDescent="0.25">
      <c r="A934">
        <v>18077</v>
      </c>
      <c r="B934" t="s">
        <v>44</v>
      </c>
      <c r="C934">
        <v>20</v>
      </c>
      <c r="D934">
        <v>0</v>
      </c>
      <c r="E934">
        <v>0.59737258967881302</v>
      </c>
      <c r="F934">
        <v>0</v>
      </c>
    </row>
    <row r="935" spans="1:6" x14ac:dyDescent="0.25">
      <c r="A935">
        <v>18077</v>
      </c>
      <c r="B935" t="s">
        <v>44</v>
      </c>
      <c r="C935">
        <v>21</v>
      </c>
      <c r="D935">
        <v>0</v>
      </c>
      <c r="E935">
        <v>0.64332432734641498</v>
      </c>
      <c r="F935">
        <v>0</v>
      </c>
    </row>
    <row r="936" spans="1:6" x14ac:dyDescent="0.25">
      <c r="A936">
        <v>18077</v>
      </c>
      <c r="B936" t="s">
        <v>44</v>
      </c>
      <c r="C936">
        <v>22</v>
      </c>
      <c r="D936">
        <v>0</v>
      </c>
      <c r="E936">
        <v>0.64332432734641498</v>
      </c>
      <c r="F936">
        <v>0</v>
      </c>
    </row>
    <row r="937" spans="1:6" x14ac:dyDescent="0.25">
      <c r="A937">
        <v>18077</v>
      </c>
      <c r="B937" t="s">
        <v>44</v>
      </c>
      <c r="C937">
        <v>23</v>
      </c>
      <c r="D937">
        <v>0</v>
      </c>
      <c r="E937">
        <v>0.64332432734641498</v>
      </c>
      <c r="F937">
        <v>0</v>
      </c>
    </row>
    <row r="938" spans="1:6" x14ac:dyDescent="0.25">
      <c r="A938">
        <v>18079</v>
      </c>
      <c r="B938" t="s">
        <v>45</v>
      </c>
      <c r="C938">
        <v>0</v>
      </c>
      <c r="D938">
        <v>0</v>
      </c>
      <c r="E938">
        <v>1.03499542057088</v>
      </c>
      <c r="F938">
        <v>0</v>
      </c>
    </row>
    <row r="939" spans="1:6" x14ac:dyDescent="0.25">
      <c r="A939">
        <v>18079</v>
      </c>
      <c r="B939" t="s">
        <v>45</v>
      </c>
      <c r="C939">
        <v>1</v>
      </c>
      <c r="D939">
        <v>0</v>
      </c>
      <c r="E939">
        <v>1.1828519092238701</v>
      </c>
      <c r="F939">
        <v>0</v>
      </c>
    </row>
    <row r="940" spans="1:6" x14ac:dyDescent="0.25">
      <c r="A940">
        <v>18079</v>
      </c>
      <c r="B940" t="s">
        <v>45</v>
      </c>
      <c r="C940">
        <v>2</v>
      </c>
      <c r="D940">
        <v>0</v>
      </c>
      <c r="E940">
        <v>1.1828519092238701</v>
      </c>
      <c r="F940">
        <v>0</v>
      </c>
    </row>
    <row r="941" spans="1:6" x14ac:dyDescent="0.25">
      <c r="A941">
        <v>18079</v>
      </c>
      <c r="B941" t="s">
        <v>45</v>
      </c>
      <c r="C941">
        <v>3</v>
      </c>
      <c r="D941">
        <v>0</v>
      </c>
      <c r="E941">
        <v>1.28142290165919</v>
      </c>
      <c r="F941">
        <v>0</v>
      </c>
    </row>
    <row r="942" spans="1:6" x14ac:dyDescent="0.25">
      <c r="A942">
        <v>18079</v>
      </c>
      <c r="B942" t="s">
        <v>45</v>
      </c>
      <c r="C942">
        <v>4</v>
      </c>
      <c r="D942">
        <v>0</v>
      </c>
      <c r="E942">
        <v>1.2321374054415299</v>
      </c>
      <c r="F942">
        <v>0</v>
      </c>
    </row>
    <row r="943" spans="1:6" x14ac:dyDescent="0.25">
      <c r="A943">
        <v>18079</v>
      </c>
      <c r="B943" t="s">
        <v>45</v>
      </c>
      <c r="C943">
        <v>5</v>
      </c>
      <c r="D943">
        <v>0</v>
      </c>
      <c r="E943">
        <v>1.3307083978768499</v>
      </c>
      <c r="F943">
        <v>0</v>
      </c>
    </row>
    <row r="944" spans="1:6" x14ac:dyDescent="0.25">
      <c r="A944">
        <v>18079</v>
      </c>
      <c r="B944" t="s">
        <v>45</v>
      </c>
      <c r="C944">
        <v>6</v>
      </c>
      <c r="D944">
        <v>0</v>
      </c>
      <c r="E944">
        <v>1.47856488652983</v>
      </c>
      <c r="F944">
        <v>0</v>
      </c>
    </row>
    <row r="945" spans="1:6" x14ac:dyDescent="0.25">
      <c r="A945">
        <v>18079</v>
      </c>
      <c r="B945" t="s">
        <v>45</v>
      </c>
      <c r="C945">
        <v>7</v>
      </c>
      <c r="D945">
        <v>0</v>
      </c>
      <c r="E945">
        <v>1.62642137518282</v>
      </c>
      <c r="F945">
        <v>0</v>
      </c>
    </row>
    <row r="946" spans="1:6" x14ac:dyDescent="0.25">
      <c r="A946">
        <v>18079</v>
      </c>
      <c r="B946" t="s">
        <v>45</v>
      </c>
      <c r="C946">
        <v>8</v>
      </c>
      <c r="D946">
        <v>0</v>
      </c>
      <c r="E946">
        <v>1.4292793903121701</v>
      </c>
      <c r="F946">
        <v>0</v>
      </c>
    </row>
    <row r="947" spans="1:6" x14ac:dyDescent="0.25">
      <c r="A947">
        <v>18079</v>
      </c>
      <c r="B947" t="s">
        <v>45</v>
      </c>
      <c r="C947">
        <v>9</v>
      </c>
      <c r="D947">
        <v>0</v>
      </c>
      <c r="E947">
        <v>2.0207053449241101</v>
      </c>
      <c r="F947">
        <v>0</v>
      </c>
    </row>
    <row r="948" spans="1:6" x14ac:dyDescent="0.25">
      <c r="A948">
        <v>18079</v>
      </c>
      <c r="B948" t="s">
        <v>45</v>
      </c>
      <c r="C948">
        <v>10</v>
      </c>
      <c r="D948">
        <v>0</v>
      </c>
      <c r="E948">
        <v>3.9428396974129001</v>
      </c>
      <c r="F948">
        <v>0</v>
      </c>
    </row>
    <row r="949" spans="1:6" x14ac:dyDescent="0.25">
      <c r="A949">
        <v>18079</v>
      </c>
      <c r="B949" t="s">
        <v>45</v>
      </c>
      <c r="C949">
        <v>11</v>
      </c>
      <c r="D949">
        <v>0</v>
      </c>
      <c r="E949">
        <v>3.4006992390186199</v>
      </c>
      <c r="F949">
        <v>0</v>
      </c>
    </row>
    <row r="950" spans="1:6" x14ac:dyDescent="0.25">
      <c r="A950">
        <v>18079</v>
      </c>
      <c r="B950" t="s">
        <v>45</v>
      </c>
      <c r="C950">
        <v>12</v>
      </c>
      <c r="D950">
        <v>0</v>
      </c>
      <c r="E950">
        <v>2.2178473297947501</v>
      </c>
      <c r="F950">
        <v>0</v>
      </c>
    </row>
    <row r="951" spans="1:6" x14ac:dyDescent="0.25">
      <c r="A951">
        <v>18079</v>
      </c>
      <c r="B951" t="s">
        <v>45</v>
      </c>
      <c r="C951">
        <v>13</v>
      </c>
      <c r="D951">
        <v>0</v>
      </c>
      <c r="E951">
        <v>1.2321374054415299</v>
      </c>
      <c r="F951">
        <v>0</v>
      </c>
    </row>
    <row r="952" spans="1:6" x14ac:dyDescent="0.25">
      <c r="A952">
        <v>18079</v>
      </c>
      <c r="B952" t="s">
        <v>45</v>
      </c>
      <c r="C952">
        <v>14</v>
      </c>
      <c r="D952">
        <v>0</v>
      </c>
      <c r="E952">
        <v>0.59142595461193503</v>
      </c>
      <c r="F952">
        <v>0</v>
      </c>
    </row>
    <row r="953" spans="1:6" x14ac:dyDescent="0.25">
      <c r="A953">
        <v>18079</v>
      </c>
      <c r="B953" t="s">
        <v>45</v>
      </c>
      <c r="C953">
        <v>15</v>
      </c>
      <c r="D953">
        <v>0</v>
      </c>
      <c r="E953">
        <v>0.73928244326491799</v>
      </c>
      <c r="F953">
        <v>0</v>
      </c>
    </row>
    <row r="954" spans="1:6" x14ac:dyDescent="0.25">
      <c r="A954">
        <v>18079</v>
      </c>
      <c r="B954" t="s">
        <v>45</v>
      </c>
      <c r="C954">
        <v>16</v>
      </c>
      <c r="D954">
        <v>0</v>
      </c>
      <c r="E954">
        <v>0.64071145082959602</v>
      </c>
      <c r="F954">
        <v>0</v>
      </c>
    </row>
    <row r="955" spans="1:6" x14ac:dyDescent="0.25">
      <c r="A955">
        <v>18079</v>
      </c>
      <c r="B955" t="s">
        <v>45</v>
      </c>
      <c r="C955">
        <v>17</v>
      </c>
      <c r="D955">
        <v>0</v>
      </c>
      <c r="E955">
        <v>0.44356946595895103</v>
      </c>
      <c r="F955">
        <v>0</v>
      </c>
    </row>
    <row r="956" spans="1:6" x14ac:dyDescent="0.25">
      <c r="A956">
        <v>18079</v>
      </c>
      <c r="B956" t="s">
        <v>45</v>
      </c>
      <c r="C956">
        <v>18</v>
      </c>
      <c r="D956">
        <v>0</v>
      </c>
      <c r="E956">
        <v>0.44356946595895103</v>
      </c>
      <c r="F956">
        <v>0</v>
      </c>
    </row>
    <row r="957" spans="1:6" x14ac:dyDescent="0.25">
      <c r="A957">
        <v>18079</v>
      </c>
      <c r="B957" t="s">
        <v>45</v>
      </c>
      <c r="C957">
        <v>19</v>
      </c>
      <c r="D957">
        <v>0</v>
      </c>
      <c r="E957">
        <v>0.83785343570024096</v>
      </c>
      <c r="F957">
        <v>0</v>
      </c>
    </row>
    <row r="958" spans="1:6" x14ac:dyDescent="0.25">
      <c r="A958">
        <v>18079</v>
      </c>
      <c r="B958" t="s">
        <v>45</v>
      </c>
      <c r="C958">
        <v>20</v>
      </c>
      <c r="D958">
        <v>0</v>
      </c>
      <c r="E958">
        <v>0.54214045839427305</v>
      </c>
      <c r="F958">
        <v>0</v>
      </c>
    </row>
    <row r="959" spans="1:6" x14ac:dyDescent="0.25">
      <c r="A959">
        <v>18079</v>
      </c>
      <c r="B959" t="s">
        <v>45</v>
      </c>
      <c r="C959">
        <v>21</v>
      </c>
      <c r="D959">
        <v>0</v>
      </c>
      <c r="E959">
        <v>0.689996947047257</v>
      </c>
      <c r="F959">
        <v>0</v>
      </c>
    </row>
    <row r="960" spans="1:6" x14ac:dyDescent="0.25">
      <c r="A960">
        <v>18079</v>
      </c>
      <c r="B960" t="s">
        <v>45</v>
      </c>
      <c r="C960">
        <v>22</v>
      </c>
      <c r="D960">
        <v>0</v>
      </c>
      <c r="E960">
        <v>0.88713893191790205</v>
      </c>
      <c r="F960">
        <v>0</v>
      </c>
    </row>
    <row r="961" spans="1:6" x14ac:dyDescent="0.25">
      <c r="A961">
        <v>18079</v>
      </c>
      <c r="B961" t="s">
        <v>45</v>
      </c>
      <c r="C961">
        <v>23</v>
      </c>
      <c r="D961">
        <v>0</v>
      </c>
      <c r="E961">
        <v>1.03499542057088</v>
      </c>
      <c r="F961">
        <v>0</v>
      </c>
    </row>
    <row r="962" spans="1:6" x14ac:dyDescent="0.25">
      <c r="A962">
        <v>18081</v>
      </c>
      <c r="B962" t="s">
        <v>46</v>
      </c>
      <c r="C962">
        <v>0</v>
      </c>
      <c r="D962">
        <v>468.856569145403</v>
      </c>
      <c r="E962">
        <v>14.7775494567535</v>
      </c>
      <c r="F962">
        <v>480</v>
      </c>
    </row>
    <row r="963" spans="1:6" x14ac:dyDescent="0.25">
      <c r="A963">
        <v>18081</v>
      </c>
      <c r="B963" t="s">
        <v>46</v>
      </c>
      <c r="C963">
        <v>1</v>
      </c>
      <c r="D963">
        <v>471.559078190023</v>
      </c>
      <c r="E963">
        <v>17.020056961864</v>
      </c>
      <c r="F963">
        <v>480</v>
      </c>
    </row>
    <row r="964" spans="1:6" x14ac:dyDescent="0.25">
      <c r="A964">
        <v>18081</v>
      </c>
      <c r="B964" t="s">
        <v>46</v>
      </c>
      <c r="C964">
        <v>2</v>
      </c>
      <c r="D964">
        <v>466.67156183273102</v>
      </c>
      <c r="E964">
        <v>19.320064659413202</v>
      </c>
      <c r="F964">
        <v>480</v>
      </c>
    </row>
    <row r="965" spans="1:6" x14ac:dyDescent="0.25">
      <c r="A965">
        <v>18081</v>
      </c>
      <c r="B965" t="s">
        <v>46</v>
      </c>
      <c r="C965">
        <v>3</v>
      </c>
      <c r="D965">
        <v>456.89652911814699</v>
      </c>
      <c r="E965">
        <v>20.412568315749098</v>
      </c>
      <c r="F965">
        <v>480</v>
      </c>
    </row>
    <row r="966" spans="1:6" x14ac:dyDescent="0.25">
      <c r="A966">
        <v>18081</v>
      </c>
      <c r="B966" t="s">
        <v>46</v>
      </c>
      <c r="C966">
        <v>4</v>
      </c>
      <c r="D966">
        <v>441.65897812188399</v>
      </c>
      <c r="E966">
        <v>21.505071972084899</v>
      </c>
      <c r="F966">
        <v>480</v>
      </c>
    </row>
    <row r="967" spans="1:6" x14ac:dyDescent="0.25">
      <c r="A967">
        <v>18081</v>
      </c>
      <c r="B967" t="s">
        <v>46</v>
      </c>
      <c r="C967">
        <v>5</v>
      </c>
      <c r="D967">
        <v>421.01640903638003</v>
      </c>
      <c r="E967">
        <v>23.1725775528081</v>
      </c>
      <c r="F967">
        <v>480</v>
      </c>
    </row>
    <row r="968" spans="1:6" x14ac:dyDescent="0.25">
      <c r="A968">
        <v>18081</v>
      </c>
      <c r="B968" t="s">
        <v>46</v>
      </c>
      <c r="C968">
        <v>6</v>
      </c>
      <c r="D968">
        <v>387.37879645972299</v>
      </c>
      <c r="E968">
        <v>23.057577167930599</v>
      </c>
      <c r="F968">
        <v>480</v>
      </c>
    </row>
    <row r="969" spans="1:6" x14ac:dyDescent="0.25">
      <c r="A969">
        <v>18081</v>
      </c>
      <c r="B969" t="s">
        <v>46</v>
      </c>
      <c r="C969">
        <v>7</v>
      </c>
      <c r="D969">
        <v>338.27363211704699</v>
      </c>
      <c r="E969">
        <v>18.4575617728322</v>
      </c>
      <c r="F969">
        <v>480</v>
      </c>
    </row>
    <row r="970" spans="1:6" x14ac:dyDescent="0.25">
      <c r="A970">
        <v>18081</v>
      </c>
      <c r="B970" t="s">
        <v>46</v>
      </c>
      <c r="C970">
        <v>8</v>
      </c>
      <c r="D970">
        <v>290.77847316265701</v>
      </c>
      <c r="E970">
        <v>15.640052343334499</v>
      </c>
      <c r="F970">
        <v>480</v>
      </c>
    </row>
    <row r="971" spans="1:6" x14ac:dyDescent="0.25">
      <c r="A971">
        <v>18081</v>
      </c>
      <c r="B971" t="s">
        <v>46</v>
      </c>
      <c r="C971">
        <v>9</v>
      </c>
      <c r="D971">
        <v>256.96836000868302</v>
      </c>
      <c r="E971">
        <v>12.650042336520499</v>
      </c>
      <c r="F971">
        <v>480</v>
      </c>
    </row>
    <row r="972" spans="1:6" x14ac:dyDescent="0.25">
      <c r="A972">
        <v>18081</v>
      </c>
      <c r="B972" t="s">
        <v>46</v>
      </c>
      <c r="C972">
        <v>10</v>
      </c>
      <c r="D972">
        <v>239.89080285438101</v>
      </c>
      <c r="E972">
        <v>7.1300238624025001</v>
      </c>
      <c r="F972">
        <v>480</v>
      </c>
    </row>
    <row r="973" spans="1:6" x14ac:dyDescent="0.25">
      <c r="A973">
        <v>18081</v>
      </c>
      <c r="B973" t="s">
        <v>46</v>
      </c>
      <c r="C973">
        <v>11</v>
      </c>
      <c r="D973">
        <v>234.71578553489499</v>
      </c>
      <c r="E973">
        <v>4.3125144329047398</v>
      </c>
      <c r="F973">
        <v>480</v>
      </c>
    </row>
    <row r="974" spans="1:6" x14ac:dyDescent="0.25">
      <c r="A974">
        <v>18081</v>
      </c>
      <c r="B974" t="s">
        <v>46</v>
      </c>
      <c r="C974">
        <v>12</v>
      </c>
      <c r="D974">
        <v>232.99077976173299</v>
      </c>
      <c r="E974">
        <v>4.0250134707110901</v>
      </c>
      <c r="F974">
        <v>480</v>
      </c>
    </row>
    <row r="975" spans="1:6" x14ac:dyDescent="0.25">
      <c r="A975">
        <v>18081</v>
      </c>
      <c r="B975" t="s">
        <v>46</v>
      </c>
      <c r="C975">
        <v>13</v>
      </c>
      <c r="D975">
        <v>235.980789768547</v>
      </c>
      <c r="E975">
        <v>3.8525128933949002</v>
      </c>
      <c r="F975">
        <v>480</v>
      </c>
    </row>
    <row r="976" spans="1:6" x14ac:dyDescent="0.25">
      <c r="A976">
        <v>18081</v>
      </c>
      <c r="B976" t="s">
        <v>46</v>
      </c>
      <c r="C976">
        <v>14</v>
      </c>
      <c r="D976">
        <v>243.91581632509201</v>
      </c>
      <c r="E976">
        <v>3.0475101992526801</v>
      </c>
      <c r="F976">
        <v>480</v>
      </c>
    </row>
    <row r="977" spans="1:6" x14ac:dyDescent="0.25">
      <c r="A977">
        <v>18081</v>
      </c>
      <c r="B977" t="s">
        <v>46</v>
      </c>
      <c r="C977">
        <v>15</v>
      </c>
      <c r="D977">
        <v>260.935873286956</v>
      </c>
      <c r="E977">
        <v>2.8175094294977598</v>
      </c>
      <c r="F977">
        <v>480</v>
      </c>
    </row>
    <row r="978" spans="1:6" x14ac:dyDescent="0.25">
      <c r="A978">
        <v>18081</v>
      </c>
      <c r="B978" t="s">
        <v>46</v>
      </c>
      <c r="C978">
        <v>16</v>
      </c>
      <c r="D978">
        <v>283.59094910781499</v>
      </c>
      <c r="E978">
        <v>2.3575078899879198</v>
      </c>
      <c r="F978">
        <v>480</v>
      </c>
    </row>
    <row r="979" spans="1:6" x14ac:dyDescent="0.25">
      <c r="A979">
        <v>18081</v>
      </c>
      <c r="B979" t="s">
        <v>46</v>
      </c>
      <c r="C979">
        <v>17</v>
      </c>
      <c r="D979">
        <v>318.49356591812398</v>
      </c>
      <c r="E979">
        <v>1.49500500340697</v>
      </c>
      <c r="F979">
        <v>480</v>
      </c>
    </row>
    <row r="980" spans="1:6" x14ac:dyDescent="0.25">
      <c r="A980">
        <v>18081</v>
      </c>
      <c r="B980" t="s">
        <v>46</v>
      </c>
      <c r="C980">
        <v>18</v>
      </c>
      <c r="D980">
        <v>356.38619273524699</v>
      </c>
      <c r="E980">
        <v>2.4150080824266502</v>
      </c>
      <c r="F980">
        <v>480</v>
      </c>
    </row>
    <row r="981" spans="1:6" x14ac:dyDescent="0.25">
      <c r="A981">
        <v>18081</v>
      </c>
      <c r="B981" t="s">
        <v>46</v>
      </c>
      <c r="C981">
        <v>19</v>
      </c>
      <c r="D981">
        <v>387.72379761435502</v>
      </c>
      <c r="E981">
        <v>2.3000076975491899</v>
      </c>
      <c r="F981">
        <v>480</v>
      </c>
    </row>
    <row r="982" spans="1:6" x14ac:dyDescent="0.25">
      <c r="A982">
        <v>18081</v>
      </c>
      <c r="B982" t="s">
        <v>46</v>
      </c>
      <c r="C982">
        <v>20</v>
      </c>
      <c r="D982">
        <v>411.873878438622</v>
      </c>
      <c r="E982">
        <v>3.6800123160787099</v>
      </c>
      <c r="F982">
        <v>480</v>
      </c>
    </row>
    <row r="983" spans="1:6" x14ac:dyDescent="0.25">
      <c r="A983">
        <v>18081</v>
      </c>
      <c r="B983" t="s">
        <v>46</v>
      </c>
      <c r="C983">
        <v>21</v>
      </c>
      <c r="D983">
        <v>435.73645830069501</v>
      </c>
      <c r="E983">
        <v>4.9450165497307701</v>
      </c>
      <c r="F983">
        <v>480</v>
      </c>
    </row>
    <row r="984" spans="1:6" x14ac:dyDescent="0.25">
      <c r="A984">
        <v>18081</v>
      </c>
      <c r="B984" t="s">
        <v>46</v>
      </c>
      <c r="C984">
        <v>22</v>
      </c>
      <c r="D984">
        <v>449.07650294647999</v>
      </c>
      <c r="E984">
        <v>7.1300238624025001</v>
      </c>
      <c r="F984">
        <v>480</v>
      </c>
    </row>
    <row r="985" spans="1:6" x14ac:dyDescent="0.25">
      <c r="A985">
        <v>18081</v>
      </c>
      <c r="B985" t="s">
        <v>46</v>
      </c>
      <c r="C985">
        <v>23</v>
      </c>
      <c r="D985">
        <v>458.96653604594098</v>
      </c>
      <c r="E985">
        <v>11.6150388726234</v>
      </c>
      <c r="F985">
        <v>480</v>
      </c>
    </row>
    <row r="986" spans="1:6" x14ac:dyDescent="0.25">
      <c r="A986">
        <v>18083</v>
      </c>
      <c r="B986" t="s">
        <v>47</v>
      </c>
      <c r="C986">
        <v>0</v>
      </c>
      <c r="D986">
        <v>10.231498137658599</v>
      </c>
      <c r="E986">
        <v>2.1315621120122099</v>
      </c>
      <c r="F986">
        <v>35</v>
      </c>
    </row>
    <row r="987" spans="1:6" x14ac:dyDescent="0.25">
      <c r="A987">
        <v>18083</v>
      </c>
      <c r="B987" t="s">
        <v>47</v>
      </c>
      <c r="C987">
        <v>1</v>
      </c>
      <c r="D987">
        <v>11.7946436864676</v>
      </c>
      <c r="E987">
        <v>2.1315621120122099</v>
      </c>
      <c r="F987">
        <v>35</v>
      </c>
    </row>
    <row r="988" spans="1:6" x14ac:dyDescent="0.25">
      <c r="A988">
        <v>18083</v>
      </c>
      <c r="B988" t="s">
        <v>47</v>
      </c>
      <c r="C988">
        <v>2</v>
      </c>
      <c r="D988">
        <v>11.7946436864676</v>
      </c>
      <c r="E988">
        <v>1.9184059008109899</v>
      </c>
      <c r="F988">
        <v>35</v>
      </c>
    </row>
    <row r="989" spans="1:6" x14ac:dyDescent="0.25">
      <c r="A989">
        <v>18083</v>
      </c>
      <c r="B989" t="s">
        <v>47</v>
      </c>
      <c r="C989">
        <v>3</v>
      </c>
      <c r="D989">
        <v>11.2972791936647</v>
      </c>
      <c r="E989">
        <v>1.8473538304105801</v>
      </c>
      <c r="F989">
        <v>35</v>
      </c>
    </row>
    <row r="990" spans="1:6" x14ac:dyDescent="0.25">
      <c r="A990">
        <v>18083</v>
      </c>
      <c r="B990" t="s">
        <v>47</v>
      </c>
      <c r="C990">
        <v>4</v>
      </c>
      <c r="D990">
        <v>11.2262271232643</v>
      </c>
      <c r="E990">
        <v>1.8473538304105801</v>
      </c>
      <c r="F990">
        <v>35</v>
      </c>
    </row>
    <row r="991" spans="1:6" x14ac:dyDescent="0.25">
      <c r="A991">
        <v>18083</v>
      </c>
      <c r="B991" t="s">
        <v>47</v>
      </c>
      <c r="C991">
        <v>5</v>
      </c>
      <c r="D991">
        <v>11.2972791936647</v>
      </c>
      <c r="E991">
        <v>1.8473538304105801</v>
      </c>
      <c r="F991">
        <v>35</v>
      </c>
    </row>
    <row r="992" spans="1:6" x14ac:dyDescent="0.25">
      <c r="A992">
        <v>18083</v>
      </c>
      <c r="B992" t="s">
        <v>47</v>
      </c>
      <c r="C992">
        <v>6</v>
      </c>
      <c r="D992">
        <v>11.3683312640651</v>
      </c>
      <c r="E992">
        <v>1.70524968960977</v>
      </c>
      <c r="F992">
        <v>35</v>
      </c>
    </row>
    <row r="993" spans="1:6" x14ac:dyDescent="0.25">
      <c r="A993">
        <v>18083</v>
      </c>
      <c r="B993" t="s">
        <v>47</v>
      </c>
      <c r="C993">
        <v>7</v>
      </c>
      <c r="D993">
        <v>9.5920295040549792</v>
      </c>
      <c r="E993">
        <v>2.0605100416118098</v>
      </c>
      <c r="F993">
        <v>35</v>
      </c>
    </row>
    <row r="994" spans="1:6" x14ac:dyDescent="0.25">
      <c r="A994">
        <v>18083</v>
      </c>
      <c r="B994" t="s">
        <v>47</v>
      </c>
      <c r="C994">
        <v>8</v>
      </c>
      <c r="D994">
        <v>8.4551963776484609</v>
      </c>
      <c r="E994">
        <v>2.9131348864166902</v>
      </c>
      <c r="F994">
        <v>35</v>
      </c>
    </row>
    <row r="995" spans="1:6" x14ac:dyDescent="0.25">
      <c r="A995">
        <v>18083</v>
      </c>
      <c r="B995" t="s">
        <v>47</v>
      </c>
      <c r="C995">
        <v>9</v>
      </c>
      <c r="D995">
        <v>6.1815301248354304</v>
      </c>
      <c r="E995">
        <v>2.0605100416118098</v>
      </c>
      <c r="F995">
        <v>35</v>
      </c>
    </row>
    <row r="996" spans="1:6" x14ac:dyDescent="0.25">
      <c r="A996">
        <v>18083</v>
      </c>
      <c r="B996" t="s">
        <v>47</v>
      </c>
      <c r="C996">
        <v>10</v>
      </c>
      <c r="D996">
        <v>6.9631028992399102</v>
      </c>
      <c r="E996">
        <v>2.1315621120122099</v>
      </c>
      <c r="F996">
        <v>35</v>
      </c>
    </row>
    <row r="997" spans="1:6" x14ac:dyDescent="0.25">
      <c r="A997">
        <v>18083</v>
      </c>
      <c r="B997" t="s">
        <v>47</v>
      </c>
      <c r="C997">
        <v>11</v>
      </c>
      <c r="D997">
        <v>8.8104567296505003</v>
      </c>
      <c r="E997">
        <v>2.4868224640142498</v>
      </c>
      <c r="F997">
        <v>35</v>
      </c>
    </row>
    <row r="998" spans="1:6" x14ac:dyDescent="0.25">
      <c r="A998">
        <v>18083</v>
      </c>
      <c r="B998" t="s">
        <v>47</v>
      </c>
      <c r="C998">
        <v>12</v>
      </c>
      <c r="D998">
        <v>7.3894153216423497</v>
      </c>
      <c r="E998">
        <v>1.4210414080081399</v>
      </c>
      <c r="F998">
        <v>35</v>
      </c>
    </row>
    <row r="999" spans="1:6" x14ac:dyDescent="0.25">
      <c r="A999">
        <v>18083</v>
      </c>
      <c r="B999" t="s">
        <v>47</v>
      </c>
      <c r="C999">
        <v>13</v>
      </c>
      <c r="D999">
        <v>5.1157490688293201</v>
      </c>
      <c r="E999">
        <v>1.3499893376077301</v>
      </c>
      <c r="F999">
        <v>35</v>
      </c>
    </row>
    <row r="1000" spans="1:6" x14ac:dyDescent="0.25">
      <c r="A1000">
        <v>18083</v>
      </c>
      <c r="B1000" t="s">
        <v>47</v>
      </c>
      <c r="C1000">
        <v>14</v>
      </c>
      <c r="D1000">
        <v>3.9078638720223999</v>
      </c>
      <c r="E1000">
        <v>0.92367691520529405</v>
      </c>
      <c r="F1000">
        <v>35</v>
      </c>
    </row>
    <row r="1001" spans="1:6" x14ac:dyDescent="0.25">
      <c r="A1001">
        <v>18083</v>
      </c>
      <c r="B1001" t="s">
        <v>47</v>
      </c>
      <c r="C1001">
        <v>15</v>
      </c>
      <c r="D1001">
        <v>3.69470766082117</v>
      </c>
      <c r="E1001">
        <v>1.49209347840855</v>
      </c>
      <c r="F1001">
        <v>35</v>
      </c>
    </row>
    <row r="1002" spans="1:6" x14ac:dyDescent="0.25">
      <c r="A1002">
        <v>18083</v>
      </c>
      <c r="B1002" t="s">
        <v>47</v>
      </c>
      <c r="C1002">
        <v>16</v>
      </c>
      <c r="D1002">
        <v>2.9841869568171</v>
      </c>
      <c r="E1002">
        <v>1.49209347840855</v>
      </c>
      <c r="F1002">
        <v>35</v>
      </c>
    </row>
    <row r="1003" spans="1:6" x14ac:dyDescent="0.25">
      <c r="A1003">
        <v>18083</v>
      </c>
      <c r="B1003" t="s">
        <v>47</v>
      </c>
      <c r="C1003">
        <v>17</v>
      </c>
      <c r="D1003">
        <v>4.1920721536240304</v>
      </c>
      <c r="E1003">
        <v>1.4210414080081399</v>
      </c>
      <c r="F1003">
        <v>35</v>
      </c>
    </row>
    <row r="1004" spans="1:6" x14ac:dyDescent="0.25">
      <c r="A1004">
        <v>18083</v>
      </c>
      <c r="B1004" t="s">
        <v>47</v>
      </c>
      <c r="C1004">
        <v>18</v>
      </c>
      <c r="D1004">
        <v>5.18680113922973</v>
      </c>
      <c r="E1004">
        <v>1.70524968960977</v>
      </c>
      <c r="F1004">
        <v>35</v>
      </c>
    </row>
    <row r="1005" spans="1:6" x14ac:dyDescent="0.25">
      <c r="A1005">
        <v>18083</v>
      </c>
      <c r="B1005" t="s">
        <v>47</v>
      </c>
      <c r="C1005">
        <v>19</v>
      </c>
      <c r="D1005">
        <v>5.3999573504309497</v>
      </c>
      <c r="E1005">
        <v>5.6131135616321703</v>
      </c>
      <c r="F1005">
        <v>35</v>
      </c>
    </row>
    <row r="1006" spans="1:6" x14ac:dyDescent="0.25">
      <c r="A1006">
        <v>18083</v>
      </c>
      <c r="B1006" t="s">
        <v>47</v>
      </c>
      <c r="C1006">
        <v>20</v>
      </c>
      <c r="D1006">
        <v>5.8973218432337999</v>
      </c>
      <c r="E1006">
        <v>5.6131135616321703</v>
      </c>
      <c r="F1006">
        <v>35</v>
      </c>
    </row>
    <row r="1007" spans="1:6" x14ac:dyDescent="0.25">
      <c r="A1007">
        <v>18083</v>
      </c>
      <c r="B1007" t="s">
        <v>47</v>
      </c>
      <c r="C1007">
        <v>21</v>
      </c>
      <c r="D1007">
        <v>6.3946863360366502</v>
      </c>
      <c r="E1007">
        <v>1.9894579712114</v>
      </c>
      <c r="F1007">
        <v>35</v>
      </c>
    </row>
    <row r="1008" spans="1:6" x14ac:dyDescent="0.25">
      <c r="A1008">
        <v>18083</v>
      </c>
      <c r="B1008" t="s">
        <v>47</v>
      </c>
      <c r="C1008">
        <v>22</v>
      </c>
      <c r="D1008">
        <v>7.8157277440447999</v>
      </c>
      <c r="E1008">
        <v>2.0605100416118098</v>
      </c>
      <c r="F1008">
        <v>35</v>
      </c>
    </row>
    <row r="1009" spans="1:6" x14ac:dyDescent="0.25">
      <c r="A1009">
        <v>18083</v>
      </c>
      <c r="B1009" t="s">
        <v>47</v>
      </c>
      <c r="C1009">
        <v>23</v>
      </c>
      <c r="D1009">
        <v>9.0236129408517201</v>
      </c>
      <c r="E1009">
        <v>1.9894579712114</v>
      </c>
      <c r="F1009">
        <v>35</v>
      </c>
    </row>
    <row r="1010" spans="1:6" x14ac:dyDescent="0.25">
      <c r="A1010">
        <v>18085</v>
      </c>
      <c r="B1010" t="s">
        <v>48</v>
      </c>
      <c r="C1010">
        <v>0</v>
      </c>
      <c r="D1010">
        <v>0</v>
      </c>
      <c r="E1010">
        <v>3.4610861811292999</v>
      </c>
      <c r="F1010">
        <v>0</v>
      </c>
    </row>
    <row r="1011" spans="1:6" x14ac:dyDescent="0.25">
      <c r="A1011">
        <v>18085</v>
      </c>
      <c r="B1011" t="s">
        <v>48</v>
      </c>
      <c r="C1011">
        <v>1</v>
      </c>
      <c r="D1011">
        <v>0</v>
      </c>
      <c r="E1011">
        <v>3.51877095081479</v>
      </c>
      <c r="F1011">
        <v>0</v>
      </c>
    </row>
    <row r="1012" spans="1:6" x14ac:dyDescent="0.25">
      <c r="A1012">
        <v>18085</v>
      </c>
      <c r="B1012" t="s">
        <v>48</v>
      </c>
      <c r="C1012">
        <v>2</v>
      </c>
      <c r="D1012">
        <v>0</v>
      </c>
      <c r="E1012">
        <v>3.57645572050028</v>
      </c>
      <c r="F1012">
        <v>0</v>
      </c>
    </row>
    <row r="1013" spans="1:6" x14ac:dyDescent="0.25">
      <c r="A1013">
        <v>18085</v>
      </c>
      <c r="B1013" t="s">
        <v>48</v>
      </c>
      <c r="C1013">
        <v>3</v>
      </c>
      <c r="D1013">
        <v>0</v>
      </c>
      <c r="E1013">
        <v>3.6918252598712602</v>
      </c>
      <c r="F1013">
        <v>0</v>
      </c>
    </row>
    <row r="1014" spans="1:6" x14ac:dyDescent="0.25">
      <c r="A1014">
        <v>18085</v>
      </c>
      <c r="B1014" t="s">
        <v>48</v>
      </c>
      <c r="C1014">
        <v>4</v>
      </c>
      <c r="D1014">
        <v>0</v>
      </c>
      <c r="E1014">
        <v>3.6341404901857701</v>
      </c>
      <c r="F1014">
        <v>0</v>
      </c>
    </row>
    <row r="1015" spans="1:6" x14ac:dyDescent="0.25">
      <c r="A1015">
        <v>18085</v>
      </c>
      <c r="B1015" t="s">
        <v>48</v>
      </c>
      <c r="C1015">
        <v>5</v>
      </c>
      <c r="D1015">
        <v>0</v>
      </c>
      <c r="E1015">
        <v>3.9225643386132099</v>
      </c>
      <c r="F1015">
        <v>0</v>
      </c>
    </row>
    <row r="1016" spans="1:6" x14ac:dyDescent="0.25">
      <c r="A1016">
        <v>18085</v>
      </c>
      <c r="B1016" t="s">
        <v>48</v>
      </c>
      <c r="C1016">
        <v>6</v>
      </c>
      <c r="D1016">
        <v>0</v>
      </c>
      <c r="E1016">
        <v>6.5760637441456797</v>
      </c>
      <c r="F1016">
        <v>0</v>
      </c>
    </row>
    <row r="1017" spans="1:6" x14ac:dyDescent="0.25">
      <c r="A1017">
        <v>18085</v>
      </c>
      <c r="B1017" t="s">
        <v>48</v>
      </c>
      <c r="C1017">
        <v>7</v>
      </c>
      <c r="D1017">
        <v>0</v>
      </c>
      <c r="E1017">
        <v>14.248138112315599</v>
      </c>
      <c r="F1017">
        <v>0</v>
      </c>
    </row>
    <row r="1018" spans="1:6" x14ac:dyDescent="0.25">
      <c r="A1018">
        <v>18085</v>
      </c>
      <c r="B1018" t="s">
        <v>48</v>
      </c>
      <c r="C1018">
        <v>8</v>
      </c>
      <c r="D1018">
        <v>0</v>
      </c>
      <c r="E1018">
        <v>20.247354159606399</v>
      </c>
      <c r="F1018">
        <v>0</v>
      </c>
    </row>
    <row r="1019" spans="1:6" x14ac:dyDescent="0.25">
      <c r="A1019">
        <v>18085</v>
      </c>
      <c r="B1019" t="s">
        <v>48</v>
      </c>
      <c r="C1019">
        <v>9</v>
      </c>
      <c r="D1019">
        <v>0</v>
      </c>
      <c r="E1019">
        <v>23.650755571050201</v>
      </c>
      <c r="F1019">
        <v>0</v>
      </c>
    </row>
    <row r="1020" spans="1:6" x14ac:dyDescent="0.25">
      <c r="A1020">
        <v>18085</v>
      </c>
      <c r="B1020" t="s">
        <v>48</v>
      </c>
      <c r="C1020">
        <v>10</v>
      </c>
      <c r="D1020">
        <v>0</v>
      </c>
      <c r="E1020">
        <v>25.0928748131874</v>
      </c>
      <c r="F1020">
        <v>0</v>
      </c>
    </row>
    <row r="1021" spans="1:6" x14ac:dyDescent="0.25">
      <c r="A1021">
        <v>18085</v>
      </c>
      <c r="B1021" t="s">
        <v>48</v>
      </c>
      <c r="C1021">
        <v>11</v>
      </c>
      <c r="D1021">
        <v>0</v>
      </c>
      <c r="E1021">
        <v>24.631396655703501</v>
      </c>
      <c r="F1021">
        <v>0</v>
      </c>
    </row>
    <row r="1022" spans="1:6" x14ac:dyDescent="0.25">
      <c r="A1022">
        <v>18085</v>
      </c>
      <c r="B1022" t="s">
        <v>48</v>
      </c>
      <c r="C1022">
        <v>12</v>
      </c>
      <c r="D1022">
        <v>0</v>
      </c>
      <c r="E1022">
        <v>17.420800445017498</v>
      </c>
      <c r="F1022">
        <v>0</v>
      </c>
    </row>
    <row r="1023" spans="1:6" x14ac:dyDescent="0.25">
      <c r="A1023">
        <v>18085</v>
      </c>
      <c r="B1023" t="s">
        <v>48</v>
      </c>
      <c r="C1023">
        <v>13</v>
      </c>
      <c r="D1023">
        <v>0</v>
      </c>
      <c r="E1023">
        <v>16.786267978477099</v>
      </c>
      <c r="F1023">
        <v>0</v>
      </c>
    </row>
    <row r="1024" spans="1:6" x14ac:dyDescent="0.25">
      <c r="A1024">
        <v>18085</v>
      </c>
      <c r="B1024" t="s">
        <v>48</v>
      </c>
      <c r="C1024">
        <v>14</v>
      </c>
      <c r="D1024">
        <v>0</v>
      </c>
      <c r="E1024">
        <v>14.305822882001101</v>
      </c>
      <c r="F1024">
        <v>0</v>
      </c>
    </row>
    <row r="1025" spans="1:6" x14ac:dyDescent="0.25">
      <c r="A1025">
        <v>18085</v>
      </c>
      <c r="B1025" t="s">
        <v>48</v>
      </c>
      <c r="C1025">
        <v>15</v>
      </c>
      <c r="D1025">
        <v>0</v>
      </c>
      <c r="E1025">
        <v>10.5563128524443</v>
      </c>
      <c r="F1025">
        <v>0</v>
      </c>
    </row>
    <row r="1026" spans="1:6" x14ac:dyDescent="0.25">
      <c r="A1026">
        <v>18085</v>
      </c>
      <c r="B1026" t="s">
        <v>48</v>
      </c>
      <c r="C1026">
        <v>16</v>
      </c>
      <c r="D1026">
        <v>0</v>
      </c>
      <c r="E1026">
        <v>5.2493140413794501</v>
      </c>
      <c r="F1026">
        <v>0</v>
      </c>
    </row>
    <row r="1027" spans="1:6" x14ac:dyDescent="0.25">
      <c r="A1027">
        <v>18085</v>
      </c>
      <c r="B1027" t="s">
        <v>48</v>
      </c>
      <c r="C1027">
        <v>17</v>
      </c>
      <c r="D1027">
        <v>0</v>
      </c>
      <c r="E1027">
        <v>2.42276032679051</v>
      </c>
      <c r="F1027">
        <v>0</v>
      </c>
    </row>
    <row r="1028" spans="1:6" x14ac:dyDescent="0.25">
      <c r="A1028">
        <v>18085</v>
      </c>
      <c r="B1028" t="s">
        <v>48</v>
      </c>
      <c r="C1028">
        <v>18</v>
      </c>
      <c r="D1028">
        <v>0</v>
      </c>
      <c r="E1028">
        <v>1.9612821693066</v>
      </c>
      <c r="F1028">
        <v>0</v>
      </c>
    </row>
    <row r="1029" spans="1:6" x14ac:dyDescent="0.25">
      <c r="A1029">
        <v>18085</v>
      </c>
      <c r="B1029" t="s">
        <v>48</v>
      </c>
      <c r="C1029">
        <v>19</v>
      </c>
      <c r="D1029">
        <v>0</v>
      </c>
      <c r="E1029">
        <v>2.0766517086775802</v>
      </c>
      <c r="F1029">
        <v>0</v>
      </c>
    </row>
    <row r="1030" spans="1:6" x14ac:dyDescent="0.25">
      <c r="A1030">
        <v>18085</v>
      </c>
      <c r="B1030" t="s">
        <v>48</v>
      </c>
      <c r="C1030">
        <v>20</v>
      </c>
      <c r="D1030">
        <v>0</v>
      </c>
      <c r="E1030">
        <v>2.6534994055324699</v>
      </c>
      <c r="F1030">
        <v>0</v>
      </c>
    </row>
    <row r="1031" spans="1:6" x14ac:dyDescent="0.25">
      <c r="A1031">
        <v>18085</v>
      </c>
      <c r="B1031" t="s">
        <v>48</v>
      </c>
      <c r="C1031">
        <v>21</v>
      </c>
      <c r="D1031">
        <v>0</v>
      </c>
      <c r="E1031">
        <v>2.88423848427442</v>
      </c>
      <c r="F1031">
        <v>0</v>
      </c>
    </row>
    <row r="1032" spans="1:6" x14ac:dyDescent="0.25">
      <c r="A1032">
        <v>18085</v>
      </c>
      <c r="B1032" t="s">
        <v>48</v>
      </c>
      <c r="C1032">
        <v>22</v>
      </c>
      <c r="D1032">
        <v>0</v>
      </c>
      <c r="E1032">
        <v>3.1726623327018602</v>
      </c>
      <c r="F1032">
        <v>0</v>
      </c>
    </row>
    <row r="1033" spans="1:6" x14ac:dyDescent="0.25">
      <c r="A1033">
        <v>18085</v>
      </c>
      <c r="B1033" t="s">
        <v>48</v>
      </c>
      <c r="C1033">
        <v>23</v>
      </c>
      <c r="D1033">
        <v>0</v>
      </c>
      <c r="E1033">
        <v>3.1726623327018602</v>
      </c>
      <c r="F1033">
        <v>0</v>
      </c>
    </row>
    <row r="1034" spans="1:6" x14ac:dyDescent="0.25">
      <c r="A1034">
        <v>18087</v>
      </c>
      <c r="B1034" t="s">
        <v>49</v>
      </c>
      <c r="C1034">
        <v>0</v>
      </c>
      <c r="D1034">
        <v>93.510243665728495</v>
      </c>
      <c r="E1034">
        <v>4.0545056254624301</v>
      </c>
      <c r="F1034">
        <v>110</v>
      </c>
    </row>
    <row r="1035" spans="1:6" x14ac:dyDescent="0.25">
      <c r="A1035">
        <v>18087</v>
      </c>
      <c r="B1035" t="s">
        <v>49</v>
      </c>
      <c r="C1035">
        <v>1</v>
      </c>
      <c r="D1035">
        <v>93.048337961561899</v>
      </c>
      <c r="E1035">
        <v>5.2349313138882003</v>
      </c>
      <c r="F1035">
        <v>110</v>
      </c>
    </row>
    <row r="1036" spans="1:6" x14ac:dyDescent="0.25">
      <c r="A1036">
        <v>18087</v>
      </c>
      <c r="B1036" t="s">
        <v>49</v>
      </c>
      <c r="C1036">
        <v>2</v>
      </c>
      <c r="D1036">
        <v>91.867912273136099</v>
      </c>
      <c r="E1036">
        <v>6.2100655782399299</v>
      </c>
      <c r="F1036">
        <v>110</v>
      </c>
    </row>
    <row r="1037" spans="1:6" x14ac:dyDescent="0.25">
      <c r="A1037">
        <v>18087</v>
      </c>
      <c r="B1037" t="s">
        <v>49</v>
      </c>
      <c r="C1037">
        <v>3</v>
      </c>
      <c r="D1037">
        <v>91.559975137025106</v>
      </c>
      <c r="E1037">
        <v>6.8772627064805798</v>
      </c>
      <c r="F1037">
        <v>110</v>
      </c>
    </row>
    <row r="1038" spans="1:6" x14ac:dyDescent="0.25">
      <c r="A1038">
        <v>18087</v>
      </c>
      <c r="B1038" t="s">
        <v>49</v>
      </c>
      <c r="C1038">
        <v>4</v>
      </c>
      <c r="D1038">
        <v>90.995423720821407</v>
      </c>
      <c r="E1038">
        <v>8.6735626671284898</v>
      </c>
      <c r="F1038">
        <v>110</v>
      </c>
    </row>
    <row r="1039" spans="1:6" x14ac:dyDescent="0.25">
      <c r="A1039">
        <v>18087</v>
      </c>
      <c r="B1039" t="s">
        <v>49</v>
      </c>
      <c r="C1039">
        <v>5</v>
      </c>
      <c r="D1039">
        <v>85.195940990729596</v>
      </c>
      <c r="E1039">
        <v>8.1603341069433792</v>
      </c>
      <c r="F1039">
        <v>110</v>
      </c>
    </row>
    <row r="1040" spans="1:6" x14ac:dyDescent="0.25">
      <c r="A1040">
        <v>18087</v>
      </c>
      <c r="B1040" t="s">
        <v>49</v>
      </c>
      <c r="C1040">
        <v>6</v>
      </c>
      <c r="D1040">
        <v>78.370001140267505</v>
      </c>
      <c r="E1040">
        <v>7.5444598347212297</v>
      </c>
      <c r="F1040">
        <v>110</v>
      </c>
    </row>
    <row r="1041" spans="1:6" x14ac:dyDescent="0.25">
      <c r="A1041">
        <v>18087</v>
      </c>
      <c r="B1041" t="s">
        <v>49</v>
      </c>
      <c r="C1041">
        <v>7</v>
      </c>
      <c r="D1041">
        <v>68.772627064805803</v>
      </c>
      <c r="E1041">
        <v>6.2100655782399299</v>
      </c>
      <c r="F1041">
        <v>110</v>
      </c>
    </row>
    <row r="1042" spans="1:6" x14ac:dyDescent="0.25">
      <c r="A1042">
        <v>18087</v>
      </c>
      <c r="B1042" t="s">
        <v>49</v>
      </c>
      <c r="C1042">
        <v>8</v>
      </c>
      <c r="D1042">
        <v>52.8112188430486</v>
      </c>
      <c r="E1042">
        <v>5.6455141620363003</v>
      </c>
      <c r="F1042">
        <v>110</v>
      </c>
    </row>
    <row r="1043" spans="1:6" x14ac:dyDescent="0.25">
      <c r="A1043">
        <v>18087</v>
      </c>
      <c r="B1043" t="s">
        <v>49</v>
      </c>
      <c r="C1043">
        <v>9</v>
      </c>
      <c r="D1043">
        <v>43.2651676236054</v>
      </c>
      <c r="E1043">
        <v>3.9518599134254102</v>
      </c>
      <c r="F1043">
        <v>110</v>
      </c>
    </row>
    <row r="1044" spans="1:6" x14ac:dyDescent="0.25">
      <c r="A1044">
        <v>18087</v>
      </c>
      <c r="B1044" t="s">
        <v>49</v>
      </c>
      <c r="C1044">
        <v>10</v>
      </c>
      <c r="D1044">
        <v>37.927590597680201</v>
      </c>
      <c r="E1044">
        <v>3.4899542092588001</v>
      </c>
      <c r="F1044">
        <v>110</v>
      </c>
    </row>
    <row r="1045" spans="1:6" x14ac:dyDescent="0.25">
      <c r="A1045">
        <v>18087</v>
      </c>
      <c r="B1045" t="s">
        <v>49</v>
      </c>
      <c r="C1045">
        <v>11</v>
      </c>
      <c r="D1045">
        <v>42.597970495364798</v>
      </c>
      <c r="E1045">
        <v>2.6687885129626099</v>
      </c>
      <c r="F1045">
        <v>110</v>
      </c>
    </row>
    <row r="1046" spans="1:6" x14ac:dyDescent="0.25">
      <c r="A1046">
        <v>18087</v>
      </c>
      <c r="B1046" t="s">
        <v>49</v>
      </c>
      <c r="C1046">
        <v>12</v>
      </c>
      <c r="D1046">
        <v>50.091107474067499</v>
      </c>
      <c r="E1046">
        <v>1.8476228166664199</v>
      </c>
      <c r="F1046">
        <v>110</v>
      </c>
    </row>
    <row r="1047" spans="1:6" x14ac:dyDescent="0.25">
      <c r="A1047">
        <v>18087</v>
      </c>
      <c r="B1047" t="s">
        <v>49</v>
      </c>
      <c r="C1047">
        <v>13</v>
      </c>
      <c r="D1047">
        <v>52.041376002770903</v>
      </c>
      <c r="E1047">
        <v>3.13069421712922</v>
      </c>
      <c r="F1047">
        <v>110</v>
      </c>
    </row>
    <row r="1048" spans="1:6" x14ac:dyDescent="0.25">
      <c r="A1048">
        <v>18087</v>
      </c>
      <c r="B1048" t="s">
        <v>49</v>
      </c>
      <c r="C1048">
        <v>14</v>
      </c>
      <c r="D1048">
        <v>49.8344931939749</v>
      </c>
      <c r="E1048">
        <v>2.8740799370366599</v>
      </c>
      <c r="F1048">
        <v>110</v>
      </c>
    </row>
    <row r="1049" spans="1:6" x14ac:dyDescent="0.25">
      <c r="A1049">
        <v>18087</v>
      </c>
      <c r="B1049" t="s">
        <v>49</v>
      </c>
      <c r="C1049">
        <v>15</v>
      </c>
      <c r="D1049">
        <v>51.579470298604299</v>
      </c>
      <c r="E1049">
        <v>2.2582056648145201</v>
      </c>
      <c r="F1049">
        <v>110</v>
      </c>
    </row>
    <row r="1050" spans="1:6" x14ac:dyDescent="0.25">
      <c r="A1050">
        <v>18087</v>
      </c>
      <c r="B1050" t="s">
        <v>49</v>
      </c>
      <c r="C1050">
        <v>16</v>
      </c>
      <c r="D1050">
        <v>55.582653068048302</v>
      </c>
      <c r="E1050">
        <v>0.46190570416660598</v>
      </c>
      <c r="F1050">
        <v>110</v>
      </c>
    </row>
    <row r="1051" spans="1:6" x14ac:dyDescent="0.25">
      <c r="A1051">
        <v>18087</v>
      </c>
      <c r="B1051" t="s">
        <v>49</v>
      </c>
      <c r="C1051">
        <v>17</v>
      </c>
      <c r="D1051">
        <v>60.663615813880902</v>
      </c>
      <c r="E1051">
        <v>0.76984284027767702</v>
      </c>
      <c r="F1051">
        <v>110</v>
      </c>
    </row>
    <row r="1052" spans="1:6" x14ac:dyDescent="0.25">
      <c r="A1052">
        <v>18087</v>
      </c>
      <c r="B1052" t="s">
        <v>49</v>
      </c>
      <c r="C1052">
        <v>18</v>
      </c>
      <c r="D1052">
        <v>67.232941384250495</v>
      </c>
      <c r="E1052">
        <v>0.56455141620363003</v>
      </c>
      <c r="F1052">
        <v>110</v>
      </c>
    </row>
    <row r="1053" spans="1:6" x14ac:dyDescent="0.25">
      <c r="A1053">
        <v>18087</v>
      </c>
      <c r="B1053" t="s">
        <v>49</v>
      </c>
      <c r="C1053">
        <v>19</v>
      </c>
      <c r="D1053">
        <v>74.007558378694</v>
      </c>
      <c r="E1053">
        <v>0.25661428009255899</v>
      </c>
      <c r="F1053">
        <v>110</v>
      </c>
    </row>
    <row r="1054" spans="1:6" x14ac:dyDescent="0.25">
      <c r="A1054">
        <v>18087</v>
      </c>
      <c r="B1054" t="s">
        <v>49</v>
      </c>
      <c r="C1054">
        <v>20</v>
      </c>
      <c r="D1054">
        <v>81.346726789341204</v>
      </c>
      <c r="E1054">
        <v>0.46190570416660598</v>
      </c>
      <c r="F1054">
        <v>110</v>
      </c>
    </row>
    <row r="1055" spans="1:6" x14ac:dyDescent="0.25">
      <c r="A1055">
        <v>18087</v>
      </c>
      <c r="B1055" t="s">
        <v>49</v>
      </c>
      <c r="C1055">
        <v>21</v>
      </c>
      <c r="D1055">
        <v>86.171075255081305</v>
      </c>
      <c r="E1055">
        <v>1.53968568055535</v>
      </c>
      <c r="F1055">
        <v>110</v>
      </c>
    </row>
    <row r="1056" spans="1:6" x14ac:dyDescent="0.25">
      <c r="A1056">
        <v>18087</v>
      </c>
      <c r="B1056" t="s">
        <v>49</v>
      </c>
      <c r="C1056">
        <v>22</v>
      </c>
      <c r="D1056">
        <v>89.866320888414194</v>
      </c>
      <c r="E1056">
        <v>2.4121742328700502</v>
      </c>
      <c r="F1056">
        <v>110</v>
      </c>
    </row>
    <row r="1057" spans="1:6" x14ac:dyDescent="0.25">
      <c r="A1057">
        <v>18087</v>
      </c>
      <c r="B1057" t="s">
        <v>49</v>
      </c>
      <c r="C1057">
        <v>23</v>
      </c>
      <c r="D1057">
        <v>92.329817977302696</v>
      </c>
      <c r="E1057">
        <v>3.4386313532402899</v>
      </c>
      <c r="F1057">
        <v>110</v>
      </c>
    </row>
    <row r="1058" spans="1:6" x14ac:dyDescent="0.25">
      <c r="A1058">
        <v>18089</v>
      </c>
      <c r="B1058" t="s">
        <v>50</v>
      </c>
      <c r="C1058">
        <v>0</v>
      </c>
      <c r="D1058">
        <v>1481.33474739438</v>
      </c>
      <c r="E1058">
        <v>35.5916803662275</v>
      </c>
      <c r="F1058">
        <v>1826</v>
      </c>
    </row>
    <row r="1059" spans="1:6" x14ac:dyDescent="0.25">
      <c r="A1059">
        <v>18089</v>
      </c>
      <c r="B1059" t="s">
        <v>50</v>
      </c>
      <c r="C1059">
        <v>1</v>
      </c>
      <c r="D1059">
        <v>1468.36956425112</v>
      </c>
      <c r="E1059">
        <v>35.691797610576899</v>
      </c>
      <c r="F1059">
        <v>1826</v>
      </c>
    </row>
    <row r="1060" spans="1:6" x14ac:dyDescent="0.25">
      <c r="A1060">
        <v>18089</v>
      </c>
      <c r="B1060" t="s">
        <v>50</v>
      </c>
      <c r="C1060">
        <v>2</v>
      </c>
      <c r="D1060">
        <v>1445.34259805075</v>
      </c>
      <c r="E1060">
        <v>37.393790764517497</v>
      </c>
      <c r="F1060">
        <v>1826</v>
      </c>
    </row>
    <row r="1061" spans="1:6" x14ac:dyDescent="0.25">
      <c r="A1061">
        <v>18089</v>
      </c>
      <c r="B1061" t="s">
        <v>50</v>
      </c>
      <c r="C1061">
        <v>3</v>
      </c>
      <c r="D1061">
        <v>1406.8475175983899</v>
      </c>
      <c r="E1061">
        <v>39.496252895855797</v>
      </c>
      <c r="F1061">
        <v>1826</v>
      </c>
    </row>
    <row r="1062" spans="1:6" x14ac:dyDescent="0.25">
      <c r="A1062">
        <v>18089</v>
      </c>
      <c r="B1062" t="s">
        <v>50</v>
      </c>
      <c r="C1062">
        <v>4</v>
      </c>
      <c r="D1062">
        <v>1339.11820179599</v>
      </c>
      <c r="E1062">
        <v>55.1646016365439</v>
      </c>
      <c r="F1062">
        <v>1826</v>
      </c>
    </row>
    <row r="1063" spans="1:6" x14ac:dyDescent="0.25">
      <c r="A1063">
        <v>18089</v>
      </c>
      <c r="B1063" t="s">
        <v>50</v>
      </c>
      <c r="C1063">
        <v>5</v>
      </c>
      <c r="D1063">
        <v>1226.18595016982</v>
      </c>
      <c r="E1063">
        <v>70.883008999406698</v>
      </c>
      <c r="F1063">
        <v>1826</v>
      </c>
    </row>
    <row r="1064" spans="1:6" x14ac:dyDescent="0.25">
      <c r="A1064">
        <v>18089</v>
      </c>
      <c r="B1064" t="s">
        <v>50</v>
      </c>
      <c r="C1064">
        <v>6</v>
      </c>
      <c r="D1064">
        <v>1050.53024495872</v>
      </c>
      <c r="E1064">
        <v>80.294029968254506</v>
      </c>
      <c r="F1064">
        <v>1826</v>
      </c>
    </row>
    <row r="1065" spans="1:6" x14ac:dyDescent="0.25">
      <c r="A1065">
        <v>18089</v>
      </c>
      <c r="B1065" t="s">
        <v>50</v>
      </c>
      <c r="C1065">
        <v>7</v>
      </c>
      <c r="D1065">
        <v>836.88004551700601</v>
      </c>
      <c r="E1065">
        <v>97.664371862883101</v>
      </c>
      <c r="F1065">
        <v>1826</v>
      </c>
    </row>
    <row r="1066" spans="1:6" x14ac:dyDescent="0.25">
      <c r="A1066">
        <v>18089</v>
      </c>
      <c r="B1066" t="s">
        <v>50</v>
      </c>
      <c r="C1066">
        <v>8</v>
      </c>
      <c r="D1066">
        <v>674.48987518220702</v>
      </c>
      <c r="E1066">
        <v>113.282661981396</v>
      </c>
      <c r="F1066">
        <v>1826</v>
      </c>
    </row>
    <row r="1067" spans="1:6" x14ac:dyDescent="0.25">
      <c r="A1067">
        <v>18089</v>
      </c>
      <c r="B1067" t="s">
        <v>50</v>
      </c>
      <c r="C1067">
        <v>9</v>
      </c>
      <c r="D1067">
        <v>574.42268945493799</v>
      </c>
      <c r="E1067">
        <v>115.285006868385</v>
      </c>
      <c r="F1067">
        <v>1826</v>
      </c>
    </row>
    <row r="1068" spans="1:6" x14ac:dyDescent="0.25">
      <c r="A1068">
        <v>18089</v>
      </c>
      <c r="B1068" t="s">
        <v>50</v>
      </c>
      <c r="C1068">
        <v>10</v>
      </c>
      <c r="D1068">
        <v>535.02655380343106</v>
      </c>
      <c r="E1068">
        <v>100.517713326842</v>
      </c>
      <c r="F1068">
        <v>1826</v>
      </c>
    </row>
    <row r="1069" spans="1:6" x14ac:dyDescent="0.25">
      <c r="A1069">
        <v>18089</v>
      </c>
      <c r="B1069" t="s">
        <v>50</v>
      </c>
      <c r="C1069">
        <v>11</v>
      </c>
      <c r="D1069">
        <v>532.12315371729699</v>
      </c>
      <c r="E1069">
        <v>89.254523337529804</v>
      </c>
      <c r="F1069">
        <v>1826</v>
      </c>
    </row>
    <row r="1070" spans="1:6" x14ac:dyDescent="0.25">
      <c r="A1070">
        <v>18089</v>
      </c>
      <c r="B1070" t="s">
        <v>50</v>
      </c>
      <c r="C1070">
        <v>12</v>
      </c>
      <c r="D1070">
        <v>551.24554738804102</v>
      </c>
      <c r="E1070">
        <v>90.355813025373607</v>
      </c>
      <c r="F1070">
        <v>1826</v>
      </c>
    </row>
    <row r="1071" spans="1:6" x14ac:dyDescent="0.25">
      <c r="A1071">
        <v>18089</v>
      </c>
      <c r="B1071" t="s">
        <v>50</v>
      </c>
      <c r="C1071">
        <v>13</v>
      </c>
      <c r="D1071">
        <v>577.47626540759597</v>
      </c>
      <c r="E1071">
        <v>87.152061206191405</v>
      </c>
      <c r="F1071">
        <v>1826</v>
      </c>
    </row>
    <row r="1072" spans="1:6" x14ac:dyDescent="0.25">
      <c r="A1072">
        <v>18089</v>
      </c>
      <c r="B1072" t="s">
        <v>50</v>
      </c>
      <c r="C1072">
        <v>14</v>
      </c>
      <c r="D1072">
        <v>629.68740833583104</v>
      </c>
      <c r="E1072">
        <v>69.731660689388093</v>
      </c>
      <c r="F1072">
        <v>1826</v>
      </c>
    </row>
    <row r="1073" spans="1:6" x14ac:dyDescent="0.25">
      <c r="A1073">
        <v>18089</v>
      </c>
      <c r="B1073" t="s">
        <v>50</v>
      </c>
      <c r="C1073">
        <v>15</v>
      </c>
      <c r="D1073">
        <v>725.24931806737595</v>
      </c>
      <c r="E1073">
        <v>46.654635866841097</v>
      </c>
      <c r="F1073">
        <v>1826</v>
      </c>
    </row>
    <row r="1074" spans="1:6" x14ac:dyDescent="0.25">
      <c r="A1074">
        <v>18089</v>
      </c>
      <c r="B1074" t="s">
        <v>50</v>
      </c>
      <c r="C1074">
        <v>16</v>
      </c>
      <c r="D1074">
        <v>852.29810114682095</v>
      </c>
      <c r="E1074">
        <v>39.896721873253597</v>
      </c>
      <c r="F1074">
        <v>1826</v>
      </c>
    </row>
    <row r="1075" spans="1:6" x14ac:dyDescent="0.25">
      <c r="A1075">
        <v>18089</v>
      </c>
      <c r="B1075" t="s">
        <v>50</v>
      </c>
      <c r="C1075">
        <v>17</v>
      </c>
      <c r="D1075">
        <v>997.71839856438896</v>
      </c>
      <c r="E1075">
        <v>36.542794187547202</v>
      </c>
      <c r="F1075">
        <v>1826</v>
      </c>
    </row>
    <row r="1076" spans="1:6" x14ac:dyDescent="0.25">
      <c r="A1076">
        <v>18089</v>
      </c>
      <c r="B1076" t="s">
        <v>50</v>
      </c>
      <c r="C1076">
        <v>18</v>
      </c>
      <c r="D1076">
        <v>1140.2853545179901</v>
      </c>
      <c r="E1076">
        <v>32.437987169220001</v>
      </c>
      <c r="F1076">
        <v>1826</v>
      </c>
    </row>
    <row r="1077" spans="1:6" x14ac:dyDescent="0.25">
      <c r="A1077">
        <v>18089</v>
      </c>
      <c r="B1077" t="s">
        <v>50</v>
      </c>
      <c r="C1077">
        <v>19</v>
      </c>
      <c r="D1077">
        <v>1269.787010084</v>
      </c>
      <c r="E1077">
        <v>35.141152766654997</v>
      </c>
      <c r="F1077">
        <v>1826</v>
      </c>
    </row>
    <row r="1078" spans="1:6" x14ac:dyDescent="0.25">
      <c r="A1078">
        <v>18089</v>
      </c>
      <c r="B1078" t="s">
        <v>50</v>
      </c>
      <c r="C1078">
        <v>20</v>
      </c>
      <c r="D1078">
        <v>1358.9414161771799</v>
      </c>
      <c r="E1078">
        <v>33.288983746190297</v>
      </c>
      <c r="F1078">
        <v>1826</v>
      </c>
    </row>
    <row r="1079" spans="1:6" x14ac:dyDescent="0.25">
      <c r="A1079">
        <v>18089</v>
      </c>
      <c r="B1079" t="s">
        <v>50</v>
      </c>
      <c r="C1079">
        <v>21</v>
      </c>
      <c r="D1079">
        <v>1422.31563185038</v>
      </c>
      <c r="E1079">
        <v>33.188866501840799</v>
      </c>
      <c r="F1079">
        <v>1826</v>
      </c>
    </row>
    <row r="1080" spans="1:6" x14ac:dyDescent="0.25">
      <c r="A1080">
        <v>18089</v>
      </c>
      <c r="B1080" t="s">
        <v>50</v>
      </c>
      <c r="C1080">
        <v>22</v>
      </c>
      <c r="D1080">
        <v>1465.71645727586</v>
      </c>
      <c r="E1080">
        <v>34.139980323160501</v>
      </c>
      <c r="F1080">
        <v>1826</v>
      </c>
    </row>
    <row r="1081" spans="1:6" x14ac:dyDescent="0.25">
      <c r="A1081">
        <v>18089</v>
      </c>
      <c r="B1081" t="s">
        <v>50</v>
      </c>
      <c r="C1081">
        <v>23</v>
      </c>
      <c r="D1081">
        <v>1481.78527499395</v>
      </c>
      <c r="E1081">
        <v>35.491563121878002</v>
      </c>
      <c r="F1081">
        <v>1826</v>
      </c>
    </row>
    <row r="1082" spans="1:6" x14ac:dyDescent="0.25">
      <c r="A1082">
        <v>18091</v>
      </c>
      <c r="B1082" t="s">
        <v>51</v>
      </c>
      <c r="C1082">
        <v>0</v>
      </c>
      <c r="D1082">
        <v>367.45298095789099</v>
      </c>
      <c r="E1082">
        <v>12.0907973036429</v>
      </c>
      <c r="F1082">
        <v>693</v>
      </c>
    </row>
    <row r="1083" spans="1:6" x14ac:dyDescent="0.25">
      <c r="A1083">
        <v>18091</v>
      </c>
      <c r="B1083" t="s">
        <v>51</v>
      </c>
      <c r="C1083">
        <v>1</v>
      </c>
      <c r="D1083">
        <v>372.03578316169097</v>
      </c>
      <c r="E1083">
        <v>12.724589097785501</v>
      </c>
      <c r="F1083">
        <v>693</v>
      </c>
    </row>
    <row r="1084" spans="1:6" x14ac:dyDescent="0.25">
      <c r="A1084">
        <v>18091</v>
      </c>
      <c r="B1084" t="s">
        <v>51</v>
      </c>
      <c r="C1084">
        <v>2</v>
      </c>
      <c r="D1084">
        <v>376.17980643108501</v>
      </c>
      <c r="E1084">
        <v>10.8719669302918</v>
      </c>
      <c r="F1084">
        <v>693</v>
      </c>
    </row>
    <row r="1085" spans="1:6" x14ac:dyDescent="0.25">
      <c r="A1085">
        <v>18091</v>
      </c>
      <c r="B1085" t="s">
        <v>51</v>
      </c>
      <c r="C1085">
        <v>3</v>
      </c>
      <c r="D1085">
        <v>378.03242859857897</v>
      </c>
      <c r="E1085">
        <v>10.286928351083301</v>
      </c>
      <c r="F1085">
        <v>693</v>
      </c>
    </row>
    <row r="1086" spans="1:6" x14ac:dyDescent="0.25">
      <c r="A1086">
        <v>18091</v>
      </c>
      <c r="B1086" t="s">
        <v>51</v>
      </c>
      <c r="C1086">
        <v>4</v>
      </c>
      <c r="D1086">
        <v>369.30560312538501</v>
      </c>
      <c r="E1086">
        <v>10.286928351083301</v>
      </c>
      <c r="F1086">
        <v>693</v>
      </c>
    </row>
    <row r="1087" spans="1:6" x14ac:dyDescent="0.25">
      <c r="A1087">
        <v>18091</v>
      </c>
      <c r="B1087" t="s">
        <v>51</v>
      </c>
      <c r="C1087">
        <v>5</v>
      </c>
      <c r="D1087">
        <v>347.171643545329</v>
      </c>
      <c r="E1087">
        <v>11.8470312289727</v>
      </c>
      <c r="F1087">
        <v>693</v>
      </c>
    </row>
    <row r="1088" spans="1:6" x14ac:dyDescent="0.25">
      <c r="A1088">
        <v>18091</v>
      </c>
      <c r="B1088" t="s">
        <v>51</v>
      </c>
      <c r="C1088">
        <v>6</v>
      </c>
      <c r="D1088">
        <v>304.36632083323798</v>
      </c>
      <c r="E1088">
        <v>9.4093704822705497</v>
      </c>
      <c r="F1088">
        <v>693</v>
      </c>
    </row>
    <row r="1089" spans="1:6" x14ac:dyDescent="0.25">
      <c r="A1089">
        <v>18091</v>
      </c>
      <c r="B1089" t="s">
        <v>51</v>
      </c>
      <c r="C1089">
        <v>7</v>
      </c>
      <c r="D1089">
        <v>244.25360681956101</v>
      </c>
      <c r="E1089">
        <v>10.4819412108195</v>
      </c>
      <c r="F1089">
        <v>693</v>
      </c>
    </row>
    <row r="1090" spans="1:6" x14ac:dyDescent="0.25">
      <c r="A1090">
        <v>18091</v>
      </c>
      <c r="B1090" t="s">
        <v>51</v>
      </c>
      <c r="C1090">
        <v>8</v>
      </c>
      <c r="D1090">
        <v>193.40400364335301</v>
      </c>
      <c r="E1090">
        <v>12.237056948445099</v>
      </c>
      <c r="F1090">
        <v>693</v>
      </c>
    </row>
    <row r="1091" spans="1:6" x14ac:dyDescent="0.25">
      <c r="A1091">
        <v>18091</v>
      </c>
      <c r="B1091" t="s">
        <v>51</v>
      </c>
      <c r="C1091">
        <v>9</v>
      </c>
      <c r="D1091">
        <v>158.30168889084101</v>
      </c>
      <c r="E1091">
        <v>14.430951620477099</v>
      </c>
      <c r="F1091">
        <v>693</v>
      </c>
    </row>
    <row r="1092" spans="1:6" x14ac:dyDescent="0.25">
      <c r="A1092">
        <v>18091</v>
      </c>
      <c r="B1092" t="s">
        <v>51</v>
      </c>
      <c r="C1092">
        <v>10</v>
      </c>
      <c r="D1092">
        <v>144.21200977490301</v>
      </c>
      <c r="E1092">
        <v>15.8447948535643</v>
      </c>
      <c r="F1092">
        <v>693</v>
      </c>
    </row>
    <row r="1093" spans="1:6" x14ac:dyDescent="0.25">
      <c r="A1093">
        <v>18091</v>
      </c>
      <c r="B1093" t="s">
        <v>51</v>
      </c>
      <c r="C1093">
        <v>11</v>
      </c>
      <c r="D1093">
        <v>145.28458050345199</v>
      </c>
      <c r="E1093">
        <v>16.283573787970699</v>
      </c>
      <c r="F1093">
        <v>693</v>
      </c>
    </row>
    <row r="1094" spans="1:6" x14ac:dyDescent="0.25">
      <c r="A1094">
        <v>18091</v>
      </c>
      <c r="B1094" t="s">
        <v>51</v>
      </c>
      <c r="C1094">
        <v>12</v>
      </c>
      <c r="D1094">
        <v>150.74494057606401</v>
      </c>
      <c r="E1094">
        <v>15.893548068498401</v>
      </c>
      <c r="F1094">
        <v>693</v>
      </c>
    </row>
    <row r="1095" spans="1:6" x14ac:dyDescent="0.25">
      <c r="A1095">
        <v>18091</v>
      </c>
      <c r="B1095" t="s">
        <v>51</v>
      </c>
      <c r="C1095">
        <v>13</v>
      </c>
      <c r="D1095">
        <v>148.063513754692</v>
      </c>
      <c r="E1095">
        <v>15.649781993828199</v>
      </c>
      <c r="F1095">
        <v>693</v>
      </c>
    </row>
    <row r="1096" spans="1:6" x14ac:dyDescent="0.25">
      <c r="A1096">
        <v>18091</v>
      </c>
      <c r="B1096" t="s">
        <v>51</v>
      </c>
      <c r="C1096">
        <v>14</v>
      </c>
      <c r="D1096">
        <v>146.308398017066</v>
      </c>
      <c r="E1096">
        <v>15.7960416386303</v>
      </c>
      <c r="F1096">
        <v>693</v>
      </c>
    </row>
    <row r="1097" spans="1:6" x14ac:dyDescent="0.25">
      <c r="A1097">
        <v>18091</v>
      </c>
      <c r="B1097" t="s">
        <v>51</v>
      </c>
      <c r="C1097">
        <v>15</v>
      </c>
      <c r="D1097">
        <v>149.42860377284501</v>
      </c>
      <c r="E1097">
        <v>14.382198405543001</v>
      </c>
      <c r="F1097">
        <v>693</v>
      </c>
    </row>
    <row r="1098" spans="1:6" x14ac:dyDescent="0.25">
      <c r="A1098">
        <v>18091</v>
      </c>
      <c r="B1098" t="s">
        <v>51</v>
      </c>
      <c r="C1098">
        <v>16</v>
      </c>
      <c r="D1098">
        <v>164.78586647706899</v>
      </c>
      <c r="E1098">
        <v>10.969473360159901</v>
      </c>
      <c r="F1098">
        <v>693</v>
      </c>
    </row>
    <row r="1099" spans="1:6" x14ac:dyDescent="0.25">
      <c r="A1099">
        <v>18091</v>
      </c>
      <c r="B1099" t="s">
        <v>51</v>
      </c>
      <c r="C1099">
        <v>17</v>
      </c>
      <c r="D1099">
        <v>189.94252538303601</v>
      </c>
      <c r="E1099">
        <v>10.8719669302918</v>
      </c>
      <c r="F1099">
        <v>693</v>
      </c>
    </row>
    <row r="1100" spans="1:6" x14ac:dyDescent="0.25">
      <c r="A1100">
        <v>18091</v>
      </c>
      <c r="B1100" t="s">
        <v>51</v>
      </c>
      <c r="C1100">
        <v>18</v>
      </c>
      <c r="D1100">
        <v>217.14681931623301</v>
      </c>
      <c r="E1100">
        <v>9.8481494166769394</v>
      </c>
      <c r="F1100">
        <v>693</v>
      </c>
    </row>
    <row r="1101" spans="1:6" x14ac:dyDescent="0.25">
      <c r="A1101">
        <v>18091</v>
      </c>
      <c r="B1101" t="s">
        <v>51</v>
      </c>
      <c r="C1101">
        <v>19</v>
      </c>
      <c r="D1101">
        <v>251.71284870446999</v>
      </c>
      <c r="E1101">
        <v>11.3594990796323</v>
      </c>
      <c r="F1101">
        <v>693</v>
      </c>
    </row>
    <row r="1102" spans="1:6" x14ac:dyDescent="0.25">
      <c r="A1102">
        <v>18091</v>
      </c>
      <c r="B1102" t="s">
        <v>51</v>
      </c>
      <c r="C1102">
        <v>20</v>
      </c>
      <c r="D1102">
        <v>284.37750271028</v>
      </c>
      <c r="E1102">
        <v>12.627082667917399</v>
      </c>
      <c r="F1102">
        <v>693</v>
      </c>
    </row>
    <row r="1103" spans="1:6" x14ac:dyDescent="0.25">
      <c r="A1103">
        <v>18091</v>
      </c>
      <c r="B1103" t="s">
        <v>51</v>
      </c>
      <c r="C1103">
        <v>21</v>
      </c>
      <c r="D1103">
        <v>307.29151372928101</v>
      </c>
      <c r="E1103">
        <v>12.6758358828515</v>
      </c>
      <c r="F1103">
        <v>693</v>
      </c>
    </row>
    <row r="1104" spans="1:6" x14ac:dyDescent="0.25">
      <c r="A1104">
        <v>18091</v>
      </c>
      <c r="B1104" t="s">
        <v>51</v>
      </c>
      <c r="C1104">
        <v>22</v>
      </c>
      <c r="D1104">
        <v>328.84043473012798</v>
      </c>
      <c r="E1104">
        <v>13.163368032191901</v>
      </c>
      <c r="F1104">
        <v>693</v>
      </c>
    </row>
    <row r="1105" spans="1:6" x14ac:dyDescent="0.25">
      <c r="A1105">
        <v>18091</v>
      </c>
      <c r="B1105" t="s">
        <v>51</v>
      </c>
      <c r="C1105">
        <v>23</v>
      </c>
      <c r="D1105">
        <v>349.56055107709699</v>
      </c>
      <c r="E1105">
        <v>13.9434194711366</v>
      </c>
      <c r="F1105">
        <v>693</v>
      </c>
    </row>
    <row r="1106" spans="1:6" x14ac:dyDescent="0.25">
      <c r="A1106">
        <v>18093</v>
      </c>
      <c r="B1106" t="s">
        <v>52</v>
      </c>
      <c r="C1106">
        <v>0</v>
      </c>
      <c r="D1106">
        <v>1.3995249984711999</v>
      </c>
      <c r="E1106">
        <v>0.26657619018499001</v>
      </c>
      <c r="F1106">
        <v>20</v>
      </c>
    </row>
    <row r="1107" spans="1:6" x14ac:dyDescent="0.25">
      <c r="A1107">
        <v>18093</v>
      </c>
      <c r="B1107" t="s">
        <v>52</v>
      </c>
      <c r="C1107">
        <v>1</v>
      </c>
      <c r="D1107">
        <v>1.3995249984711999</v>
      </c>
      <c r="E1107">
        <v>0.233254166411866</v>
      </c>
      <c r="F1107">
        <v>20</v>
      </c>
    </row>
    <row r="1108" spans="1:6" x14ac:dyDescent="0.25">
      <c r="A1108">
        <v>18093</v>
      </c>
      <c r="B1108" t="s">
        <v>52</v>
      </c>
      <c r="C1108">
        <v>2</v>
      </c>
      <c r="D1108">
        <v>1.2662369033787</v>
      </c>
      <c r="E1108">
        <v>0.233254166411866</v>
      </c>
      <c r="F1108">
        <v>20</v>
      </c>
    </row>
    <row r="1109" spans="1:6" x14ac:dyDescent="0.25">
      <c r="A1109">
        <v>18093</v>
      </c>
      <c r="B1109" t="s">
        <v>52</v>
      </c>
      <c r="C1109">
        <v>3</v>
      </c>
      <c r="D1109">
        <v>1.09962678451308</v>
      </c>
      <c r="E1109">
        <v>0.53315238036998103</v>
      </c>
      <c r="F1109">
        <v>20</v>
      </c>
    </row>
    <row r="1110" spans="1:6" x14ac:dyDescent="0.25">
      <c r="A1110">
        <v>18093</v>
      </c>
      <c r="B1110" t="s">
        <v>52</v>
      </c>
      <c r="C1110">
        <v>4</v>
      </c>
      <c r="D1110">
        <v>0.93301666564746699</v>
      </c>
      <c r="E1110">
        <v>0.53315238036998103</v>
      </c>
      <c r="F1110">
        <v>20</v>
      </c>
    </row>
    <row r="1111" spans="1:6" x14ac:dyDescent="0.25">
      <c r="A1111">
        <v>18093</v>
      </c>
      <c r="B1111" t="s">
        <v>52</v>
      </c>
      <c r="C1111">
        <v>5</v>
      </c>
      <c r="D1111">
        <v>0.79972857055497204</v>
      </c>
      <c r="E1111">
        <v>0.49983035659685698</v>
      </c>
      <c r="F1111">
        <v>20</v>
      </c>
    </row>
    <row r="1112" spans="1:6" x14ac:dyDescent="0.25">
      <c r="A1112">
        <v>18093</v>
      </c>
      <c r="B1112" t="s">
        <v>52</v>
      </c>
      <c r="C1112">
        <v>6</v>
      </c>
      <c r="D1112">
        <v>0.86637261810121902</v>
      </c>
      <c r="E1112">
        <v>0.99966071319371497</v>
      </c>
      <c r="F1112">
        <v>20</v>
      </c>
    </row>
    <row r="1113" spans="1:6" x14ac:dyDescent="0.25">
      <c r="A1113">
        <v>18093</v>
      </c>
      <c r="B1113" t="s">
        <v>52</v>
      </c>
      <c r="C1113">
        <v>7</v>
      </c>
      <c r="D1113">
        <v>0.83305059432809603</v>
      </c>
      <c r="E1113">
        <v>1.69942321242931</v>
      </c>
      <c r="F1113">
        <v>20</v>
      </c>
    </row>
    <row r="1114" spans="1:6" x14ac:dyDescent="0.25">
      <c r="A1114">
        <v>18093</v>
      </c>
      <c r="B1114" t="s">
        <v>52</v>
      </c>
      <c r="C1114">
        <v>8</v>
      </c>
      <c r="D1114">
        <v>0.66644047546247598</v>
      </c>
      <c r="E1114">
        <v>1.9993214263874299</v>
      </c>
      <c r="F1114">
        <v>20</v>
      </c>
    </row>
    <row r="1115" spans="1:6" x14ac:dyDescent="0.25">
      <c r="A1115">
        <v>18093</v>
      </c>
      <c r="B1115" t="s">
        <v>52</v>
      </c>
      <c r="C1115">
        <v>9</v>
      </c>
      <c r="D1115">
        <v>0.466508332823733</v>
      </c>
      <c r="E1115">
        <v>3.4321684486317499</v>
      </c>
      <c r="F1115">
        <v>20</v>
      </c>
    </row>
    <row r="1116" spans="1:6" x14ac:dyDescent="0.25">
      <c r="A1116">
        <v>18093</v>
      </c>
      <c r="B1116" t="s">
        <v>52</v>
      </c>
      <c r="C1116">
        <v>10</v>
      </c>
      <c r="D1116">
        <v>0.36654226150436198</v>
      </c>
      <c r="E1116">
        <v>4.5651172569179597</v>
      </c>
      <c r="F1116">
        <v>20</v>
      </c>
    </row>
    <row r="1117" spans="1:6" x14ac:dyDescent="0.25">
      <c r="A1117">
        <v>18093</v>
      </c>
      <c r="B1117" t="s">
        <v>52</v>
      </c>
      <c r="C1117">
        <v>11</v>
      </c>
      <c r="D1117">
        <v>0.39986428527748602</v>
      </c>
      <c r="E1117">
        <v>4.1319309478673496</v>
      </c>
      <c r="F1117">
        <v>20</v>
      </c>
    </row>
    <row r="1118" spans="1:6" x14ac:dyDescent="0.25">
      <c r="A1118">
        <v>18093</v>
      </c>
      <c r="B1118" t="s">
        <v>52</v>
      </c>
      <c r="C1118">
        <v>12</v>
      </c>
      <c r="D1118">
        <v>0.466508332823733</v>
      </c>
      <c r="E1118">
        <v>3.9653208290017301</v>
      </c>
      <c r="F1118">
        <v>20</v>
      </c>
    </row>
    <row r="1119" spans="1:6" x14ac:dyDescent="0.25">
      <c r="A1119">
        <v>18093</v>
      </c>
      <c r="B1119" t="s">
        <v>52</v>
      </c>
      <c r="C1119">
        <v>13</v>
      </c>
      <c r="D1119">
        <v>0.56647440414310501</v>
      </c>
      <c r="E1119">
        <v>2.3658636878917898</v>
      </c>
      <c r="F1119">
        <v>20</v>
      </c>
    </row>
    <row r="1120" spans="1:6" x14ac:dyDescent="0.25">
      <c r="A1120">
        <v>18093</v>
      </c>
      <c r="B1120" t="s">
        <v>52</v>
      </c>
      <c r="C1120">
        <v>14</v>
      </c>
      <c r="D1120">
        <v>0.79972857055497204</v>
      </c>
      <c r="E1120">
        <v>1.3995249984711999</v>
      </c>
      <c r="F1120">
        <v>20</v>
      </c>
    </row>
    <row r="1121" spans="1:6" x14ac:dyDescent="0.25">
      <c r="A1121">
        <v>18093</v>
      </c>
      <c r="B1121" t="s">
        <v>52</v>
      </c>
      <c r="C1121">
        <v>15</v>
      </c>
      <c r="D1121">
        <v>0.99966071319371497</v>
      </c>
      <c r="E1121">
        <v>0.56647440414310501</v>
      </c>
      <c r="F1121">
        <v>20</v>
      </c>
    </row>
    <row r="1122" spans="1:6" x14ac:dyDescent="0.25">
      <c r="A1122">
        <v>18093</v>
      </c>
      <c r="B1122" t="s">
        <v>52</v>
      </c>
      <c r="C1122">
        <v>16</v>
      </c>
      <c r="D1122">
        <v>0.99966071319371497</v>
      </c>
      <c r="E1122">
        <v>0.16661011886561899</v>
      </c>
      <c r="F1122">
        <v>20</v>
      </c>
    </row>
    <row r="1123" spans="1:6" x14ac:dyDescent="0.25">
      <c r="A1123">
        <v>18093</v>
      </c>
      <c r="B1123" t="s">
        <v>52</v>
      </c>
      <c r="C1123">
        <v>17</v>
      </c>
      <c r="D1123">
        <v>1.09962678451308</v>
      </c>
      <c r="E1123">
        <v>0.16661011886561899</v>
      </c>
      <c r="F1123">
        <v>20</v>
      </c>
    </row>
    <row r="1124" spans="1:6" x14ac:dyDescent="0.25">
      <c r="A1124">
        <v>18093</v>
      </c>
      <c r="B1124" t="s">
        <v>52</v>
      </c>
      <c r="C1124">
        <v>18</v>
      </c>
      <c r="D1124">
        <v>1.13294880828621</v>
      </c>
      <c r="E1124">
        <v>0.26657619018499001</v>
      </c>
      <c r="F1124">
        <v>20</v>
      </c>
    </row>
    <row r="1125" spans="1:6" x14ac:dyDescent="0.25">
      <c r="A1125">
        <v>18093</v>
      </c>
      <c r="B1125" t="s">
        <v>52</v>
      </c>
      <c r="C1125">
        <v>19</v>
      </c>
      <c r="D1125">
        <v>1.09962678451308</v>
      </c>
      <c r="E1125">
        <v>0.233254166411866</v>
      </c>
      <c r="F1125">
        <v>20</v>
      </c>
    </row>
    <row r="1126" spans="1:6" x14ac:dyDescent="0.25">
      <c r="A1126">
        <v>18093</v>
      </c>
      <c r="B1126" t="s">
        <v>52</v>
      </c>
      <c r="C1126">
        <v>20</v>
      </c>
      <c r="D1126">
        <v>1.16627083205933</v>
      </c>
      <c r="E1126">
        <v>0.26657619018499001</v>
      </c>
      <c r="F1126">
        <v>20</v>
      </c>
    </row>
    <row r="1127" spans="1:6" x14ac:dyDescent="0.25">
      <c r="A1127">
        <v>18093</v>
      </c>
      <c r="B1127" t="s">
        <v>52</v>
      </c>
      <c r="C1127">
        <v>21</v>
      </c>
      <c r="D1127">
        <v>1.19959285583245</v>
      </c>
      <c r="E1127">
        <v>0.26657619018499001</v>
      </c>
      <c r="F1127">
        <v>20</v>
      </c>
    </row>
    <row r="1128" spans="1:6" x14ac:dyDescent="0.25">
      <c r="A1128">
        <v>18093</v>
      </c>
      <c r="B1128" t="s">
        <v>52</v>
      </c>
      <c r="C1128">
        <v>22</v>
      </c>
      <c r="D1128">
        <v>1.2662369033787</v>
      </c>
      <c r="E1128">
        <v>0.26657619018499001</v>
      </c>
      <c r="F1128">
        <v>20</v>
      </c>
    </row>
    <row r="1129" spans="1:6" x14ac:dyDescent="0.25">
      <c r="A1129">
        <v>18093</v>
      </c>
      <c r="B1129" t="s">
        <v>52</v>
      </c>
      <c r="C1129">
        <v>23</v>
      </c>
      <c r="D1129">
        <v>1.33288095092495</v>
      </c>
      <c r="E1129">
        <v>0.26657619018499001</v>
      </c>
      <c r="F1129">
        <v>20</v>
      </c>
    </row>
    <row r="1130" spans="1:6" x14ac:dyDescent="0.25">
      <c r="A1130">
        <v>18095</v>
      </c>
      <c r="B1130" t="s">
        <v>53</v>
      </c>
      <c r="C1130">
        <v>0</v>
      </c>
      <c r="D1130">
        <v>74.457816311460505</v>
      </c>
      <c r="E1130">
        <v>9.0325875525378301</v>
      </c>
      <c r="F1130">
        <v>160</v>
      </c>
    </row>
    <row r="1131" spans="1:6" x14ac:dyDescent="0.25">
      <c r="A1131">
        <v>18095</v>
      </c>
      <c r="B1131" t="s">
        <v>53</v>
      </c>
      <c r="C1131">
        <v>1</v>
      </c>
      <c r="D1131">
        <v>75.759810913628101</v>
      </c>
      <c r="E1131">
        <v>10.036208391708699</v>
      </c>
      <c r="F1131">
        <v>160</v>
      </c>
    </row>
    <row r="1132" spans="1:6" x14ac:dyDescent="0.25">
      <c r="A1132">
        <v>18095</v>
      </c>
      <c r="B1132" t="s">
        <v>53</v>
      </c>
      <c r="C1132">
        <v>2</v>
      </c>
      <c r="D1132">
        <v>76.654932202618298</v>
      </c>
      <c r="E1132">
        <v>10.9313296806989</v>
      </c>
      <c r="F1132">
        <v>160</v>
      </c>
    </row>
    <row r="1133" spans="1:6" x14ac:dyDescent="0.25">
      <c r="A1133">
        <v>18095</v>
      </c>
      <c r="B1133" t="s">
        <v>53</v>
      </c>
      <c r="C1133">
        <v>3</v>
      </c>
      <c r="D1133">
        <v>75.814060688718399</v>
      </c>
      <c r="E1133">
        <v>11.0398292308795</v>
      </c>
      <c r="F1133">
        <v>160</v>
      </c>
    </row>
    <row r="1134" spans="1:6" x14ac:dyDescent="0.25">
      <c r="A1134">
        <v>18095</v>
      </c>
      <c r="B1134" t="s">
        <v>53</v>
      </c>
      <c r="C1134">
        <v>4</v>
      </c>
      <c r="D1134">
        <v>68.761589926977095</v>
      </c>
      <c r="E1134">
        <v>10.3888319297957</v>
      </c>
      <c r="F1134">
        <v>160</v>
      </c>
    </row>
    <row r="1135" spans="1:6" x14ac:dyDescent="0.25">
      <c r="A1135">
        <v>18095</v>
      </c>
      <c r="B1135" t="s">
        <v>53</v>
      </c>
      <c r="C1135">
        <v>5</v>
      </c>
      <c r="D1135">
        <v>63.4179870805809</v>
      </c>
      <c r="E1135">
        <v>10.741455467882799</v>
      </c>
      <c r="F1135">
        <v>160</v>
      </c>
    </row>
    <row r="1136" spans="1:6" x14ac:dyDescent="0.25">
      <c r="A1136">
        <v>18095</v>
      </c>
      <c r="B1136" t="s">
        <v>53</v>
      </c>
      <c r="C1136">
        <v>6</v>
      </c>
      <c r="D1136">
        <v>58.888130860539398</v>
      </c>
      <c r="E1136">
        <v>11.853575857234301</v>
      </c>
      <c r="F1136">
        <v>160</v>
      </c>
    </row>
    <row r="1137" spans="1:6" x14ac:dyDescent="0.25">
      <c r="A1137">
        <v>18095</v>
      </c>
      <c r="B1137" t="s">
        <v>53</v>
      </c>
      <c r="C1137">
        <v>7</v>
      </c>
      <c r="D1137">
        <v>54.900772391401098</v>
      </c>
      <c r="E1137">
        <v>13.5353188850341</v>
      </c>
      <c r="F1137">
        <v>160</v>
      </c>
    </row>
    <row r="1138" spans="1:6" x14ac:dyDescent="0.25">
      <c r="A1138">
        <v>18095</v>
      </c>
      <c r="B1138" t="s">
        <v>53</v>
      </c>
      <c r="C1138">
        <v>8</v>
      </c>
      <c r="D1138">
        <v>43.942317823156998</v>
      </c>
      <c r="E1138">
        <v>13.942192198211499</v>
      </c>
      <c r="F1138">
        <v>160</v>
      </c>
    </row>
    <row r="1139" spans="1:6" x14ac:dyDescent="0.25">
      <c r="A1139">
        <v>18095</v>
      </c>
      <c r="B1139" t="s">
        <v>53</v>
      </c>
      <c r="C1139">
        <v>9</v>
      </c>
      <c r="D1139">
        <v>42.721697883624799</v>
      </c>
      <c r="E1139">
        <v>12.9114464714955</v>
      </c>
      <c r="F1139">
        <v>160</v>
      </c>
    </row>
    <row r="1140" spans="1:6" x14ac:dyDescent="0.25">
      <c r="A1140">
        <v>18095</v>
      </c>
      <c r="B1140" t="s">
        <v>53</v>
      </c>
      <c r="C1140">
        <v>10</v>
      </c>
      <c r="D1140">
        <v>42.450449008173202</v>
      </c>
      <c r="E1140">
        <v>13.6166935476696</v>
      </c>
      <c r="F1140">
        <v>160</v>
      </c>
    </row>
    <row r="1141" spans="1:6" x14ac:dyDescent="0.25">
      <c r="A1141">
        <v>18095</v>
      </c>
      <c r="B1141" t="s">
        <v>53</v>
      </c>
      <c r="C1141">
        <v>11</v>
      </c>
      <c r="D1141">
        <v>44.105067148427899</v>
      </c>
      <c r="E1141">
        <v>12.4774482707729</v>
      </c>
      <c r="F1141">
        <v>160</v>
      </c>
    </row>
    <row r="1142" spans="1:6" x14ac:dyDescent="0.25">
      <c r="A1142">
        <v>18095</v>
      </c>
      <c r="B1142" t="s">
        <v>53</v>
      </c>
      <c r="C1142">
        <v>12</v>
      </c>
      <c r="D1142">
        <v>44.050817373337601</v>
      </c>
      <c r="E1142">
        <v>10.6329559177021</v>
      </c>
      <c r="F1142">
        <v>160</v>
      </c>
    </row>
    <row r="1143" spans="1:6" x14ac:dyDescent="0.25">
      <c r="A1143">
        <v>18095</v>
      </c>
      <c r="B1143" t="s">
        <v>53</v>
      </c>
      <c r="C1143">
        <v>13</v>
      </c>
      <c r="D1143">
        <v>45.298562200414899</v>
      </c>
      <c r="E1143">
        <v>8.6799640144507606</v>
      </c>
      <c r="F1143">
        <v>160</v>
      </c>
    </row>
    <row r="1144" spans="1:6" x14ac:dyDescent="0.25">
      <c r="A1144">
        <v>18095</v>
      </c>
      <c r="B1144" t="s">
        <v>53</v>
      </c>
      <c r="C1144">
        <v>14</v>
      </c>
      <c r="D1144">
        <v>49.231670894462901</v>
      </c>
      <c r="E1144">
        <v>6.0217250350252201</v>
      </c>
      <c r="F1144">
        <v>160</v>
      </c>
    </row>
    <row r="1145" spans="1:6" x14ac:dyDescent="0.25">
      <c r="A1145">
        <v>18095</v>
      </c>
      <c r="B1145" t="s">
        <v>53</v>
      </c>
      <c r="C1145">
        <v>15</v>
      </c>
      <c r="D1145">
        <v>51.211787685259502</v>
      </c>
      <c r="E1145">
        <v>4.2857322321350599</v>
      </c>
      <c r="F1145">
        <v>160</v>
      </c>
    </row>
    <row r="1146" spans="1:6" x14ac:dyDescent="0.25">
      <c r="A1146">
        <v>18095</v>
      </c>
      <c r="B1146" t="s">
        <v>53</v>
      </c>
      <c r="C1146">
        <v>16</v>
      </c>
      <c r="D1146">
        <v>51.374537010530403</v>
      </c>
      <c r="E1146">
        <v>3.6347349310512498</v>
      </c>
      <c r="F1146">
        <v>160</v>
      </c>
    </row>
    <row r="1147" spans="1:6" x14ac:dyDescent="0.25">
      <c r="A1147">
        <v>18095</v>
      </c>
      <c r="B1147" t="s">
        <v>53</v>
      </c>
      <c r="C1147">
        <v>17</v>
      </c>
      <c r="D1147">
        <v>62.577115566681002</v>
      </c>
      <c r="E1147">
        <v>3.9059838065028401</v>
      </c>
      <c r="F1147">
        <v>160</v>
      </c>
    </row>
    <row r="1148" spans="1:6" x14ac:dyDescent="0.25">
      <c r="A1148">
        <v>18095</v>
      </c>
      <c r="B1148" t="s">
        <v>53</v>
      </c>
      <c r="C1148">
        <v>18</v>
      </c>
      <c r="D1148">
        <v>64.747106570293695</v>
      </c>
      <c r="E1148">
        <v>3.96023358159316</v>
      </c>
      <c r="F1148">
        <v>160</v>
      </c>
    </row>
    <row r="1149" spans="1:6" x14ac:dyDescent="0.25">
      <c r="A1149">
        <v>18095</v>
      </c>
      <c r="B1149" t="s">
        <v>53</v>
      </c>
      <c r="C1149">
        <v>19</v>
      </c>
      <c r="D1149">
        <v>66.727223361090196</v>
      </c>
      <c r="E1149">
        <v>3.6347349310512498</v>
      </c>
      <c r="F1149">
        <v>160</v>
      </c>
    </row>
    <row r="1150" spans="1:6" x14ac:dyDescent="0.25">
      <c r="A1150">
        <v>18095</v>
      </c>
      <c r="B1150" t="s">
        <v>53</v>
      </c>
      <c r="C1150">
        <v>20</v>
      </c>
      <c r="D1150">
        <v>68.870089477157805</v>
      </c>
      <c r="E1150">
        <v>4.5298562200414896</v>
      </c>
      <c r="F1150">
        <v>160</v>
      </c>
    </row>
    <row r="1151" spans="1:6" x14ac:dyDescent="0.25">
      <c r="A1151">
        <v>18095</v>
      </c>
      <c r="B1151" t="s">
        <v>53</v>
      </c>
      <c r="C1151">
        <v>21</v>
      </c>
      <c r="D1151">
        <v>70.985830705680101</v>
      </c>
      <c r="E1151">
        <v>5.5606019467575196</v>
      </c>
      <c r="F1151">
        <v>160</v>
      </c>
    </row>
    <row r="1152" spans="1:6" x14ac:dyDescent="0.25">
      <c r="A1152">
        <v>18095</v>
      </c>
      <c r="B1152" t="s">
        <v>53</v>
      </c>
      <c r="C1152">
        <v>22</v>
      </c>
      <c r="D1152">
        <v>71.772452444489801</v>
      </c>
      <c r="E1152">
        <v>6.6998472236541797</v>
      </c>
      <c r="F1152">
        <v>160</v>
      </c>
    </row>
    <row r="1153" spans="1:6" x14ac:dyDescent="0.25">
      <c r="A1153">
        <v>18095</v>
      </c>
      <c r="B1153" t="s">
        <v>53</v>
      </c>
      <c r="C1153">
        <v>23</v>
      </c>
      <c r="D1153">
        <v>71.908076882215497</v>
      </c>
      <c r="E1153">
        <v>7.3779694122831501</v>
      </c>
      <c r="F1153">
        <v>160</v>
      </c>
    </row>
    <row r="1154" spans="1:6" x14ac:dyDescent="0.25">
      <c r="A1154">
        <v>18097</v>
      </c>
      <c r="B1154" t="s">
        <v>54</v>
      </c>
      <c r="C1154">
        <v>0</v>
      </c>
      <c r="D1154">
        <v>257.995324325338</v>
      </c>
      <c r="E1154">
        <v>42.873169505877897</v>
      </c>
      <c r="F1154">
        <v>305</v>
      </c>
    </row>
    <row r="1155" spans="1:6" x14ac:dyDescent="0.25">
      <c r="A1155">
        <v>18097</v>
      </c>
      <c r="B1155" t="s">
        <v>54</v>
      </c>
      <c r="C1155">
        <v>1</v>
      </c>
      <c r="D1155">
        <v>256.52997895082598</v>
      </c>
      <c r="E1155">
        <v>47.032859601266303</v>
      </c>
      <c r="F1155">
        <v>305</v>
      </c>
    </row>
    <row r="1156" spans="1:6" x14ac:dyDescent="0.25">
      <c r="A1156">
        <v>18097</v>
      </c>
      <c r="B1156" t="s">
        <v>54</v>
      </c>
      <c r="C1156">
        <v>2</v>
      </c>
      <c r="D1156">
        <v>256.38817133393798</v>
      </c>
      <c r="E1156">
        <v>43.204053945283803</v>
      </c>
      <c r="F1156">
        <v>305</v>
      </c>
    </row>
    <row r="1157" spans="1:6" x14ac:dyDescent="0.25">
      <c r="A1157">
        <v>18097</v>
      </c>
      <c r="B1157" t="s">
        <v>54</v>
      </c>
      <c r="C1157">
        <v>3</v>
      </c>
      <c r="D1157">
        <v>254.40286469750299</v>
      </c>
      <c r="E1157">
        <v>42.967707917136799</v>
      </c>
      <c r="F1157">
        <v>305</v>
      </c>
    </row>
    <row r="1158" spans="1:6" x14ac:dyDescent="0.25">
      <c r="A1158">
        <v>18097</v>
      </c>
      <c r="B1158" t="s">
        <v>54</v>
      </c>
      <c r="C1158">
        <v>4</v>
      </c>
      <c r="D1158">
        <v>248.116060348791</v>
      </c>
      <c r="E1158">
        <v>43.676746001578003</v>
      </c>
      <c r="F1158">
        <v>305</v>
      </c>
    </row>
    <row r="1159" spans="1:6" x14ac:dyDescent="0.25">
      <c r="A1159">
        <v>18097</v>
      </c>
      <c r="B1159" t="s">
        <v>54</v>
      </c>
      <c r="C1159">
        <v>5</v>
      </c>
      <c r="D1159">
        <v>242.44375567326099</v>
      </c>
      <c r="E1159">
        <v>45.709321843642797</v>
      </c>
      <c r="F1159">
        <v>305</v>
      </c>
    </row>
    <row r="1160" spans="1:6" x14ac:dyDescent="0.25">
      <c r="A1160">
        <v>18097</v>
      </c>
      <c r="B1160" t="s">
        <v>54</v>
      </c>
      <c r="C1160">
        <v>6</v>
      </c>
      <c r="D1160">
        <v>257.38082465215598</v>
      </c>
      <c r="E1160">
        <v>51.665241752948802</v>
      </c>
      <c r="F1160">
        <v>305</v>
      </c>
    </row>
    <row r="1161" spans="1:6" x14ac:dyDescent="0.25">
      <c r="A1161">
        <v>18097</v>
      </c>
      <c r="B1161" t="s">
        <v>54</v>
      </c>
      <c r="C1161">
        <v>7</v>
      </c>
      <c r="D1161">
        <v>269.57627970454399</v>
      </c>
      <c r="E1161">
        <v>70.005693537161306</v>
      </c>
      <c r="F1161">
        <v>305</v>
      </c>
    </row>
    <row r="1162" spans="1:6" x14ac:dyDescent="0.25">
      <c r="A1162">
        <v>18097</v>
      </c>
      <c r="B1162" t="s">
        <v>54</v>
      </c>
      <c r="C1162">
        <v>8</v>
      </c>
      <c r="D1162">
        <v>160.809837551264</v>
      </c>
      <c r="E1162">
        <v>95.672872193932804</v>
      </c>
      <c r="F1162">
        <v>305</v>
      </c>
    </row>
    <row r="1163" spans="1:6" x14ac:dyDescent="0.25">
      <c r="A1163">
        <v>18097</v>
      </c>
      <c r="B1163" t="s">
        <v>54</v>
      </c>
      <c r="C1163">
        <v>9</v>
      </c>
      <c r="D1163">
        <v>131.59746847228701</v>
      </c>
      <c r="E1163">
        <v>111.41351766852701</v>
      </c>
      <c r="F1163">
        <v>305</v>
      </c>
    </row>
    <row r="1164" spans="1:6" x14ac:dyDescent="0.25">
      <c r="A1164">
        <v>18097</v>
      </c>
      <c r="B1164" t="s">
        <v>54</v>
      </c>
      <c r="C1164">
        <v>10</v>
      </c>
      <c r="D1164">
        <v>129.139469779557</v>
      </c>
      <c r="E1164">
        <v>110.23178752779199</v>
      </c>
      <c r="F1164">
        <v>305</v>
      </c>
    </row>
    <row r="1165" spans="1:6" x14ac:dyDescent="0.25">
      <c r="A1165">
        <v>18097</v>
      </c>
      <c r="B1165" t="s">
        <v>54</v>
      </c>
      <c r="C1165">
        <v>11</v>
      </c>
      <c r="D1165">
        <v>137.647926792851</v>
      </c>
      <c r="E1165">
        <v>111.318979257268</v>
      </c>
      <c r="F1165">
        <v>305</v>
      </c>
    </row>
    <row r="1166" spans="1:6" x14ac:dyDescent="0.25">
      <c r="A1166">
        <v>18097</v>
      </c>
      <c r="B1166" t="s">
        <v>54</v>
      </c>
      <c r="C1166">
        <v>12</v>
      </c>
      <c r="D1166">
        <v>144.596500020375</v>
      </c>
      <c r="E1166">
        <v>97.185486774073993</v>
      </c>
      <c r="F1166">
        <v>305</v>
      </c>
    </row>
    <row r="1167" spans="1:6" x14ac:dyDescent="0.25">
      <c r="A1167">
        <v>18097</v>
      </c>
      <c r="B1167" t="s">
        <v>54</v>
      </c>
      <c r="C1167">
        <v>13</v>
      </c>
      <c r="D1167">
        <v>156.27199381084</v>
      </c>
      <c r="E1167">
        <v>82.910186673991106</v>
      </c>
      <c r="F1167">
        <v>305</v>
      </c>
    </row>
    <row r="1168" spans="1:6" x14ac:dyDescent="0.25">
      <c r="A1168">
        <v>18097</v>
      </c>
      <c r="B1168" t="s">
        <v>54</v>
      </c>
      <c r="C1168">
        <v>14</v>
      </c>
      <c r="D1168">
        <v>177.49586713844701</v>
      </c>
      <c r="E1168">
        <v>67.7840408725788</v>
      </c>
      <c r="F1168">
        <v>305</v>
      </c>
    </row>
    <row r="1169" spans="1:6" x14ac:dyDescent="0.25">
      <c r="A1169">
        <v>18097</v>
      </c>
      <c r="B1169" t="s">
        <v>54</v>
      </c>
      <c r="C1169">
        <v>15</v>
      </c>
      <c r="D1169">
        <v>205.05381402039501</v>
      </c>
      <c r="E1169">
        <v>55.494047408931301</v>
      </c>
      <c r="F1169">
        <v>305</v>
      </c>
    </row>
    <row r="1170" spans="1:6" x14ac:dyDescent="0.25">
      <c r="A1170">
        <v>18097</v>
      </c>
      <c r="B1170" t="s">
        <v>54</v>
      </c>
      <c r="C1170">
        <v>16</v>
      </c>
      <c r="D1170">
        <v>215.68938528701301</v>
      </c>
      <c r="E1170">
        <v>48.214589742001699</v>
      </c>
      <c r="F1170">
        <v>305</v>
      </c>
    </row>
    <row r="1171" spans="1:6" x14ac:dyDescent="0.25">
      <c r="A1171">
        <v>18097</v>
      </c>
      <c r="B1171" t="s">
        <v>54</v>
      </c>
      <c r="C1171">
        <v>17</v>
      </c>
      <c r="D1171">
        <v>221.834382018837</v>
      </c>
      <c r="E1171">
        <v>40.982401280701403</v>
      </c>
      <c r="F1171">
        <v>305</v>
      </c>
    </row>
    <row r="1172" spans="1:6" x14ac:dyDescent="0.25">
      <c r="A1172">
        <v>18097</v>
      </c>
      <c r="B1172" t="s">
        <v>54</v>
      </c>
      <c r="C1172">
        <v>18</v>
      </c>
      <c r="D1172">
        <v>231.99726122916101</v>
      </c>
      <c r="E1172">
        <v>40.746055252554299</v>
      </c>
      <c r="F1172">
        <v>305</v>
      </c>
    </row>
    <row r="1173" spans="1:6" x14ac:dyDescent="0.25">
      <c r="A1173">
        <v>18097</v>
      </c>
      <c r="B1173" t="s">
        <v>54</v>
      </c>
      <c r="C1173">
        <v>19</v>
      </c>
      <c r="D1173">
        <v>240.45844903682601</v>
      </c>
      <c r="E1173">
        <v>38.713479410489597</v>
      </c>
      <c r="F1173">
        <v>305</v>
      </c>
    </row>
    <row r="1174" spans="1:6" x14ac:dyDescent="0.25">
      <c r="A1174">
        <v>18097</v>
      </c>
      <c r="B1174" t="s">
        <v>54</v>
      </c>
      <c r="C1174">
        <v>20</v>
      </c>
      <c r="D1174">
        <v>248.257867965679</v>
      </c>
      <c r="E1174">
        <v>40.131555579371998</v>
      </c>
      <c r="F1174">
        <v>305</v>
      </c>
    </row>
    <row r="1175" spans="1:6" x14ac:dyDescent="0.25">
      <c r="A1175">
        <v>18097</v>
      </c>
      <c r="B1175" t="s">
        <v>54</v>
      </c>
      <c r="C1175">
        <v>21</v>
      </c>
      <c r="D1175">
        <v>256.90813259586201</v>
      </c>
      <c r="E1175">
        <v>43.393130767801502</v>
      </c>
      <c r="F1175">
        <v>305</v>
      </c>
    </row>
    <row r="1176" spans="1:6" x14ac:dyDescent="0.25">
      <c r="A1176">
        <v>18097</v>
      </c>
      <c r="B1176" t="s">
        <v>54</v>
      </c>
      <c r="C1176">
        <v>22</v>
      </c>
      <c r="D1176">
        <v>258.98797764355601</v>
      </c>
      <c r="E1176">
        <v>39.6115943174484</v>
      </c>
      <c r="F1176">
        <v>305</v>
      </c>
    </row>
    <row r="1177" spans="1:6" x14ac:dyDescent="0.25">
      <c r="A1177">
        <v>18097</v>
      </c>
      <c r="B1177" t="s">
        <v>54</v>
      </c>
      <c r="C1177">
        <v>23</v>
      </c>
      <c r="D1177">
        <v>258.04259353096802</v>
      </c>
      <c r="E1177">
        <v>38.051710531677799</v>
      </c>
      <c r="F1177">
        <v>305</v>
      </c>
    </row>
    <row r="1178" spans="1:6" x14ac:dyDescent="0.25">
      <c r="A1178">
        <v>18099</v>
      </c>
      <c r="B1178" t="s">
        <v>55</v>
      </c>
      <c r="C1178">
        <v>0</v>
      </c>
      <c r="D1178">
        <v>150.77407526462201</v>
      </c>
      <c r="E1178">
        <v>14.216353914005101</v>
      </c>
      <c r="F1178">
        <v>199</v>
      </c>
    </row>
    <row r="1179" spans="1:6" x14ac:dyDescent="0.25">
      <c r="A1179">
        <v>18099</v>
      </c>
      <c r="B1179" t="s">
        <v>55</v>
      </c>
      <c r="C1179">
        <v>1</v>
      </c>
      <c r="D1179">
        <v>150.32560984146701</v>
      </c>
      <c r="E1179">
        <v>15.516903641153901</v>
      </c>
      <c r="F1179">
        <v>199</v>
      </c>
    </row>
    <row r="1180" spans="1:6" x14ac:dyDescent="0.25">
      <c r="A1180">
        <v>18099</v>
      </c>
      <c r="B1180" t="s">
        <v>55</v>
      </c>
      <c r="C1180">
        <v>2</v>
      </c>
      <c r="D1180">
        <v>150.90861489156899</v>
      </c>
      <c r="E1180">
        <v>15.7411363527312</v>
      </c>
      <c r="F1180">
        <v>199</v>
      </c>
    </row>
    <row r="1181" spans="1:6" x14ac:dyDescent="0.25">
      <c r="A1181">
        <v>18099</v>
      </c>
      <c r="B1181" t="s">
        <v>55</v>
      </c>
      <c r="C1181">
        <v>3</v>
      </c>
      <c r="D1181">
        <v>147.32089150633101</v>
      </c>
      <c r="E1181">
        <v>15.427210556522899</v>
      </c>
      <c r="F1181">
        <v>199</v>
      </c>
    </row>
    <row r="1182" spans="1:6" x14ac:dyDescent="0.25">
      <c r="A1182">
        <v>18099</v>
      </c>
      <c r="B1182" t="s">
        <v>55</v>
      </c>
      <c r="C1182">
        <v>4</v>
      </c>
      <c r="D1182">
        <v>140.86298941290201</v>
      </c>
      <c r="E1182">
        <v>16.324141402832399</v>
      </c>
      <c r="F1182">
        <v>199</v>
      </c>
    </row>
    <row r="1183" spans="1:6" x14ac:dyDescent="0.25">
      <c r="A1183">
        <v>18099</v>
      </c>
      <c r="B1183" t="s">
        <v>55</v>
      </c>
      <c r="C1183">
        <v>5</v>
      </c>
      <c r="D1183">
        <v>131.53490861128401</v>
      </c>
      <c r="E1183">
        <v>19.6876320764929</v>
      </c>
      <c r="F1183">
        <v>199</v>
      </c>
    </row>
    <row r="1184" spans="1:6" x14ac:dyDescent="0.25">
      <c r="A1184">
        <v>18099</v>
      </c>
      <c r="B1184" t="s">
        <v>55</v>
      </c>
      <c r="C1184">
        <v>6</v>
      </c>
      <c r="D1184">
        <v>120.951124624832</v>
      </c>
      <c r="E1184">
        <v>15.4720570988384</v>
      </c>
      <c r="F1184">
        <v>199</v>
      </c>
    </row>
    <row r="1185" spans="1:6" x14ac:dyDescent="0.25">
      <c r="A1185">
        <v>18099</v>
      </c>
      <c r="B1185" t="s">
        <v>55</v>
      </c>
      <c r="C1185">
        <v>7</v>
      </c>
      <c r="D1185">
        <v>105.479067525994</v>
      </c>
      <c r="E1185">
        <v>6.9063675165829501</v>
      </c>
      <c r="F1185">
        <v>199</v>
      </c>
    </row>
    <row r="1186" spans="1:6" x14ac:dyDescent="0.25">
      <c r="A1186">
        <v>18099</v>
      </c>
      <c r="B1186" t="s">
        <v>55</v>
      </c>
      <c r="C1186">
        <v>8</v>
      </c>
      <c r="D1186">
        <v>81.665553556477605</v>
      </c>
      <c r="E1186">
        <v>5.964590127958</v>
      </c>
      <c r="F1186">
        <v>199</v>
      </c>
    </row>
    <row r="1187" spans="1:6" x14ac:dyDescent="0.25">
      <c r="A1187">
        <v>18099</v>
      </c>
      <c r="B1187" t="s">
        <v>55</v>
      </c>
      <c r="C1187">
        <v>9</v>
      </c>
      <c r="D1187">
        <v>68.839442454252094</v>
      </c>
      <c r="E1187">
        <v>6.8166744319520003</v>
      </c>
      <c r="F1187">
        <v>199</v>
      </c>
    </row>
    <row r="1188" spans="1:6" x14ac:dyDescent="0.25">
      <c r="A1188">
        <v>18099</v>
      </c>
      <c r="B1188" t="s">
        <v>55</v>
      </c>
      <c r="C1188">
        <v>10</v>
      </c>
      <c r="D1188">
        <v>66.955887677002195</v>
      </c>
      <c r="E1188">
        <v>9.8213927670887404</v>
      </c>
      <c r="F1188">
        <v>199</v>
      </c>
    </row>
    <row r="1189" spans="1:6" x14ac:dyDescent="0.25">
      <c r="A1189">
        <v>18099</v>
      </c>
      <c r="B1189" t="s">
        <v>55</v>
      </c>
      <c r="C1189">
        <v>11</v>
      </c>
      <c r="D1189">
        <v>68.211590861835504</v>
      </c>
      <c r="E1189">
        <v>10.000778936350599</v>
      </c>
      <c r="F1189">
        <v>199</v>
      </c>
    </row>
    <row r="1190" spans="1:6" x14ac:dyDescent="0.25">
      <c r="A1190">
        <v>18099</v>
      </c>
      <c r="B1190" t="s">
        <v>55</v>
      </c>
      <c r="C1190">
        <v>12</v>
      </c>
      <c r="D1190">
        <v>67.8079719809962</v>
      </c>
      <c r="E1190">
        <v>8.9244619207792706</v>
      </c>
      <c r="F1190">
        <v>199</v>
      </c>
    </row>
    <row r="1191" spans="1:6" x14ac:dyDescent="0.25">
      <c r="A1191">
        <v>18099</v>
      </c>
      <c r="B1191" t="s">
        <v>55</v>
      </c>
      <c r="C1191">
        <v>13</v>
      </c>
      <c r="D1191">
        <v>72.427165839490002</v>
      </c>
      <c r="E1191">
        <v>8.0275310744697901</v>
      </c>
      <c r="F1191">
        <v>199</v>
      </c>
    </row>
    <row r="1192" spans="1:6" x14ac:dyDescent="0.25">
      <c r="A1192">
        <v>18099</v>
      </c>
      <c r="B1192" t="s">
        <v>55</v>
      </c>
      <c r="C1192">
        <v>14</v>
      </c>
      <c r="D1192">
        <v>73.234403601168594</v>
      </c>
      <c r="E1192">
        <v>9.46262042856495</v>
      </c>
      <c r="F1192">
        <v>199</v>
      </c>
    </row>
    <row r="1193" spans="1:6" x14ac:dyDescent="0.25">
      <c r="A1193">
        <v>18099</v>
      </c>
      <c r="B1193" t="s">
        <v>55</v>
      </c>
      <c r="C1193">
        <v>15</v>
      </c>
      <c r="D1193">
        <v>81.217088133322903</v>
      </c>
      <c r="E1193">
        <v>12.063719882862401</v>
      </c>
      <c r="F1193">
        <v>199</v>
      </c>
    </row>
    <row r="1194" spans="1:6" x14ac:dyDescent="0.25">
      <c r="A1194">
        <v>18099</v>
      </c>
      <c r="B1194" t="s">
        <v>55</v>
      </c>
      <c r="C1194">
        <v>16</v>
      </c>
      <c r="D1194">
        <v>92.383877169875802</v>
      </c>
      <c r="E1194">
        <v>13.453962694642099</v>
      </c>
      <c r="F1194">
        <v>199</v>
      </c>
    </row>
    <row r="1195" spans="1:6" x14ac:dyDescent="0.25">
      <c r="A1195">
        <v>18099</v>
      </c>
      <c r="B1195" t="s">
        <v>55</v>
      </c>
      <c r="C1195">
        <v>17</v>
      </c>
      <c r="D1195">
        <v>104.940909018208</v>
      </c>
      <c r="E1195">
        <v>14.036967744743199</v>
      </c>
      <c r="F1195">
        <v>199</v>
      </c>
    </row>
    <row r="1196" spans="1:6" x14ac:dyDescent="0.25">
      <c r="A1196">
        <v>18099</v>
      </c>
      <c r="B1196" t="s">
        <v>55</v>
      </c>
      <c r="C1196">
        <v>18</v>
      </c>
      <c r="D1196">
        <v>114.762301785297</v>
      </c>
      <c r="E1196">
        <v>13.633348863904001</v>
      </c>
      <c r="F1196">
        <v>199</v>
      </c>
    </row>
    <row r="1197" spans="1:6" x14ac:dyDescent="0.25">
      <c r="A1197">
        <v>18099</v>
      </c>
      <c r="B1197" t="s">
        <v>55</v>
      </c>
      <c r="C1197">
        <v>19</v>
      </c>
      <c r="D1197">
        <v>127.85749214141499</v>
      </c>
      <c r="E1197">
        <v>12.8709576445409</v>
      </c>
      <c r="F1197">
        <v>199</v>
      </c>
    </row>
    <row r="1198" spans="1:6" x14ac:dyDescent="0.25">
      <c r="A1198">
        <v>18099</v>
      </c>
      <c r="B1198" t="s">
        <v>55</v>
      </c>
      <c r="C1198">
        <v>20</v>
      </c>
      <c r="D1198">
        <v>138.44127612786701</v>
      </c>
      <c r="E1198">
        <v>12.5121853060171</v>
      </c>
      <c r="F1198">
        <v>199</v>
      </c>
    </row>
    <row r="1199" spans="1:6" x14ac:dyDescent="0.25">
      <c r="A1199">
        <v>18099</v>
      </c>
      <c r="B1199" t="s">
        <v>55</v>
      </c>
      <c r="C1199">
        <v>21</v>
      </c>
      <c r="D1199">
        <v>143.32954924025401</v>
      </c>
      <c r="E1199">
        <v>12.5121853060171</v>
      </c>
      <c r="F1199">
        <v>199</v>
      </c>
    </row>
    <row r="1200" spans="1:6" x14ac:dyDescent="0.25">
      <c r="A1200">
        <v>18099</v>
      </c>
      <c r="B1200" t="s">
        <v>55</v>
      </c>
      <c r="C1200">
        <v>22</v>
      </c>
      <c r="D1200">
        <v>147.32089150633101</v>
      </c>
      <c r="E1200">
        <v>12.8709576445409</v>
      </c>
      <c r="F1200">
        <v>199</v>
      </c>
    </row>
    <row r="1201" spans="1:6" x14ac:dyDescent="0.25">
      <c r="A1201">
        <v>18099</v>
      </c>
      <c r="B1201" t="s">
        <v>55</v>
      </c>
      <c r="C1201">
        <v>23</v>
      </c>
      <c r="D1201">
        <v>150.32560984146701</v>
      </c>
      <c r="E1201">
        <v>13.453962694642099</v>
      </c>
      <c r="F1201">
        <v>199</v>
      </c>
    </row>
    <row r="1202" spans="1:6" x14ac:dyDescent="0.25">
      <c r="A1202">
        <v>18101</v>
      </c>
      <c r="B1202" t="s">
        <v>56</v>
      </c>
      <c r="C1202">
        <v>0</v>
      </c>
      <c r="D1202">
        <v>1.0600797174877401</v>
      </c>
      <c r="E1202">
        <v>0.19274176681595401</v>
      </c>
      <c r="F1202">
        <v>6</v>
      </c>
    </row>
    <row r="1203" spans="1:6" x14ac:dyDescent="0.25">
      <c r="A1203">
        <v>18101</v>
      </c>
      <c r="B1203" t="s">
        <v>56</v>
      </c>
      <c r="C1203">
        <v>1</v>
      </c>
      <c r="D1203">
        <v>1.0600797174877401</v>
      </c>
      <c r="E1203">
        <v>0.19274176681595401</v>
      </c>
      <c r="F1203">
        <v>6</v>
      </c>
    </row>
    <row r="1204" spans="1:6" x14ac:dyDescent="0.25">
      <c r="A1204">
        <v>18101</v>
      </c>
      <c r="B1204" t="s">
        <v>56</v>
      </c>
      <c r="C1204">
        <v>2</v>
      </c>
      <c r="D1204">
        <v>1.0600797174877401</v>
      </c>
      <c r="E1204">
        <v>0.19274176681595401</v>
      </c>
      <c r="F1204">
        <v>6</v>
      </c>
    </row>
    <row r="1205" spans="1:6" x14ac:dyDescent="0.25">
      <c r="A1205">
        <v>18101</v>
      </c>
      <c r="B1205" t="s">
        <v>56</v>
      </c>
      <c r="C1205">
        <v>3</v>
      </c>
      <c r="D1205">
        <v>1.0600797174877401</v>
      </c>
      <c r="E1205">
        <v>0.19274176681595401</v>
      </c>
      <c r="F1205">
        <v>6</v>
      </c>
    </row>
    <row r="1206" spans="1:6" x14ac:dyDescent="0.25">
      <c r="A1206">
        <v>18101</v>
      </c>
      <c r="B1206" t="s">
        <v>56</v>
      </c>
      <c r="C1206">
        <v>4</v>
      </c>
      <c r="D1206">
        <v>1.3491923677116699</v>
      </c>
      <c r="E1206">
        <v>0.19274176681595401</v>
      </c>
      <c r="F1206">
        <v>6</v>
      </c>
    </row>
    <row r="1207" spans="1:6" x14ac:dyDescent="0.25">
      <c r="A1207">
        <v>18101</v>
      </c>
      <c r="B1207" t="s">
        <v>56</v>
      </c>
      <c r="C1207">
        <v>5</v>
      </c>
      <c r="D1207">
        <v>3.5657226860951501</v>
      </c>
      <c r="E1207">
        <v>0.19274176681595401</v>
      </c>
      <c r="F1207">
        <v>6</v>
      </c>
    </row>
    <row r="1208" spans="1:6" x14ac:dyDescent="0.25">
      <c r="A1208">
        <v>18101</v>
      </c>
      <c r="B1208" t="s">
        <v>56</v>
      </c>
      <c r="C1208">
        <v>6</v>
      </c>
      <c r="D1208">
        <v>4.0475771031350298</v>
      </c>
      <c r="E1208">
        <v>0.28911265022393101</v>
      </c>
      <c r="F1208">
        <v>6</v>
      </c>
    </row>
    <row r="1209" spans="1:6" x14ac:dyDescent="0.25">
      <c r="A1209">
        <v>18101</v>
      </c>
      <c r="B1209" t="s">
        <v>56</v>
      </c>
      <c r="C1209">
        <v>7</v>
      </c>
      <c r="D1209">
        <v>3.7584644529111002</v>
      </c>
      <c r="E1209">
        <v>0.28911265022393101</v>
      </c>
      <c r="F1209">
        <v>6</v>
      </c>
    </row>
    <row r="1210" spans="1:6" x14ac:dyDescent="0.25">
      <c r="A1210">
        <v>18101</v>
      </c>
      <c r="B1210" t="s">
        <v>56</v>
      </c>
      <c r="C1210">
        <v>8</v>
      </c>
      <c r="D1210">
        <v>3.9512062197270601</v>
      </c>
      <c r="E1210">
        <v>2.12015943497549</v>
      </c>
      <c r="F1210">
        <v>6</v>
      </c>
    </row>
    <row r="1211" spans="1:6" x14ac:dyDescent="0.25">
      <c r="A1211">
        <v>18101</v>
      </c>
      <c r="B1211" t="s">
        <v>56</v>
      </c>
      <c r="C1211">
        <v>9</v>
      </c>
      <c r="D1211">
        <v>3.7584644529111002</v>
      </c>
      <c r="E1211">
        <v>1.73467590134358</v>
      </c>
      <c r="F1211">
        <v>6</v>
      </c>
    </row>
    <row r="1212" spans="1:6" x14ac:dyDescent="0.25">
      <c r="A1212">
        <v>18101</v>
      </c>
      <c r="B1212" t="s">
        <v>56</v>
      </c>
      <c r="C1212">
        <v>10</v>
      </c>
      <c r="D1212">
        <v>3.3729809192791902</v>
      </c>
      <c r="E1212">
        <v>3.5657226860951501</v>
      </c>
      <c r="F1212">
        <v>6</v>
      </c>
    </row>
    <row r="1213" spans="1:6" x14ac:dyDescent="0.25">
      <c r="A1213">
        <v>18101</v>
      </c>
      <c r="B1213" t="s">
        <v>56</v>
      </c>
      <c r="C1213">
        <v>11</v>
      </c>
      <c r="D1213">
        <v>4.2403188699509897</v>
      </c>
      <c r="E1213">
        <v>5.1076568206227799</v>
      </c>
      <c r="F1213">
        <v>6</v>
      </c>
    </row>
    <row r="1214" spans="1:6" x14ac:dyDescent="0.25">
      <c r="A1214">
        <v>18101</v>
      </c>
      <c r="B1214" t="s">
        <v>56</v>
      </c>
      <c r="C1214">
        <v>12</v>
      </c>
      <c r="D1214">
        <v>4.3366897533589697</v>
      </c>
      <c r="E1214">
        <v>4.8185441703988499</v>
      </c>
      <c r="F1214">
        <v>6</v>
      </c>
    </row>
    <row r="1215" spans="1:6" x14ac:dyDescent="0.25">
      <c r="A1215">
        <v>18101</v>
      </c>
      <c r="B1215" t="s">
        <v>56</v>
      </c>
      <c r="C1215">
        <v>13</v>
      </c>
      <c r="D1215">
        <v>5.1076568206227799</v>
      </c>
      <c r="E1215">
        <v>3.3729809192791902</v>
      </c>
      <c r="F1215">
        <v>6</v>
      </c>
    </row>
    <row r="1216" spans="1:6" x14ac:dyDescent="0.25">
      <c r="A1216">
        <v>18101</v>
      </c>
      <c r="B1216" t="s">
        <v>56</v>
      </c>
      <c r="C1216">
        <v>14</v>
      </c>
      <c r="D1216">
        <v>5.2040277040307599</v>
      </c>
      <c r="E1216">
        <v>2.5056429686074</v>
      </c>
      <c r="F1216">
        <v>6</v>
      </c>
    </row>
    <row r="1217" spans="1:6" x14ac:dyDescent="0.25">
      <c r="A1217">
        <v>18101</v>
      </c>
      <c r="B1217" t="s">
        <v>56</v>
      </c>
      <c r="C1217">
        <v>15</v>
      </c>
      <c r="D1217">
        <v>3.9512062197270601</v>
      </c>
      <c r="E1217">
        <v>0.67459618385583897</v>
      </c>
      <c r="F1217">
        <v>6</v>
      </c>
    </row>
    <row r="1218" spans="1:6" x14ac:dyDescent="0.25">
      <c r="A1218">
        <v>18101</v>
      </c>
      <c r="B1218" t="s">
        <v>56</v>
      </c>
      <c r="C1218">
        <v>16</v>
      </c>
      <c r="D1218">
        <v>2.3129012017914499</v>
      </c>
      <c r="E1218">
        <v>0</v>
      </c>
      <c r="F1218">
        <v>6</v>
      </c>
    </row>
    <row r="1219" spans="1:6" x14ac:dyDescent="0.25">
      <c r="A1219">
        <v>18101</v>
      </c>
      <c r="B1219" t="s">
        <v>56</v>
      </c>
      <c r="C1219">
        <v>17</v>
      </c>
      <c r="D1219">
        <v>0.96370883407977104</v>
      </c>
      <c r="E1219">
        <v>0.48185441703988502</v>
      </c>
      <c r="F1219">
        <v>6</v>
      </c>
    </row>
    <row r="1220" spans="1:6" x14ac:dyDescent="0.25">
      <c r="A1220">
        <v>18101</v>
      </c>
      <c r="B1220" t="s">
        <v>56</v>
      </c>
      <c r="C1220">
        <v>18</v>
      </c>
      <c r="D1220">
        <v>1.0600797174877401</v>
      </c>
      <c r="E1220">
        <v>0.38548353363190802</v>
      </c>
      <c r="F1220">
        <v>6</v>
      </c>
    </row>
    <row r="1221" spans="1:6" x14ac:dyDescent="0.25">
      <c r="A1221">
        <v>18101</v>
      </c>
      <c r="B1221" t="s">
        <v>56</v>
      </c>
      <c r="C1221">
        <v>19</v>
      </c>
      <c r="D1221">
        <v>0.77096706726381603</v>
      </c>
      <c r="E1221">
        <v>0</v>
      </c>
      <c r="F1221">
        <v>6</v>
      </c>
    </row>
    <row r="1222" spans="1:6" x14ac:dyDescent="0.25">
      <c r="A1222">
        <v>18101</v>
      </c>
      <c r="B1222" t="s">
        <v>56</v>
      </c>
      <c r="C1222">
        <v>20</v>
      </c>
      <c r="D1222">
        <v>0.77096706726381603</v>
      </c>
      <c r="E1222">
        <v>0</v>
      </c>
      <c r="F1222">
        <v>6</v>
      </c>
    </row>
    <row r="1223" spans="1:6" x14ac:dyDescent="0.25">
      <c r="A1223">
        <v>18101</v>
      </c>
      <c r="B1223" t="s">
        <v>56</v>
      </c>
      <c r="C1223">
        <v>21</v>
      </c>
      <c r="D1223">
        <v>0.86733795067179398</v>
      </c>
      <c r="E1223">
        <v>0</v>
      </c>
      <c r="F1223">
        <v>6</v>
      </c>
    </row>
    <row r="1224" spans="1:6" x14ac:dyDescent="0.25">
      <c r="A1224">
        <v>18101</v>
      </c>
      <c r="B1224" t="s">
        <v>56</v>
      </c>
      <c r="C1224">
        <v>22</v>
      </c>
      <c r="D1224">
        <v>0.86733795067179398</v>
      </c>
      <c r="E1224">
        <v>0</v>
      </c>
      <c r="F1224">
        <v>6</v>
      </c>
    </row>
    <row r="1225" spans="1:6" x14ac:dyDescent="0.25">
      <c r="A1225">
        <v>18101</v>
      </c>
      <c r="B1225" t="s">
        <v>56</v>
      </c>
      <c r="C1225">
        <v>23</v>
      </c>
      <c r="D1225">
        <v>0.86733795067179398</v>
      </c>
      <c r="E1225">
        <v>0.19274176681595401</v>
      </c>
      <c r="F1225">
        <v>6</v>
      </c>
    </row>
    <row r="1226" spans="1:6" x14ac:dyDescent="0.25">
      <c r="A1226">
        <v>18103</v>
      </c>
      <c r="B1226" t="s">
        <v>57</v>
      </c>
      <c r="C1226">
        <v>0</v>
      </c>
      <c r="D1226">
        <v>73.362842196154801</v>
      </c>
      <c r="E1226">
        <v>0</v>
      </c>
      <c r="F1226">
        <v>117</v>
      </c>
    </row>
    <row r="1227" spans="1:6" x14ac:dyDescent="0.25">
      <c r="A1227">
        <v>18103</v>
      </c>
      <c r="B1227" t="s">
        <v>57</v>
      </c>
      <c r="C1227">
        <v>1</v>
      </c>
      <c r="D1227">
        <v>74.810197899161594</v>
      </c>
      <c r="E1227">
        <v>0</v>
      </c>
      <c r="F1227">
        <v>117</v>
      </c>
    </row>
    <row r="1228" spans="1:6" x14ac:dyDescent="0.25">
      <c r="A1228">
        <v>18103</v>
      </c>
      <c r="B1228" t="s">
        <v>57</v>
      </c>
      <c r="C1228">
        <v>2</v>
      </c>
      <c r="D1228">
        <v>74.719738167723605</v>
      </c>
      <c r="E1228">
        <v>0</v>
      </c>
      <c r="F1228">
        <v>117</v>
      </c>
    </row>
    <row r="1229" spans="1:6" x14ac:dyDescent="0.25">
      <c r="A1229">
        <v>18103</v>
      </c>
      <c r="B1229" t="s">
        <v>57</v>
      </c>
      <c r="C1229">
        <v>3</v>
      </c>
      <c r="D1229">
        <v>75.352956287789098</v>
      </c>
      <c r="E1229">
        <v>0</v>
      </c>
      <c r="F1229">
        <v>117</v>
      </c>
    </row>
    <row r="1230" spans="1:6" x14ac:dyDescent="0.25">
      <c r="A1230">
        <v>18103</v>
      </c>
      <c r="B1230" t="s">
        <v>57</v>
      </c>
      <c r="C1230">
        <v>4</v>
      </c>
      <c r="D1230">
        <v>72.096405956023901</v>
      </c>
      <c r="E1230">
        <v>0</v>
      </c>
      <c r="F1230">
        <v>117</v>
      </c>
    </row>
    <row r="1231" spans="1:6" x14ac:dyDescent="0.25">
      <c r="A1231">
        <v>18103</v>
      </c>
      <c r="B1231" t="s">
        <v>57</v>
      </c>
      <c r="C1231">
        <v>5</v>
      </c>
      <c r="D1231">
        <v>73.091463001841007</v>
      </c>
      <c r="E1231">
        <v>0.63321812006545497</v>
      </c>
      <c r="F1231">
        <v>117</v>
      </c>
    </row>
    <row r="1232" spans="1:6" x14ac:dyDescent="0.25">
      <c r="A1232">
        <v>18103</v>
      </c>
      <c r="B1232" t="s">
        <v>57</v>
      </c>
      <c r="C1232">
        <v>6</v>
      </c>
      <c r="D1232">
        <v>78.157207962364694</v>
      </c>
      <c r="E1232">
        <v>1.8091946287584399</v>
      </c>
      <c r="F1232">
        <v>117</v>
      </c>
    </row>
    <row r="1233" spans="1:6" x14ac:dyDescent="0.25">
      <c r="A1233">
        <v>18103</v>
      </c>
      <c r="B1233" t="s">
        <v>57</v>
      </c>
      <c r="C1233">
        <v>7</v>
      </c>
      <c r="D1233">
        <v>66.035603949683093</v>
      </c>
      <c r="E1233">
        <v>0.54275838862753201</v>
      </c>
      <c r="F1233">
        <v>117</v>
      </c>
    </row>
    <row r="1234" spans="1:6" x14ac:dyDescent="0.25">
      <c r="A1234">
        <v>18103</v>
      </c>
      <c r="B1234" t="s">
        <v>57</v>
      </c>
      <c r="C1234">
        <v>8</v>
      </c>
      <c r="D1234">
        <v>53.913999937001599</v>
      </c>
      <c r="E1234">
        <v>0.54275838862753201</v>
      </c>
      <c r="F1234">
        <v>117</v>
      </c>
    </row>
    <row r="1235" spans="1:6" x14ac:dyDescent="0.25">
      <c r="A1235">
        <v>18103</v>
      </c>
      <c r="B1235" t="s">
        <v>57</v>
      </c>
      <c r="C1235">
        <v>9</v>
      </c>
      <c r="D1235">
        <v>44.234808673143903</v>
      </c>
      <c r="E1235">
        <v>0.63321812006545497</v>
      </c>
      <c r="F1235">
        <v>117</v>
      </c>
    </row>
    <row r="1236" spans="1:6" x14ac:dyDescent="0.25">
      <c r="A1236">
        <v>18103</v>
      </c>
      <c r="B1236" t="s">
        <v>57</v>
      </c>
      <c r="C1236">
        <v>10</v>
      </c>
      <c r="D1236">
        <v>36.726650963796303</v>
      </c>
      <c r="E1236">
        <v>1.5378154344446699</v>
      </c>
      <c r="F1236">
        <v>117</v>
      </c>
    </row>
    <row r="1237" spans="1:6" x14ac:dyDescent="0.25">
      <c r="A1237">
        <v>18103</v>
      </c>
      <c r="B1237" t="s">
        <v>57</v>
      </c>
      <c r="C1237">
        <v>11</v>
      </c>
      <c r="D1237">
        <v>29.761251643076299</v>
      </c>
      <c r="E1237">
        <v>1.8091946287584399</v>
      </c>
      <c r="F1237">
        <v>117</v>
      </c>
    </row>
    <row r="1238" spans="1:6" x14ac:dyDescent="0.25">
      <c r="A1238">
        <v>18103</v>
      </c>
      <c r="B1238" t="s">
        <v>57</v>
      </c>
      <c r="C1238">
        <v>12</v>
      </c>
      <c r="D1238">
        <v>28.132976477193701</v>
      </c>
      <c r="E1238">
        <v>0.81413758294129901</v>
      </c>
      <c r="F1238">
        <v>117</v>
      </c>
    </row>
    <row r="1239" spans="1:6" x14ac:dyDescent="0.25">
      <c r="A1239">
        <v>18103</v>
      </c>
      <c r="B1239" t="s">
        <v>57</v>
      </c>
      <c r="C1239">
        <v>13</v>
      </c>
      <c r="D1239">
        <v>35.188835529351699</v>
      </c>
      <c r="E1239">
        <v>0.72367785150337705</v>
      </c>
      <c r="F1239">
        <v>117</v>
      </c>
    </row>
    <row r="1240" spans="1:6" x14ac:dyDescent="0.25">
      <c r="A1240">
        <v>18103</v>
      </c>
      <c r="B1240" t="s">
        <v>57</v>
      </c>
      <c r="C1240">
        <v>14</v>
      </c>
      <c r="D1240">
        <v>36.093432843730902</v>
      </c>
      <c r="E1240">
        <v>0.72367785150337705</v>
      </c>
      <c r="F1240">
        <v>117</v>
      </c>
    </row>
    <row r="1241" spans="1:6" x14ac:dyDescent="0.25">
      <c r="A1241">
        <v>18103</v>
      </c>
      <c r="B1241" t="s">
        <v>57</v>
      </c>
      <c r="C1241">
        <v>15</v>
      </c>
      <c r="D1241">
        <v>33.017801974841497</v>
      </c>
      <c r="E1241">
        <v>0.36183892575168802</v>
      </c>
      <c r="F1241">
        <v>117</v>
      </c>
    </row>
    <row r="1242" spans="1:6" x14ac:dyDescent="0.25">
      <c r="A1242">
        <v>18103</v>
      </c>
      <c r="B1242" t="s">
        <v>57</v>
      </c>
      <c r="C1242">
        <v>16</v>
      </c>
      <c r="D1242">
        <v>37.269409352423899</v>
      </c>
      <c r="E1242">
        <v>0.18091946287584401</v>
      </c>
      <c r="F1242">
        <v>117</v>
      </c>
    </row>
    <row r="1243" spans="1:6" x14ac:dyDescent="0.25">
      <c r="A1243">
        <v>18103</v>
      </c>
      <c r="B1243" t="s">
        <v>57</v>
      </c>
      <c r="C1243">
        <v>17</v>
      </c>
      <c r="D1243">
        <v>42.606533507261297</v>
      </c>
      <c r="E1243">
        <v>0</v>
      </c>
      <c r="F1243">
        <v>117</v>
      </c>
    </row>
    <row r="1244" spans="1:6" x14ac:dyDescent="0.25">
      <c r="A1244">
        <v>18103</v>
      </c>
      <c r="B1244" t="s">
        <v>57</v>
      </c>
      <c r="C1244">
        <v>18</v>
      </c>
      <c r="D1244">
        <v>45.953543570464397</v>
      </c>
      <c r="E1244">
        <v>0</v>
      </c>
      <c r="F1244">
        <v>117</v>
      </c>
    </row>
    <row r="1245" spans="1:6" x14ac:dyDescent="0.25">
      <c r="A1245">
        <v>18103</v>
      </c>
      <c r="B1245" t="s">
        <v>57</v>
      </c>
      <c r="C1245">
        <v>19</v>
      </c>
      <c r="D1245">
        <v>54.3662985941912</v>
      </c>
      <c r="E1245">
        <v>0</v>
      </c>
      <c r="F1245">
        <v>117</v>
      </c>
    </row>
    <row r="1246" spans="1:6" x14ac:dyDescent="0.25">
      <c r="A1246">
        <v>18103</v>
      </c>
      <c r="B1246" t="s">
        <v>57</v>
      </c>
      <c r="C1246">
        <v>20</v>
      </c>
      <c r="D1246">
        <v>60.065261674780302</v>
      </c>
      <c r="E1246">
        <v>0</v>
      </c>
      <c r="F1246">
        <v>117</v>
      </c>
    </row>
    <row r="1247" spans="1:6" x14ac:dyDescent="0.25">
      <c r="A1247">
        <v>18103</v>
      </c>
      <c r="B1247" t="s">
        <v>57</v>
      </c>
      <c r="C1247">
        <v>21</v>
      </c>
      <c r="D1247">
        <v>68.116177772755293</v>
      </c>
      <c r="E1247">
        <v>0</v>
      </c>
      <c r="F1247">
        <v>117</v>
      </c>
    </row>
    <row r="1248" spans="1:6" x14ac:dyDescent="0.25">
      <c r="A1248">
        <v>18103</v>
      </c>
      <c r="B1248" t="s">
        <v>57</v>
      </c>
      <c r="C1248">
        <v>22</v>
      </c>
      <c r="D1248">
        <v>69.653993207200003</v>
      </c>
      <c r="E1248">
        <v>0</v>
      </c>
      <c r="F1248">
        <v>117</v>
      </c>
    </row>
    <row r="1249" spans="1:6" x14ac:dyDescent="0.25">
      <c r="A1249">
        <v>18103</v>
      </c>
      <c r="B1249" t="s">
        <v>57</v>
      </c>
      <c r="C1249">
        <v>23</v>
      </c>
      <c r="D1249">
        <v>71.372728104520505</v>
      </c>
      <c r="E1249">
        <v>0</v>
      </c>
      <c r="F1249">
        <v>117</v>
      </c>
    </row>
    <row r="1250" spans="1:6" x14ac:dyDescent="0.25">
      <c r="A1250">
        <v>18105</v>
      </c>
      <c r="B1250" t="s">
        <v>58</v>
      </c>
      <c r="C1250">
        <v>0</v>
      </c>
      <c r="D1250">
        <v>10.015965645986499</v>
      </c>
      <c r="E1250">
        <v>0.672212459462182</v>
      </c>
      <c r="F1250">
        <v>40</v>
      </c>
    </row>
    <row r="1251" spans="1:6" x14ac:dyDescent="0.25">
      <c r="A1251">
        <v>18105</v>
      </c>
      <c r="B1251" t="s">
        <v>58</v>
      </c>
      <c r="C1251">
        <v>1</v>
      </c>
      <c r="D1251">
        <v>10.0831868919327</v>
      </c>
      <c r="E1251">
        <v>0.94109744324705602</v>
      </c>
      <c r="F1251">
        <v>40</v>
      </c>
    </row>
    <row r="1252" spans="1:6" x14ac:dyDescent="0.25">
      <c r="A1252">
        <v>18105</v>
      </c>
      <c r="B1252" t="s">
        <v>58</v>
      </c>
      <c r="C1252">
        <v>2</v>
      </c>
      <c r="D1252">
        <v>10.3520718757176</v>
      </c>
      <c r="E1252">
        <v>1.0755399351394901</v>
      </c>
      <c r="F1252">
        <v>40</v>
      </c>
    </row>
    <row r="1253" spans="1:6" x14ac:dyDescent="0.25">
      <c r="A1253">
        <v>18105</v>
      </c>
      <c r="B1253" t="s">
        <v>58</v>
      </c>
      <c r="C1253">
        <v>3</v>
      </c>
      <c r="D1253">
        <v>10.7553993513949</v>
      </c>
      <c r="E1253">
        <v>0.73943370540840103</v>
      </c>
      <c r="F1253">
        <v>40</v>
      </c>
    </row>
    <row r="1254" spans="1:6" x14ac:dyDescent="0.25">
      <c r="A1254">
        <v>18105</v>
      </c>
      <c r="B1254" t="s">
        <v>58</v>
      </c>
      <c r="C1254">
        <v>4</v>
      </c>
      <c r="D1254">
        <v>10.2176293838251</v>
      </c>
      <c r="E1254">
        <v>1.27720367297814</v>
      </c>
      <c r="F1254">
        <v>40</v>
      </c>
    </row>
    <row r="1255" spans="1:6" x14ac:dyDescent="0.25">
      <c r="A1255">
        <v>18105</v>
      </c>
      <c r="B1255" t="s">
        <v>58</v>
      </c>
      <c r="C1255">
        <v>5</v>
      </c>
      <c r="D1255">
        <v>11.091505581126</v>
      </c>
      <c r="E1255">
        <v>1.6133099027092299</v>
      </c>
      <c r="F1255">
        <v>40</v>
      </c>
    </row>
    <row r="1256" spans="1:6" x14ac:dyDescent="0.25">
      <c r="A1256">
        <v>18105</v>
      </c>
      <c r="B1256" t="s">
        <v>58</v>
      </c>
      <c r="C1256">
        <v>6</v>
      </c>
      <c r="D1256">
        <v>11.427611810857099</v>
      </c>
      <c r="E1256">
        <v>5.9154696432672003</v>
      </c>
      <c r="F1256">
        <v>40</v>
      </c>
    </row>
    <row r="1257" spans="1:6" x14ac:dyDescent="0.25">
      <c r="A1257">
        <v>18105</v>
      </c>
      <c r="B1257" t="s">
        <v>58</v>
      </c>
      <c r="C1257">
        <v>7</v>
      </c>
      <c r="D1257">
        <v>10.8898418432873</v>
      </c>
      <c r="E1257">
        <v>13.175364205458701</v>
      </c>
      <c r="F1257">
        <v>40</v>
      </c>
    </row>
    <row r="1258" spans="1:6" x14ac:dyDescent="0.25">
      <c r="A1258">
        <v>18105</v>
      </c>
      <c r="B1258" t="s">
        <v>58</v>
      </c>
      <c r="C1258">
        <v>8</v>
      </c>
      <c r="D1258">
        <v>10.553735613556199</v>
      </c>
      <c r="E1258">
        <v>15.8642140433075</v>
      </c>
      <c r="F1258">
        <v>40</v>
      </c>
    </row>
    <row r="1259" spans="1:6" x14ac:dyDescent="0.25">
      <c r="A1259">
        <v>18105</v>
      </c>
      <c r="B1259" t="s">
        <v>58</v>
      </c>
      <c r="C1259">
        <v>9</v>
      </c>
      <c r="D1259">
        <v>9.6126381703092108</v>
      </c>
      <c r="E1259">
        <v>15.931435289253701</v>
      </c>
      <c r="F1259">
        <v>40</v>
      </c>
    </row>
    <row r="1260" spans="1:6" x14ac:dyDescent="0.25">
      <c r="A1260">
        <v>18105</v>
      </c>
      <c r="B1260" t="s">
        <v>58</v>
      </c>
      <c r="C1260">
        <v>10</v>
      </c>
      <c r="D1260">
        <v>6.9237883324604796</v>
      </c>
      <c r="E1260">
        <v>14.049240402759599</v>
      </c>
      <c r="F1260">
        <v>40</v>
      </c>
    </row>
    <row r="1261" spans="1:6" x14ac:dyDescent="0.25">
      <c r="A1261">
        <v>18105</v>
      </c>
      <c r="B1261" t="s">
        <v>58</v>
      </c>
      <c r="C1261">
        <v>11</v>
      </c>
      <c r="D1261">
        <v>6.38601836489073</v>
      </c>
      <c r="E1261">
        <v>13.309806697351201</v>
      </c>
      <c r="F1261">
        <v>40</v>
      </c>
    </row>
    <row r="1262" spans="1:6" x14ac:dyDescent="0.25">
      <c r="A1262">
        <v>18105</v>
      </c>
      <c r="B1262" t="s">
        <v>58</v>
      </c>
      <c r="C1262">
        <v>12</v>
      </c>
      <c r="D1262">
        <v>5.9826908892134201</v>
      </c>
      <c r="E1262">
        <v>9.8143019081478702</v>
      </c>
      <c r="F1262">
        <v>40</v>
      </c>
    </row>
    <row r="1263" spans="1:6" x14ac:dyDescent="0.25">
      <c r="A1263">
        <v>18105</v>
      </c>
      <c r="B1263" t="s">
        <v>58</v>
      </c>
      <c r="C1263">
        <v>13</v>
      </c>
      <c r="D1263">
        <v>5.9154696432672003</v>
      </c>
      <c r="E1263">
        <v>9.0076469567932502</v>
      </c>
      <c r="F1263">
        <v>40</v>
      </c>
    </row>
    <row r="1264" spans="1:6" x14ac:dyDescent="0.25">
      <c r="A1264">
        <v>18105</v>
      </c>
      <c r="B1264" t="s">
        <v>58</v>
      </c>
      <c r="C1264">
        <v>14</v>
      </c>
      <c r="D1264">
        <v>5.5793634135361101</v>
      </c>
      <c r="E1264">
        <v>6.5204608567831697</v>
      </c>
      <c r="F1264">
        <v>40</v>
      </c>
    </row>
    <row r="1265" spans="1:6" x14ac:dyDescent="0.25">
      <c r="A1265">
        <v>18105</v>
      </c>
      <c r="B1265" t="s">
        <v>58</v>
      </c>
      <c r="C1265">
        <v>15</v>
      </c>
      <c r="D1265">
        <v>5.3776996756974604</v>
      </c>
      <c r="E1265">
        <v>3.0249560675798199</v>
      </c>
      <c r="F1265">
        <v>40</v>
      </c>
    </row>
    <row r="1266" spans="1:6" x14ac:dyDescent="0.25">
      <c r="A1266">
        <v>18105</v>
      </c>
      <c r="B1266" t="s">
        <v>58</v>
      </c>
      <c r="C1266">
        <v>16</v>
      </c>
      <c r="D1266">
        <v>5.3776996756974604</v>
      </c>
      <c r="E1266">
        <v>1.0083186891932701</v>
      </c>
      <c r="F1266">
        <v>40</v>
      </c>
    </row>
    <row r="1267" spans="1:6" x14ac:dyDescent="0.25">
      <c r="A1267">
        <v>18105</v>
      </c>
      <c r="B1267" t="s">
        <v>58</v>
      </c>
      <c r="C1267">
        <v>17</v>
      </c>
      <c r="D1267">
        <v>6.1843546270520804</v>
      </c>
      <c r="E1267">
        <v>0.672212459462182</v>
      </c>
      <c r="F1267">
        <v>40</v>
      </c>
    </row>
    <row r="1268" spans="1:6" x14ac:dyDescent="0.25">
      <c r="A1268">
        <v>18105</v>
      </c>
      <c r="B1268" t="s">
        <v>58</v>
      </c>
      <c r="C1268">
        <v>18</v>
      </c>
      <c r="D1268">
        <v>7.7976645297613203</v>
      </c>
      <c r="E1268">
        <v>0.40332747567730898</v>
      </c>
      <c r="F1268">
        <v>40</v>
      </c>
    </row>
    <row r="1269" spans="1:6" x14ac:dyDescent="0.25">
      <c r="A1269">
        <v>18105</v>
      </c>
      <c r="B1269" t="s">
        <v>58</v>
      </c>
      <c r="C1269">
        <v>19</v>
      </c>
      <c r="D1269">
        <v>8.4698769892235006</v>
      </c>
      <c r="E1269">
        <v>1.5460886567630201</v>
      </c>
      <c r="F1269">
        <v>40</v>
      </c>
    </row>
    <row r="1270" spans="1:6" x14ac:dyDescent="0.25">
      <c r="A1270">
        <v>18105</v>
      </c>
      <c r="B1270" t="s">
        <v>58</v>
      </c>
      <c r="C1270">
        <v>20</v>
      </c>
      <c r="D1270">
        <v>8.8732044649008106</v>
      </c>
      <c r="E1270">
        <v>1.74775239460167</v>
      </c>
      <c r="F1270">
        <v>40</v>
      </c>
    </row>
    <row r="1271" spans="1:6" x14ac:dyDescent="0.25">
      <c r="A1271">
        <v>18105</v>
      </c>
      <c r="B1271" t="s">
        <v>58</v>
      </c>
      <c r="C1271">
        <v>21</v>
      </c>
      <c r="D1271">
        <v>9.2765319405781206</v>
      </c>
      <c r="E1271">
        <v>0.94109744324705602</v>
      </c>
      <c r="F1271">
        <v>40</v>
      </c>
    </row>
    <row r="1272" spans="1:6" x14ac:dyDescent="0.25">
      <c r="A1272">
        <v>18105</v>
      </c>
      <c r="B1272" t="s">
        <v>58</v>
      </c>
      <c r="C1272">
        <v>22</v>
      </c>
      <c r="D1272">
        <v>9.3437531865243404</v>
      </c>
      <c r="E1272">
        <v>0.672212459462182</v>
      </c>
      <c r="F1272">
        <v>40</v>
      </c>
    </row>
    <row r="1273" spans="1:6" x14ac:dyDescent="0.25">
      <c r="A1273">
        <v>18105</v>
      </c>
      <c r="B1273" t="s">
        <v>58</v>
      </c>
      <c r="C1273">
        <v>23</v>
      </c>
      <c r="D1273">
        <v>9.4109744324705602</v>
      </c>
      <c r="E1273">
        <v>0.73943370540840103</v>
      </c>
      <c r="F1273">
        <v>40</v>
      </c>
    </row>
    <row r="1274" spans="1:6" x14ac:dyDescent="0.25">
      <c r="A1274">
        <v>18107</v>
      </c>
      <c r="B1274" t="s">
        <v>59</v>
      </c>
      <c r="C1274">
        <v>0</v>
      </c>
      <c r="D1274">
        <v>227.80341790092299</v>
      </c>
      <c r="E1274">
        <v>4.9507938104752798</v>
      </c>
      <c r="F1274">
        <v>165</v>
      </c>
    </row>
    <row r="1275" spans="1:6" x14ac:dyDescent="0.25">
      <c r="A1275">
        <v>18107</v>
      </c>
      <c r="B1275" t="s">
        <v>59</v>
      </c>
      <c r="C1275">
        <v>1</v>
      </c>
      <c r="D1275">
        <v>227.73651528186201</v>
      </c>
      <c r="E1275">
        <v>5.7536252392009999</v>
      </c>
      <c r="F1275">
        <v>165</v>
      </c>
    </row>
    <row r="1276" spans="1:6" x14ac:dyDescent="0.25">
      <c r="A1276">
        <v>18107</v>
      </c>
      <c r="B1276" t="s">
        <v>59</v>
      </c>
      <c r="C1276">
        <v>2</v>
      </c>
      <c r="D1276">
        <v>229.743593853677</v>
      </c>
      <c r="E1276">
        <v>7.0916776204105298</v>
      </c>
      <c r="F1276">
        <v>165</v>
      </c>
    </row>
    <row r="1277" spans="1:6" x14ac:dyDescent="0.25">
      <c r="A1277">
        <v>18107</v>
      </c>
      <c r="B1277" t="s">
        <v>59</v>
      </c>
      <c r="C1277">
        <v>3</v>
      </c>
      <c r="D1277">
        <v>230.546425282402</v>
      </c>
      <c r="E1277">
        <v>7.7607038110152997</v>
      </c>
      <c r="F1277">
        <v>165</v>
      </c>
    </row>
    <row r="1278" spans="1:6" x14ac:dyDescent="0.25">
      <c r="A1278">
        <v>18107</v>
      </c>
      <c r="B1278" t="s">
        <v>59</v>
      </c>
      <c r="C1278">
        <v>4</v>
      </c>
      <c r="D1278">
        <v>222.58501361420599</v>
      </c>
      <c r="E1278">
        <v>8.9649509541038803</v>
      </c>
      <c r="F1278">
        <v>165</v>
      </c>
    </row>
    <row r="1279" spans="1:6" x14ac:dyDescent="0.25">
      <c r="A1279">
        <v>18107</v>
      </c>
      <c r="B1279" t="s">
        <v>59</v>
      </c>
      <c r="C1279">
        <v>5</v>
      </c>
      <c r="D1279">
        <v>207.06360599217501</v>
      </c>
      <c r="E1279">
        <v>9.2994640494062697</v>
      </c>
      <c r="F1279">
        <v>165</v>
      </c>
    </row>
    <row r="1280" spans="1:6" x14ac:dyDescent="0.25">
      <c r="A1280">
        <v>18107</v>
      </c>
      <c r="B1280" t="s">
        <v>59</v>
      </c>
      <c r="C1280">
        <v>6</v>
      </c>
      <c r="D1280">
        <v>187.99635955993901</v>
      </c>
      <c r="E1280">
        <v>9.3663666684667408</v>
      </c>
      <c r="F1280">
        <v>165</v>
      </c>
    </row>
    <row r="1281" spans="1:6" x14ac:dyDescent="0.25">
      <c r="A1281">
        <v>18107</v>
      </c>
      <c r="B1281" t="s">
        <v>59</v>
      </c>
      <c r="C1281">
        <v>7</v>
      </c>
      <c r="D1281">
        <v>154.74575788688199</v>
      </c>
      <c r="E1281">
        <v>10.1691980971924</v>
      </c>
      <c r="F1281">
        <v>165</v>
      </c>
    </row>
    <row r="1282" spans="1:6" x14ac:dyDescent="0.25">
      <c r="A1282">
        <v>18107</v>
      </c>
      <c r="B1282" t="s">
        <v>59</v>
      </c>
      <c r="C1282">
        <v>8</v>
      </c>
      <c r="D1282">
        <v>116.20984930804801</v>
      </c>
      <c r="E1282">
        <v>8.6973404778619798</v>
      </c>
      <c r="F1282">
        <v>165</v>
      </c>
    </row>
    <row r="1283" spans="1:6" x14ac:dyDescent="0.25">
      <c r="A1283">
        <v>18107</v>
      </c>
      <c r="B1283" t="s">
        <v>59</v>
      </c>
      <c r="C1283">
        <v>9</v>
      </c>
      <c r="D1283">
        <v>93.663666684667405</v>
      </c>
      <c r="E1283">
        <v>8.6973404778619798</v>
      </c>
      <c r="F1283">
        <v>165</v>
      </c>
    </row>
    <row r="1284" spans="1:6" x14ac:dyDescent="0.25">
      <c r="A1284">
        <v>18107</v>
      </c>
      <c r="B1284" t="s">
        <v>59</v>
      </c>
      <c r="C1284">
        <v>10</v>
      </c>
      <c r="D1284">
        <v>80.550753348813998</v>
      </c>
      <c r="E1284">
        <v>7.0247750013500596</v>
      </c>
      <c r="F1284">
        <v>165</v>
      </c>
    </row>
    <row r="1285" spans="1:6" x14ac:dyDescent="0.25">
      <c r="A1285">
        <v>18107</v>
      </c>
      <c r="B1285" t="s">
        <v>59</v>
      </c>
      <c r="C1285">
        <v>11</v>
      </c>
      <c r="D1285">
        <v>77.941551205455397</v>
      </c>
      <c r="E1285">
        <v>6.55645666792672</v>
      </c>
      <c r="F1285">
        <v>165</v>
      </c>
    </row>
    <row r="1286" spans="1:6" x14ac:dyDescent="0.25">
      <c r="A1286">
        <v>18107</v>
      </c>
      <c r="B1286" t="s">
        <v>59</v>
      </c>
      <c r="C1286">
        <v>12</v>
      </c>
      <c r="D1286">
        <v>85.300839302107804</v>
      </c>
      <c r="E1286">
        <v>4.7500859532938504</v>
      </c>
      <c r="F1286">
        <v>165</v>
      </c>
    </row>
    <row r="1287" spans="1:6" x14ac:dyDescent="0.25">
      <c r="A1287">
        <v>18107</v>
      </c>
      <c r="B1287" t="s">
        <v>59</v>
      </c>
      <c r="C1287">
        <v>13</v>
      </c>
      <c r="D1287">
        <v>89.783314779159795</v>
      </c>
      <c r="E1287">
        <v>6.0212357154429004</v>
      </c>
      <c r="F1287">
        <v>165</v>
      </c>
    </row>
    <row r="1288" spans="1:6" x14ac:dyDescent="0.25">
      <c r="A1288">
        <v>18107</v>
      </c>
      <c r="B1288" t="s">
        <v>59</v>
      </c>
      <c r="C1288">
        <v>14</v>
      </c>
      <c r="D1288">
        <v>89.783314779159795</v>
      </c>
      <c r="E1288">
        <v>6.6233592869872</v>
      </c>
      <c r="F1288">
        <v>165</v>
      </c>
    </row>
    <row r="1289" spans="1:6" x14ac:dyDescent="0.25">
      <c r="A1289">
        <v>18107</v>
      </c>
      <c r="B1289" t="s">
        <v>59</v>
      </c>
      <c r="C1289">
        <v>15</v>
      </c>
      <c r="D1289">
        <v>98.748265733263693</v>
      </c>
      <c r="E1289">
        <v>6.8909697632290996</v>
      </c>
      <c r="F1289">
        <v>165</v>
      </c>
    </row>
    <row r="1290" spans="1:6" x14ac:dyDescent="0.25">
      <c r="A1290">
        <v>18107</v>
      </c>
      <c r="B1290" t="s">
        <v>59</v>
      </c>
      <c r="C1290">
        <v>16</v>
      </c>
      <c r="D1290">
        <v>116.27675192710799</v>
      </c>
      <c r="E1290">
        <v>4.4155728579914602</v>
      </c>
      <c r="F1290">
        <v>165</v>
      </c>
    </row>
    <row r="1291" spans="1:6" x14ac:dyDescent="0.25">
      <c r="A1291">
        <v>18107</v>
      </c>
      <c r="B1291" t="s">
        <v>59</v>
      </c>
      <c r="C1291">
        <v>17</v>
      </c>
      <c r="D1291">
        <v>139.35815550297301</v>
      </c>
      <c r="E1291">
        <v>1.67256547651191</v>
      </c>
      <c r="F1291">
        <v>165</v>
      </c>
    </row>
    <row r="1292" spans="1:6" x14ac:dyDescent="0.25">
      <c r="A1292">
        <v>18107</v>
      </c>
      <c r="B1292" t="s">
        <v>59</v>
      </c>
      <c r="C1292">
        <v>18</v>
      </c>
      <c r="D1292">
        <v>158.759915030511</v>
      </c>
      <c r="E1292">
        <v>1.33805238120953</v>
      </c>
      <c r="F1292">
        <v>165</v>
      </c>
    </row>
    <row r="1293" spans="1:6" x14ac:dyDescent="0.25">
      <c r="A1293">
        <v>18107</v>
      </c>
      <c r="B1293" t="s">
        <v>59</v>
      </c>
      <c r="C1293">
        <v>19</v>
      </c>
      <c r="D1293">
        <v>179.031408605835</v>
      </c>
      <c r="E1293">
        <v>1.60566285745144</v>
      </c>
      <c r="F1293">
        <v>165</v>
      </c>
    </row>
    <row r="1294" spans="1:6" x14ac:dyDescent="0.25">
      <c r="A1294">
        <v>18107</v>
      </c>
      <c r="B1294" t="s">
        <v>59</v>
      </c>
      <c r="C1294">
        <v>20</v>
      </c>
      <c r="D1294">
        <v>201.44378599109501</v>
      </c>
      <c r="E1294">
        <v>1.53876023839096</v>
      </c>
      <c r="F1294">
        <v>165</v>
      </c>
    </row>
    <row r="1295" spans="1:6" x14ac:dyDescent="0.25">
      <c r="A1295">
        <v>18107</v>
      </c>
      <c r="B1295" t="s">
        <v>59</v>
      </c>
      <c r="C1295">
        <v>21</v>
      </c>
      <c r="D1295">
        <v>215.96165432721901</v>
      </c>
      <c r="E1295">
        <v>1.80637071463287</v>
      </c>
      <c r="F1295">
        <v>165</v>
      </c>
    </row>
    <row r="1296" spans="1:6" x14ac:dyDescent="0.25">
      <c r="A1296">
        <v>18107</v>
      </c>
      <c r="B1296" t="s">
        <v>59</v>
      </c>
      <c r="C1296">
        <v>22</v>
      </c>
      <c r="D1296">
        <v>221.915987423601</v>
      </c>
      <c r="E1296">
        <v>3.8134492864471699</v>
      </c>
      <c r="F1296">
        <v>165</v>
      </c>
    </row>
    <row r="1297" spans="1:6" x14ac:dyDescent="0.25">
      <c r="A1297">
        <v>18107</v>
      </c>
      <c r="B1297" t="s">
        <v>59</v>
      </c>
      <c r="C1297">
        <v>23</v>
      </c>
      <c r="D1297">
        <v>226.26465766253199</v>
      </c>
      <c r="E1297">
        <v>4.0810597626890797</v>
      </c>
      <c r="F1297">
        <v>165</v>
      </c>
    </row>
    <row r="1298" spans="1:6" x14ac:dyDescent="0.25">
      <c r="A1298">
        <v>18109</v>
      </c>
      <c r="B1298" t="s">
        <v>60</v>
      </c>
      <c r="C1298">
        <v>0</v>
      </c>
      <c r="D1298">
        <v>13.315263809496599</v>
      </c>
      <c r="E1298">
        <v>6.2750093814869103</v>
      </c>
      <c r="F1298">
        <v>56</v>
      </c>
    </row>
    <row r="1299" spans="1:6" x14ac:dyDescent="0.25">
      <c r="A1299">
        <v>18109</v>
      </c>
      <c r="B1299" t="s">
        <v>60</v>
      </c>
      <c r="C1299">
        <v>1</v>
      </c>
      <c r="D1299">
        <v>13.8050206392712</v>
      </c>
      <c r="E1299">
        <v>6.8872054187051504</v>
      </c>
      <c r="F1299">
        <v>56</v>
      </c>
    </row>
    <row r="1300" spans="1:6" x14ac:dyDescent="0.25">
      <c r="A1300">
        <v>18109</v>
      </c>
      <c r="B1300" t="s">
        <v>60</v>
      </c>
      <c r="C1300">
        <v>2</v>
      </c>
      <c r="D1300">
        <v>14.3866068746285</v>
      </c>
      <c r="E1300">
        <v>7.8361092763934099</v>
      </c>
      <c r="F1300">
        <v>56</v>
      </c>
    </row>
    <row r="1301" spans="1:6" x14ac:dyDescent="0.25">
      <c r="A1301">
        <v>18109</v>
      </c>
      <c r="B1301" t="s">
        <v>60</v>
      </c>
      <c r="C1301">
        <v>3</v>
      </c>
      <c r="D1301">
        <v>13.8356304411321</v>
      </c>
      <c r="E1301">
        <v>8.1422072950025299</v>
      </c>
      <c r="F1301">
        <v>56</v>
      </c>
    </row>
    <row r="1302" spans="1:6" x14ac:dyDescent="0.25">
      <c r="A1302">
        <v>18109</v>
      </c>
      <c r="B1302" t="s">
        <v>60</v>
      </c>
      <c r="C1302">
        <v>4</v>
      </c>
      <c r="D1302">
        <v>13.4070932150793</v>
      </c>
      <c r="E1302">
        <v>9.0605013508298793</v>
      </c>
      <c r="F1302">
        <v>56</v>
      </c>
    </row>
    <row r="1303" spans="1:6" x14ac:dyDescent="0.25">
      <c r="A1303">
        <v>18109</v>
      </c>
      <c r="B1303" t="s">
        <v>60</v>
      </c>
      <c r="C1303">
        <v>5</v>
      </c>
      <c r="D1303">
        <v>12.886726583443799</v>
      </c>
      <c r="E1303">
        <v>9.91757580293541</v>
      </c>
      <c r="F1303">
        <v>56</v>
      </c>
    </row>
    <row r="1304" spans="1:6" x14ac:dyDescent="0.25">
      <c r="A1304">
        <v>18109</v>
      </c>
      <c r="B1304" t="s">
        <v>60</v>
      </c>
      <c r="C1304">
        <v>6</v>
      </c>
      <c r="D1304">
        <v>11.6623345090073</v>
      </c>
      <c r="E1304">
        <v>11.141967877371799</v>
      </c>
      <c r="F1304">
        <v>56</v>
      </c>
    </row>
    <row r="1305" spans="1:6" x14ac:dyDescent="0.25">
      <c r="A1305">
        <v>18109</v>
      </c>
      <c r="B1305" t="s">
        <v>60</v>
      </c>
      <c r="C1305">
        <v>7</v>
      </c>
      <c r="D1305">
        <v>10.1012346141008</v>
      </c>
      <c r="E1305">
        <v>11.601114905285501</v>
      </c>
      <c r="F1305">
        <v>56</v>
      </c>
    </row>
    <row r="1306" spans="1:6" x14ac:dyDescent="0.25">
      <c r="A1306">
        <v>18109</v>
      </c>
      <c r="B1306" t="s">
        <v>60</v>
      </c>
      <c r="C1306">
        <v>8</v>
      </c>
      <c r="D1306">
        <v>7.7442798708106801</v>
      </c>
      <c r="E1306">
        <v>10.927699264345501</v>
      </c>
      <c r="F1306">
        <v>56</v>
      </c>
    </row>
    <row r="1307" spans="1:6" x14ac:dyDescent="0.25">
      <c r="A1307">
        <v>18109</v>
      </c>
      <c r="B1307" t="s">
        <v>60</v>
      </c>
      <c r="C1307">
        <v>9</v>
      </c>
      <c r="D1307">
        <v>6.2137897777650899</v>
      </c>
      <c r="E1307">
        <v>11.8459933201728</v>
      </c>
      <c r="F1307">
        <v>56</v>
      </c>
    </row>
    <row r="1308" spans="1:6" x14ac:dyDescent="0.25">
      <c r="A1308">
        <v>18109</v>
      </c>
      <c r="B1308" t="s">
        <v>60</v>
      </c>
      <c r="C1308">
        <v>10</v>
      </c>
      <c r="D1308">
        <v>5.4791545331032099</v>
      </c>
      <c r="E1308">
        <v>11.448065895980999</v>
      </c>
      <c r="F1308">
        <v>56</v>
      </c>
    </row>
    <row r="1309" spans="1:6" x14ac:dyDescent="0.25">
      <c r="A1309">
        <v>18109</v>
      </c>
      <c r="B1309" t="s">
        <v>60</v>
      </c>
      <c r="C1309">
        <v>11</v>
      </c>
      <c r="D1309">
        <v>4.1935428549449103</v>
      </c>
      <c r="E1309">
        <v>10.2236738215445</v>
      </c>
      <c r="F1309">
        <v>56</v>
      </c>
    </row>
    <row r="1310" spans="1:6" x14ac:dyDescent="0.25">
      <c r="A1310">
        <v>18109</v>
      </c>
      <c r="B1310" t="s">
        <v>60</v>
      </c>
      <c r="C1310">
        <v>12</v>
      </c>
      <c r="D1310">
        <v>3.0609801860911698</v>
      </c>
      <c r="E1310">
        <v>8.6931837284989406</v>
      </c>
      <c r="F1310">
        <v>56</v>
      </c>
    </row>
    <row r="1311" spans="1:6" x14ac:dyDescent="0.25">
      <c r="A1311">
        <v>18109</v>
      </c>
      <c r="B1311" t="s">
        <v>60</v>
      </c>
      <c r="C1311">
        <v>13</v>
      </c>
      <c r="D1311">
        <v>2.23451553584656</v>
      </c>
      <c r="E1311">
        <v>4.2547624586667299</v>
      </c>
      <c r="F1311">
        <v>56</v>
      </c>
    </row>
    <row r="1312" spans="1:6" x14ac:dyDescent="0.25">
      <c r="A1312">
        <v>18109</v>
      </c>
      <c r="B1312" t="s">
        <v>60</v>
      </c>
      <c r="C1312">
        <v>14</v>
      </c>
      <c r="D1312">
        <v>1.68353910235014</v>
      </c>
      <c r="E1312">
        <v>2.8773213749257001</v>
      </c>
      <c r="F1312">
        <v>56</v>
      </c>
    </row>
    <row r="1313" spans="1:6" x14ac:dyDescent="0.25">
      <c r="A1313">
        <v>18109</v>
      </c>
      <c r="B1313" t="s">
        <v>60</v>
      </c>
      <c r="C1313">
        <v>15</v>
      </c>
      <c r="D1313">
        <v>1.80597830979379</v>
      </c>
      <c r="E1313">
        <v>4.2241526568058196</v>
      </c>
      <c r="F1313">
        <v>56</v>
      </c>
    </row>
    <row r="1314" spans="1:6" x14ac:dyDescent="0.25">
      <c r="A1314">
        <v>18109</v>
      </c>
      <c r="B1314" t="s">
        <v>60</v>
      </c>
      <c r="C1314">
        <v>16</v>
      </c>
      <c r="D1314">
        <v>2.2651253377074698</v>
      </c>
      <c r="E1314">
        <v>3.9792742419185299</v>
      </c>
      <c r="F1314">
        <v>56</v>
      </c>
    </row>
    <row r="1315" spans="1:6" x14ac:dyDescent="0.25">
      <c r="A1315">
        <v>18109</v>
      </c>
      <c r="B1315" t="s">
        <v>60</v>
      </c>
      <c r="C1315">
        <v>17</v>
      </c>
      <c r="D1315">
        <v>3.3058586009784698</v>
      </c>
      <c r="E1315">
        <v>3.6731762233094098</v>
      </c>
      <c r="F1315">
        <v>56</v>
      </c>
    </row>
    <row r="1316" spans="1:6" x14ac:dyDescent="0.25">
      <c r="A1316">
        <v>18109</v>
      </c>
      <c r="B1316" t="s">
        <v>60</v>
      </c>
      <c r="C1316">
        <v>18</v>
      </c>
      <c r="D1316">
        <v>4.1935428549449103</v>
      </c>
      <c r="E1316">
        <v>4.1629330530840001</v>
      </c>
      <c r="F1316">
        <v>56</v>
      </c>
    </row>
    <row r="1317" spans="1:6" x14ac:dyDescent="0.25">
      <c r="A1317">
        <v>18109</v>
      </c>
      <c r="B1317" t="s">
        <v>60</v>
      </c>
      <c r="C1317">
        <v>19</v>
      </c>
      <c r="D1317">
        <v>6.1525701740432597</v>
      </c>
      <c r="E1317">
        <v>3.6731762233094098</v>
      </c>
      <c r="F1317">
        <v>56</v>
      </c>
    </row>
    <row r="1318" spans="1:6" x14ac:dyDescent="0.25">
      <c r="A1318">
        <v>18109</v>
      </c>
      <c r="B1318" t="s">
        <v>60</v>
      </c>
      <c r="C1318">
        <v>20</v>
      </c>
      <c r="D1318">
        <v>9.1217209545517104</v>
      </c>
      <c r="E1318">
        <v>3.8262252326139699</v>
      </c>
      <c r="F1318">
        <v>56</v>
      </c>
    </row>
    <row r="1319" spans="1:6" x14ac:dyDescent="0.25">
      <c r="A1319">
        <v>18109</v>
      </c>
      <c r="B1319" t="s">
        <v>60</v>
      </c>
      <c r="C1319">
        <v>21</v>
      </c>
      <c r="D1319">
        <v>11.019528669928199</v>
      </c>
      <c r="E1319">
        <v>4.2547624586667299</v>
      </c>
      <c r="F1319">
        <v>56</v>
      </c>
    </row>
    <row r="1320" spans="1:6" x14ac:dyDescent="0.25">
      <c r="A1320">
        <v>18109</v>
      </c>
      <c r="B1320" t="s">
        <v>60</v>
      </c>
      <c r="C1320">
        <v>22</v>
      </c>
      <c r="D1320">
        <v>12.0908717350601</v>
      </c>
      <c r="E1320">
        <v>4.9893977033286196</v>
      </c>
      <c r="F1320">
        <v>56</v>
      </c>
    </row>
    <row r="1321" spans="1:6" x14ac:dyDescent="0.25">
      <c r="A1321">
        <v>18109</v>
      </c>
      <c r="B1321" t="s">
        <v>60</v>
      </c>
      <c r="C1321">
        <v>23</v>
      </c>
      <c r="D1321">
        <v>12.794897177861101</v>
      </c>
      <c r="E1321">
        <v>5.5709839386859397</v>
      </c>
      <c r="F1321">
        <v>56</v>
      </c>
    </row>
    <row r="1322" spans="1:6" x14ac:dyDescent="0.25">
      <c r="A1322">
        <v>18111</v>
      </c>
      <c r="B1322" t="s">
        <v>61</v>
      </c>
      <c r="C1322">
        <v>0</v>
      </c>
      <c r="D1322">
        <v>34.471821337229699</v>
      </c>
      <c r="E1322">
        <v>0</v>
      </c>
      <c r="F1322">
        <v>36</v>
      </c>
    </row>
    <row r="1323" spans="1:6" x14ac:dyDescent="0.25">
      <c r="A1323">
        <v>18111</v>
      </c>
      <c r="B1323" t="s">
        <v>61</v>
      </c>
      <c r="C1323">
        <v>1</v>
      </c>
      <c r="D1323">
        <v>34.7635433795758</v>
      </c>
      <c r="E1323">
        <v>0</v>
      </c>
      <c r="F1323">
        <v>36</v>
      </c>
    </row>
    <row r="1324" spans="1:6" x14ac:dyDescent="0.25">
      <c r="A1324">
        <v>18111</v>
      </c>
      <c r="B1324" t="s">
        <v>61</v>
      </c>
      <c r="C1324">
        <v>2</v>
      </c>
      <c r="D1324">
        <v>34.714923039184697</v>
      </c>
      <c r="E1324">
        <v>0.145861021173045</v>
      </c>
      <c r="F1324">
        <v>36</v>
      </c>
    </row>
    <row r="1325" spans="1:6" x14ac:dyDescent="0.25">
      <c r="A1325">
        <v>18111</v>
      </c>
      <c r="B1325" t="s">
        <v>61</v>
      </c>
      <c r="C1325">
        <v>3</v>
      </c>
      <c r="D1325">
        <v>35.2011264430949</v>
      </c>
      <c r="E1325">
        <v>0.145861021173045</v>
      </c>
      <c r="F1325">
        <v>36</v>
      </c>
    </row>
    <row r="1326" spans="1:6" x14ac:dyDescent="0.25">
      <c r="A1326">
        <v>18111</v>
      </c>
      <c r="B1326" t="s">
        <v>61</v>
      </c>
      <c r="C1326">
        <v>4</v>
      </c>
      <c r="D1326">
        <v>35.006645081530799</v>
      </c>
      <c r="E1326">
        <v>0</v>
      </c>
      <c r="F1326">
        <v>36</v>
      </c>
    </row>
    <row r="1327" spans="1:6" x14ac:dyDescent="0.25">
      <c r="A1327">
        <v>18111</v>
      </c>
      <c r="B1327" t="s">
        <v>61</v>
      </c>
      <c r="C1327">
        <v>5</v>
      </c>
      <c r="D1327">
        <v>32.915970444717203</v>
      </c>
      <c r="E1327">
        <v>9.72406807820302E-2</v>
      </c>
      <c r="F1327">
        <v>36</v>
      </c>
    </row>
    <row r="1328" spans="1:6" x14ac:dyDescent="0.25">
      <c r="A1328">
        <v>18111</v>
      </c>
      <c r="B1328" t="s">
        <v>61</v>
      </c>
      <c r="C1328">
        <v>6</v>
      </c>
      <c r="D1328">
        <v>29.318065255782098</v>
      </c>
      <c r="E1328">
        <v>0.43758306351913501</v>
      </c>
      <c r="F1328">
        <v>36</v>
      </c>
    </row>
    <row r="1329" spans="1:6" x14ac:dyDescent="0.25">
      <c r="A1329">
        <v>18111</v>
      </c>
      <c r="B1329" t="s">
        <v>61</v>
      </c>
      <c r="C1329">
        <v>7</v>
      </c>
      <c r="D1329">
        <v>21.733292154783701</v>
      </c>
      <c r="E1329">
        <v>0.24310170195507499</v>
      </c>
      <c r="F1329">
        <v>36</v>
      </c>
    </row>
    <row r="1330" spans="1:6" x14ac:dyDescent="0.25">
      <c r="A1330">
        <v>18111</v>
      </c>
      <c r="B1330" t="s">
        <v>61</v>
      </c>
      <c r="C1330">
        <v>8</v>
      </c>
      <c r="D1330">
        <v>14.6833427980865</v>
      </c>
      <c r="E1330">
        <v>0.24310170195507499</v>
      </c>
      <c r="F1330">
        <v>36</v>
      </c>
    </row>
    <row r="1331" spans="1:6" x14ac:dyDescent="0.25">
      <c r="A1331">
        <v>18111</v>
      </c>
      <c r="B1331" t="s">
        <v>61</v>
      </c>
      <c r="C1331">
        <v>9</v>
      </c>
      <c r="D1331">
        <v>12.544047820881801</v>
      </c>
      <c r="E1331">
        <v>9.72406807820302E-2</v>
      </c>
      <c r="F1331">
        <v>36</v>
      </c>
    </row>
    <row r="1332" spans="1:6" x14ac:dyDescent="0.25">
      <c r="A1332">
        <v>18111</v>
      </c>
      <c r="B1332" t="s">
        <v>61</v>
      </c>
      <c r="C1332">
        <v>10</v>
      </c>
      <c r="D1332">
        <v>11.766122374625599</v>
      </c>
      <c r="E1332">
        <v>0.68068476547421097</v>
      </c>
      <c r="F1332">
        <v>36</v>
      </c>
    </row>
    <row r="1333" spans="1:6" x14ac:dyDescent="0.25">
      <c r="A1333">
        <v>18111</v>
      </c>
      <c r="B1333" t="s">
        <v>61</v>
      </c>
      <c r="C1333">
        <v>11</v>
      </c>
      <c r="D1333">
        <v>10.647854545632301</v>
      </c>
      <c r="E1333">
        <v>0.82654578664725598</v>
      </c>
      <c r="F1333">
        <v>36</v>
      </c>
    </row>
    <row r="1334" spans="1:6" x14ac:dyDescent="0.25">
      <c r="A1334">
        <v>18111</v>
      </c>
      <c r="B1334" t="s">
        <v>61</v>
      </c>
      <c r="C1334">
        <v>12</v>
      </c>
      <c r="D1334">
        <v>9.8699290993760602</v>
      </c>
      <c r="E1334">
        <v>9.72406807820302E-2</v>
      </c>
      <c r="F1334">
        <v>36</v>
      </c>
    </row>
    <row r="1335" spans="1:6" x14ac:dyDescent="0.25">
      <c r="A1335">
        <v>18111</v>
      </c>
      <c r="B1335" t="s">
        <v>61</v>
      </c>
      <c r="C1335">
        <v>13</v>
      </c>
      <c r="D1335">
        <v>9.5782070570299709</v>
      </c>
      <c r="E1335">
        <v>0.82654578664725598</v>
      </c>
      <c r="F1335">
        <v>36</v>
      </c>
    </row>
    <row r="1336" spans="1:6" x14ac:dyDescent="0.25">
      <c r="A1336">
        <v>18111</v>
      </c>
      <c r="B1336" t="s">
        <v>61</v>
      </c>
      <c r="C1336">
        <v>14</v>
      </c>
      <c r="D1336">
        <v>10.4533731840682</v>
      </c>
      <c r="E1336">
        <v>0.53482374430116597</v>
      </c>
      <c r="F1336">
        <v>36</v>
      </c>
    </row>
    <row r="1337" spans="1:6" x14ac:dyDescent="0.25">
      <c r="A1337">
        <v>18111</v>
      </c>
      <c r="B1337" t="s">
        <v>61</v>
      </c>
      <c r="C1337">
        <v>15</v>
      </c>
      <c r="D1337">
        <v>9.72406807820302</v>
      </c>
      <c r="E1337">
        <v>0.29172204234609</v>
      </c>
      <c r="F1337">
        <v>36</v>
      </c>
    </row>
    <row r="1338" spans="1:6" x14ac:dyDescent="0.25">
      <c r="A1338">
        <v>18111</v>
      </c>
      <c r="B1338" t="s">
        <v>61</v>
      </c>
      <c r="C1338">
        <v>16</v>
      </c>
      <c r="D1338">
        <v>10.404752843677199</v>
      </c>
      <c r="E1338">
        <v>9.72406807820302E-2</v>
      </c>
      <c r="F1338">
        <v>36</v>
      </c>
    </row>
    <row r="1339" spans="1:6" x14ac:dyDescent="0.25">
      <c r="A1339">
        <v>18111</v>
      </c>
      <c r="B1339" t="s">
        <v>61</v>
      </c>
      <c r="C1339">
        <v>17</v>
      </c>
      <c r="D1339">
        <v>13.8081766710482</v>
      </c>
      <c r="E1339">
        <v>0.24310170195507499</v>
      </c>
      <c r="F1339">
        <v>36</v>
      </c>
    </row>
    <row r="1340" spans="1:6" x14ac:dyDescent="0.25">
      <c r="A1340">
        <v>18111</v>
      </c>
      <c r="B1340" t="s">
        <v>61</v>
      </c>
      <c r="C1340">
        <v>18</v>
      </c>
      <c r="D1340">
        <v>17.308841179201298</v>
      </c>
      <c r="E1340">
        <v>0.19448136156406001</v>
      </c>
      <c r="F1340">
        <v>36</v>
      </c>
    </row>
    <row r="1341" spans="1:6" x14ac:dyDescent="0.25">
      <c r="A1341">
        <v>18111</v>
      </c>
      <c r="B1341" t="s">
        <v>61</v>
      </c>
      <c r="C1341">
        <v>19</v>
      </c>
      <c r="D1341">
        <v>21.781912495174701</v>
      </c>
      <c r="E1341">
        <v>0</v>
      </c>
      <c r="F1341">
        <v>36</v>
      </c>
    </row>
    <row r="1342" spans="1:6" x14ac:dyDescent="0.25">
      <c r="A1342">
        <v>18111</v>
      </c>
      <c r="B1342" t="s">
        <v>61</v>
      </c>
      <c r="C1342">
        <v>20</v>
      </c>
      <c r="D1342">
        <v>26.303604151539101</v>
      </c>
      <c r="E1342">
        <v>9.72406807820302E-2</v>
      </c>
      <c r="F1342">
        <v>36</v>
      </c>
    </row>
    <row r="1343" spans="1:6" x14ac:dyDescent="0.25">
      <c r="A1343">
        <v>18111</v>
      </c>
      <c r="B1343" t="s">
        <v>61</v>
      </c>
      <c r="C1343">
        <v>21</v>
      </c>
      <c r="D1343">
        <v>29.998750021256299</v>
      </c>
      <c r="E1343">
        <v>0</v>
      </c>
      <c r="F1343">
        <v>36</v>
      </c>
    </row>
    <row r="1344" spans="1:6" x14ac:dyDescent="0.25">
      <c r="A1344">
        <v>18111</v>
      </c>
      <c r="B1344" t="s">
        <v>61</v>
      </c>
      <c r="C1344">
        <v>22</v>
      </c>
      <c r="D1344">
        <v>31.7977026157238</v>
      </c>
      <c r="E1344">
        <v>0</v>
      </c>
      <c r="F1344">
        <v>36</v>
      </c>
    </row>
    <row r="1345" spans="1:6" x14ac:dyDescent="0.25">
      <c r="A1345">
        <v>18111</v>
      </c>
      <c r="B1345" t="s">
        <v>61</v>
      </c>
      <c r="C1345">
        <v>23</v>
      </c>
      <c r="D1345">
        <v>33.888377252537502</v>
      </c>
      <c r="E1345">
        <v>9.72406807820302E-2</v>
      </c>
      <c r="F1345">
        <v>36</v>
      </c>
    </row>
    <row r="1346" spans="1:6" x14ac:dyDescent="0.25">
      <c r="A1346">
        <v>18113</v>
      </c>
      <c r="B1346" t="s">
        <v>62</v>
      </c>
      <c r="C1346">
        <v>0</v>
      </c>
      <c r="D1346">
        <v>21.992713179297901</v>
      </c>
      <c r="E1346">
        <v>0.41495685243958402</v>
      </c>
      <c r="F1346">
        <v>50</v>
      </c>
    </row>
    <row r="1347" spans="1:6" x14ac:dyDescent="0.25">
      <c r="A1347">
        <v>18113</v>
      </c>
      <c r="B1347" t="s">
        <v>62</v>
      </c>
      <c r="C1347">
        <v>1</v>
      </c>
      <c r="D1347">
        <v>21.577756326858299</v>
      </c>
      <c r="E1347">
        <v>0.69159475406597304</v>
      </c>
      <c r="F1347">
        <v>50</v>
      </c>
    </row>
    <row r="1348" spans="1:6" x14ac:dyDescent="0.25">
      <c r="A1348">
        <v>18113</v>
      </c>
      <c r="B1348" t="s">
        <v>62</v>
      </c>
      <c r="C1348">
        <v>2</v>
      </c>
      <c r="D1348">
        <v>21.577756326858299</v>
      </c>
      <c r="E1348">
        <v>0.69159475406597304</v>
      </c>
      <c r="F1348">
        <v>50</v>
      </c>
    </row>
    <row r="1349" spans="1:6" x14ac:dyDescent="0.25">
      <c r="A1349">
        <v>18113</v>
      </c>
      <c r="B1349" t="s">
        <v>62</v>
      </c>
      <c r="C1349">
        <v>3</v>
      </c>
      <c r="D1349">
        <v>21.439437376045099</v>
      </c>
      <c r="E1349">
        <v>0.69159475406597304</v>
      </c>
      <c r="F1349">
        <v>50</v>
      </c>
    </row>
    <row r="1350" spans="1:6" x14ac:dyDescent="0.25">
      <c r="A1350">
        <v>18113</v>
      </c>
      <c r="B1350" t="s">
        <v>62</v>
      </c>
      <c r="C1350">
        <v>4</v>
      </c>
      <c r="D1350">
        <v>20.8861615727924</v>
      </c>
      <c r="E1350">
        <v>0.69159475406597304</v>
      </c>
      <c r="F1350">
        <v>50</v>
      </c>
    </row>
    <row r="1351" spans="1:6" x14ac:dyDescent="0.25">
      <c r="A1351">
        <v>18113</v>
      </c>
      <c r="B1351" t="s">
        <v>62</v>
      </c>
      <c r="C1351">
        <v>5</v>
      </c>
      <c r="D1351">
        <v>21.231958949825302</v>
      </c>
      <c r="E1351">
        <v>1.1065516065055501</v>
      </c>
      <c r="F1351">
        <v>50</v>
      </c>
    </row>
    <row r="1352" spans="1:6" x14ac:dyDescent="0.25">
      <c r="A1352">
        <v>18113</v>
      </c>
      <c r="B1352" t="s">
        <v>62</v>
      </c>
      <c r="C1352">
        <v>6</v>
      </c>
      <c r="D1352">
        <v>21.162799474418701</v>
      </c>
      <c r="E1352">
        <v>4.3570469506156302</v>
      </c>
      <c r="F1352">
        <v>50</v>
      </c>
    </row>
    <row r="1353" spans="1:6" x14ac:dyDescent="0.25">
      <c r="A1353">
        <v>18113</v>
      </c>
      <c r="B1353" t="s">
        <v>62</v>
      </c>
      <c r="C1353">
        <v>7</v>
      </c>
      <c r="D1353">
        <v>19.502972064660401</v>
      </c>
      <c r="E1353">
        <v>6.6393096390333399</v>
      </c>
      <c r="F1353">
        <v>50</v>
      </c>
    </row>
    <row r="1354" spans="1:6" x14ac:dyDescent="0.25">
      <c r="A1354">
        <v>18113</v>
      </c>
      <c r="B1354" t="s">
        <v>62</v>
      </c>
      <c r="C1354">
        <v>8</v>
      </c>
      <c r="D1354">
        <v>16.874911999209701</v>
      </c>
      <c r="E1354">
        <v>8.2299775733850797</v>
      </c>
      <c r="F1354">
        <v>50</v>
      </c>
    </row>
    <row r="1355" spans="1:6" x14ac:dyDescent="0.25">
      <c r="A1355">
        <v>18113</v>
      </c>
      <c r="B1355" t="s">
        <v>62</v>
      </c>
      <c r="C1355">
        <v>9</v>
      </c>
      <c r="D1355">
        <v>15.699200917297601</v>
      </c>
      <c r="E1355">
        <v>8.7140939012312693</v>
      </c>
      <c r="F1355">
        <v>50</v>
      </c>
    </row>
    <row r="1356" spans="1:6" x14ac:dyDescent="0.25">
      <c r="A1356">
        <v>18113</v>
      </c>
      <c r="B1356" t="s">
        <v>62</v>
      </c>
      <c r="C1356">
        <v>10</v>
      </c>
      <c r="D1356">
        <v>14.869287212418399</v>
      </c>
      <c r="E1356">
        <v>7.2617449176927202</v>
      </c>
      <c r="F1356">
        <v>50</v>
      </c>
    </row>
    <row r="1357" spans="1:6" x14ac:dyDescent="0.25">
      <c r="A1357">
        <v>18113</v>
      </c>
      <c r="B1357" t="s">
        <v>62</v>
      </c>
      <c r="C1357">
        <v>11</v>
      </c>
      <c r="D1357">
        <v>14.800127737011801</v>
      </c>
      <c r="E1357">
        <v>7.2617449176927202</v>
      </c>
      <c r="F1357">
        <v>50</v>
      </c>
    </row>
    <row r="1358" spans="1:6" x14ac:dyDescent="0.25">
      <c r="A1358">
        <v>18113</v>
      </c>
      <c r="B1358" t="s">
        <v>62</v>
      </c>
      <c r="C1358">
        <v>12</v>
      </c>
      <c r="D1358">
        <v>14.385170884572201</v>
      </c>
      <c r="E1358">
        <v>6.5701501636267396</v>
      </c>
      <c r="F1358">
        <v>50</v>
      </c>
    </row>
    <row r="1359" spans="1:6" x14ac:dyDescent="0.25">
      <c r="A1359">
        <v>18113</v>
      </c>
      <c r="B1359" t="s">
        <v>62</v>
      </c>
      <c r="C1359">
        <v>13</v>
      </c>
      <c r="D1359">
        <v>13.7627356059128</v>
      </c>
      <c r="E1359">
        <v>4.6336848522420198</v>
      </c>
      <c r="F1359">
        <v>50</v>
      </c>
    </row>
    <row r="1360" spans="1:6" x14ac:dyDescent="0.25">
      <c r="A1360">
        <v>18113</v>
      </c>
      <c r="B1360" t="s">
        <v>62</v>
      </c>
      <c r="C1360">
        <v>14</v>
      </c>
      <c r="D1360">
        <v>11.6187918683083</v>
      </c>
      <c r="E1360">
        <v>2.5589005900441002</v>
      </c>
      <c r="F1360">
        <v>50</v>
      </c>
    </row>
    <row r="1361" spans="1:6" x14ac:dyDescent="0.25">
      <c r="A1361">
        <v>18113</v>
      </c>
      <c r="B1361" t="s">
        <v>62</v>
      </c>
      <c r="C1361">
        <v>15</v>
      </c>
      <c r="D1361">
        <v>12.4487055731875</v>
      </c>
      <c r="E1361">
        <v>1.3831895081319401</v>
      </c>
      <c r="F1361">
        <v>50</v>
      </c>
    </row>
    <row r="1362" spans="1:6" x14ac:dyDescent="0.25">
      <c r="A1362">
        <v>18113</v>
      </c>
      <c r="B1362" t="s">
        <v>62</v>
      </c>
      <c r="C1362">
        <v>16</v>
      </c>
      <c r="D1362">
        <v>13.6244166550996</v>
      </c>
      <c r="E1362">
        <v>1.1065516065055501</v>
      </c>
      <c r="F1362">
        <v>50</v>
      </c>
    </row>
    <row r="1363" spans="1:6" x14ac:dyDescent="0.25">
      <c r="A1363">
        <v>18113</v>
      </c>
      <c r="B1363" t="s">
        <v>62</v>
      </c>
      <c r="C1363">
        <v>17</v>
      </c>
      <c r="D1363">
        <v>14.1085329829458</v>
      </c>
      <c r="E1363">
        <v>0.89907318028576499</v>
      </c>
      <c r="F1363">
        <v>50</v>
      </c>
    </row>
    <row r="1364" spans="1:6" x14ac:dyDescent="0.25">
      <c r="A1364">
        <v>18113</v>
      </c>
      <c r="B1364" t="s">
        <v>62</v>
      </c>
      <c r="C1364">
        <v>18</v>
      </c>
      <c r="D1364">
        <v>15.9066793435173</v>
      </c>
      <c r="E1364">
        <v>0.62243527865937598</v>
      </c>
      <c r="F1364">
        <v>50</v>
      </c>
    </row>
    <row r="1365" spans="1:6" x14ac:dyDescent="0.25">
      <c r="A1365">
        <v>18113</v>
      </c>
      <c r="B1365" t="s">
        <v>62</v>
      </c>
      <c r="C1365">
        <v>19</v>
      </c>
      <c r="D1365">
        <v>18.050623081121898</v>
      </c>
      <c r="E1365">
        <v>0.69159475406597304</v>
      </c>
      <c r="F1365">
        <v>50</v>
      </c>
    </row>
    <row r="1366" spans="1:6" x14ac:dyDescent="0.25">
      <c r="A1366">
        <v>18113</v>
      </c>
      <c r="B1366" t="s">
        <v>62</v>
      </c>
      <c r="C1366">
        <v>20</v>
      </c>
      <c r="D1366">
        <v>19.018855736814199</v>
      </c>
      <c r="E1366">
        <v>0.69159475406597304</v>
      </c>
      <c r="F1366">
        <v>50</v>
      </c>
    </row>
    <row r="1367" spans="1:6" x14ac:dyDescent="0.25">
      <c r="A1367">
        <v>18113</v>
      </c>
      <c r="B1367" t="s">
        <v>62</v>
      </c>
      <c r="C1367">
        <v>21</v>
      </c>
      <c r="D1367">
        <v>20.471204720352802</v>
      </c>
      <c r="E1367">
        <v>0.34579737703298602</v>
      </c>
      <c r="F1367">
        <v>50</v>
      </c>
    </row>
    <row r="1368" spans="1:6" x14ac:dyDescent="0.25">
      <c r="A1368">
        <v>18113</v>
      </c>
      <c r="B1368" t="s">
        <v>62</v>
      </c>
      <c r="C1368">
        <v>22</v>
      </c>
      <c r="D1368">
        <v>20.955321048199</v>
      </c>
      <c r="E1368">
        <v>0.41495685243958402</v>
      </c>
      <c r="F1368">
        <v>50</v>
      </c>
    </row>
    <row r="1369" spans="1:6" x14ac:dyDescent="0.25">
      <c r="A1369">
        <v>18113</v>
      </c>
      <c r="B1369" t="s">
        <v>62</v>
      </c>
      <c r="C1369">
        <v>23</v>
      </c>
      <c r="D1369">
        <v>22.131032130111102</v>
      </c>
      <c r="E1369">
        <v>0.41495685243958402</v>
      </c>
      <c r="F1369">
        <v>50</v>
      </c>
    </row>
    <row r="1370" spans="1:6" x14ac:dyDescent="0.25">
      <c r="A1370">
        <v>18115</v>
      </c>
      <c r="B1370" t="s">
        <v>63</v>
      </c>
      <c r="C1370">
        <v>0</v>
      </c>
      <c r="D1370">
        <v>0</v>
      </c>
      <c r="E1370">
        <v>0</v>
      </c>
      <c r="F1370">
        <v>0</v>
      </c>
    </row>
    <row r="1371" spans="1:6" x14ac:dyDescent="0.25">
      <c r="A1371">
        <v>18115</v>
      </c>
      <c r="B1371" t="s">
        <v>63</v>
      </c>
      <c r="C1371">
        <v>1</v>
      </c>
      <c r="D1371">
        <v>0</v>
      </c>
      <c r="E1371">
        <v>0</v>
      </c>
      <c r="F1371">
        <v>0</v>
      </c>
    </row>
    <row r="1372" spans="1:6" x14ac:dyDescent="0.25">
      <c r="A1372">
        <v>18115</v>
      </c>
      <c r="B1372" t="s">
        <v>63</v>
      </c>
      <c r="C1372">
        <v>2</v>
      </c>
      <c r="D1372">
        <v>0</v>
      </c>
      <c r="E1372">
        <v>0</v>
      </c>
      <c r="F1372">
        <v>0</v>
      </c>
    </row>
    <row r="1373" spans="1:6" x14ac:dyDescent="0.25">
      <c r="A1373">
        <v>18115</v>
      </c>
      <c r="B1373" t="s">
        <v>63</v>
      </c>
      <c r="C1373">
        <v>3</v>
      </c>
      <c r="D1373">
        <v>0</v>
      </c>
      <c r="E1373">
        <v>0</v>
      </c>
      <c r="F1373">
        <v>0</v>
      </c>
    </row>
    <row r="1374" spans="1:6" x14ac:dyDescent="0.25">
      <c r="A1374">
        <v>18115</v>
      </c>
      <c r="B1374" t="s">
        <v>63</v>
      </c>
      <c r="C1374">
        <v>4</v>
      </c>
      <c r="D1374">
        <v>0</v>
      </c>
      <c r="E1374">
        <v>0</v>
      </c>
      <c r="F1374">
        <v>0</v>
      </c>
    </row>
    <row r="1375" spans="1:6" x14ac:dyDescent="0.25">
      <c r="A1375">
        <v>18115</v>
      </c>
      <c r="B1375" t="s">
        <v>63</v>
      </c>
      <c r="C1375">
        <v>5</v>
      </c>
      <c r="D1375">
        <v>0</v>
      </c>
      <c r="E1375">
        <v>0</v>
      </c>
      <c r="F1375">
        <v>0</v>
      </c>
    </row>
    <row r="1376" spans="1:6" x14ac:dyDescent="0.25">
      <c r="A1376">
        <v>18115</v>
      </c>
      <c r="B1376" t="s">
        <v>63</v>
      </c>
      <c r="C1376">
        <v>6</v>
      </c>
      <c r="D1376">
        <v>0</v>
      </c>
      <c r="E1376">
        <v>0</v>
      </c>
      <c r="F1376">
        <v>0</v>
      </c>
    </row>
    <row r="1377" spans="1:6" x14ac:dyDescent="0.25">
      <c r="A1377">
        <v>18115</v>
      </c>
      <c r="B1377" t="s">
        <v>63</v>
      </c>
      <c r="C1377">
        <v>7</v>
      </c>
      <c r="D1377">
        <v>0</v>
      </c>
      <c r="E1377">
        <v>0</v>
      </c>
      <c r="F1377">
        <v>0</v>
      </c>
    </row>
    <row r="1378" spans="1:6" x14ac:dyDescent="0.25">
      <c r="A1378">
        <v>18115</v>
      </c>
      <c r="B1378" t="s">
        <v>63</v>
      </c>
      <c r="C1378">
        <v>8</v>
      </c>
      <c r="D1378">
        <v>0</v>
      </c>
      <c r="E1378">
        <v>0</v>
      </c>
      <c r="F1378">
        <v>0</v>
      </c>
    </row>
    <row r="1379" spans="1:6" x14ac:dyDescent="0.25">
      <c r="A1379">
        <v>18115</v>
      </c>
      <c r="B1379" t="s">
        <v>63</v>
      </c>
      <c r="C1379">
        <v>9</v>
      </c>
      <c r="D1379">
        <v>0</v>
      </c>
      <c r="E1379">
        <v>0</v>
      </c>
      <c r="F1379">
        <v>0</v>
      </c>
    </row>
    <row r="1380" spans="1:6" x14ac:dyDescent="0.25">
      <c r="A1380">
        <v>18115</v>
      </c>
      <c r="B1380" t="s">
        <v>63</v>
      </c>
      <c r="C1380">
        <v>10</v>
      </c>
      <c r="D1380">
        <v>0</v>
      </c>
      <c r="E1380">
        <v>0</v>
      </c>
      <c r="F1380">
        <v>0</v>
      </c>
    </row>
    <row r="1381" spans="1:6" x14ac:dyDescent="0.25">
      <c r="A1381">
        <v>18115</v>
      </c>
      <c r="B1381" t="s">
        <v>63</v>
      </c>
      <c r="C1381">
        <v>11</v>
      </c>
      <c r="D1381">
        <v>0</v>
      </c>
      <c r="E1381">
        <v>0</v>
      </c>
      <c r="F1381">
        <v>0</v>
      </c>
    </row>
    <row r="1382" spans="1:6" x14ac:dyDescent="0.25">
      <c r="A1382">
        <v>18115</v>
      </c>
      <c r="B1382" t="s">
        <v>63</v>
      </c>
      <c r="C1382">
        <v>12</v>
      </c>
      <c r="D1382">
        <v>0</v>
      </c>
      <c r="E1382">
        <v>0</v>
      </c>
      <c r="F1382">
        <v>0</v>
      </c>
    </row>
    <row r="1383" spans="1:6" x14ac:dyDescent="0.25">
      <c r="A1383">
        <v>18115</v>
      </c>
      <c r="B1383" t="s">
        <v>63</v>
      </c>
      <c r="C1383">
        <v>13</v>
      </c>
      <c r="D1383">
        <v>0</v>
      </c>
      <c r="E1383">
        <v>0</v>
      </c>
      <c r="F1383">
        <v>0</v>
      </c>
    </row>
    <row r="1384" spans="1:6" x14ac:dyDescent="0.25">
      <c r="A1384">
        <v>18115</v>
      </c>
      <c r="B1384" t="s">
        <v>63</v>
      </c>
      <c r="C1384">
        <v>14</v>
      </c>
      <c r="D1384">
        <v>0</v>
      </c>
      <c r="E1384">
        <v>0</v>
      </c>
      <c r="F1384">
        <v>0</v>
      </c>
    </row>
    <row r="1385" spans="1:6" x14ac:dyDescent="0.25">
      <c r="A1385">
        <v>18115</v>
      </c>
      <c r="B1385" t="s">
        <v>63</v>
      </c>
      <c r="C1385">
        <v>15</v>
      </c>
      <c r="D1385">
        <v>0</v>
      </c>
      <c r="E1385">
        <v>0</v>
      </c>
      <c r="F1385">
        <v>0</v>
      </c>
    </row>
    <row r="1386" spans="1:6" x14ac:dyDescent="0.25">
      <c r="A1386">
        <v>18115</v>
      </c>
      <c r="B1386" t="s">
        <v>63</v>
      </c>
      <c r="C1386">
        <v>16</v>
      </c>
      <c r="D1386">
        <v>0</v>
      </c>
      <c r="E1386">
        <v>0</v>
      </c>
      <c r="F1386">
        <v>0</v>
      </c>
    </row>
    <row r="1387" spans="1:6" x14ac:dyDescent="0.25">
      <c r="A1387">
        <v>18115</v>
      </c>
      <c r="B1387" t="s">
        <v>63</v>
      </c>
      <c r="C1387">
        <v>17</v>
      </c>
      <c r="D1387">
        <v>0</v>
      </c>
      <c r="E1387">
        <v>0</v>
      </c>
      <c r="F1387">
        <v>0</v>
      </c>
    </row>
    <row r="1388" spans="1:6" x14ac:dyDescent="0.25">
      <c r="A1388">
        <v>18115</v>
      </c>
      <c r="B1388" t="s">
        <v>63</v>
      </c>
      <c r="C1388">
        <v>18</v>
      </c>
      <c r="D1388">
        <v>0</v>
      </c>
      <c r="E1388">
        <v>0</v>
      </c>
      <c r="F1388">
        <v>0</v>
      </c>
    </row>
    <row r="1389" spans="1:6" x14ac:dyDescent="0.25">
      <c r="A1389">
        <v>18115</v>
      </c>
      <c r="B1389" t="s">
        <v>63</v>
      </c>
      <c r="C1389">
        <v>19</v>
      </c>
      <c r="D1389">
        <v>0</v>
      </c>
      <c r="E1389">
        <v>0</v>
      </c>
      <c r="F1389">
        <v>0</v>
      </c>
    </row>
    <row r="1390" spans="1:6" x14ac:dyDescent="0.25">
      <c r="A1390">
        <v>18115</v>
      </c>
      <c r="B1390" t="s">
        <v>63</v>
      </c>
      <c r="C1390">
        <v>20</v>
      </c>
      <c r="D1390">
        <v>0</v>
      </c>
      <c r="E1390">
        <v>0</v>
      </c>
      <c r="F1390">
        <v>0</v>
      </c>
    </row>
    <row r="1391" spans="1:6" x14ac:dyDescent="0.25">
      <c r="A1391">
        <v>18115</v>
      </c>
      <c r="B1391" t="s">
        <v>63</v>
      </c>
      <c r="C1391">
        <v>21</v>
      </c>
      <c r="D1391">
        <v>0</v>
      </c>
      <c r="E1391">
        <v>0</v>
      </c>
      <c r="F1391">
        <v>0</v>
      </c>
    </row>
    <row r="1392" spans="1:6" x14ac:dyDescent="0.25">
      <c r="A1392">
        <v>18115</v>
      </c>
      <c r="B1392" t="s">
        <v>63</v>
      </c>
      <c r="C1392">
        <v>22</v>
      </c>
      <c r="D1392">
        <v>0</v>
      </c>
      <c r="E1392">
        <v>0</v>
      </c>
      <c r="F1392">
        <v>0</v>
      </c>
    </row>
    <row r="1393" spans="1:6" x14ac:dyDescent="0.25">
      <c r="A1393">
        <v>18115</v>
      </c>
      <c r="B1393" t="s">
        <v>63</v>
      </c>
      <c r="C1393">
        <v>23</v>
      </c>
      <c r="D1393">
        <v>0</v>
      </c>
      <c r="E1393">
        <v>0</v>
      </c>
      <c r="F1393">
        <v>0</v>
      </c>
    </row>
    <row r="1394" spans="1:6" x14ac:dyDescent="0.25">
      <c r="A1394">
        <v>18117</v>
      </c>
      <c r="B1394" t="s">
        <v>64</v>
      </c>
      <c r="C1394">
        <v>0</v>
      </c>
      <c r="D1394">
        <v>0</v>
      </c>
      <c r="E1394">
        <v>0.16551366601269901</v>
      </c>
      <c r="F1394">
        <v>0</v>
      </c>
    </row>
    <row r="1395" spans="1:6" x14ac:dyDescent="0.25">
      <c r="A1395">
        <v>18117</v>
      </c>
      <c r="B1395" t="s">
        <v>64</v>
      </c>
      <c r="C1395">
        <v>1</v>
      </c>
      <c r="D1395">
        <v>0</v>
      </c>
      <c r="E1395">
        <v>0.124135249509524</v>
      </c>
      <c r="F1395">
        <v>0</v>
      </c>
    </row>
    <row r="1396" spans="1:6" x14ac:dyDescent="0.25">
      <c r="A1396">
        <v>18117</v>
      </c>
      <c r="B1396" t="s">
        <v>64</v>
      </c>
      <c r="C1396">
        <v>2</v>
      </c>
      <c r="D1396">
        <v>0</v>
      </c>
      <c r="E1396">
        <v>0.124135249509524</v>
      </c>
      <c r="F1396">
        <v>0</v>
      </c>
    </row>
    <row r="1397" spans="1:6" x14ac:dyDescent="0.25">
      <c r="A1397">
        <v>18117</v>
      </c>
      <c r="B1397" t="s">
        <v>64</v>
      </c>
      <c r="C1397">
        <v>3</v>
      </c>
      <c r="D1397">
        <v>0</v>
      </c>
      <c r="E1397">
        <v>0.124135249509524</v>
      </c>
      <c r="F1397">
        <v>0</v>
      </c>
    </row>
    <row r="1398" spans="1:6" x14ac:dyDescent="0.25">
      <c r="A1398">
        <v>18117</v>
      </c>
      <c r="B1398" t="s">
        <v>64</v>
      </c>
      <c r="C1398">
        <v>4</v>
      </c>
      <c r="D1398">
        <v>0</v>
      </c>
      <c r="E1398">
        <v>0.124135249509524</v>
      </c>
      <c r="F1398">
        <v>0</v>
      </c>
    </row>
    <row r="1399" spans="1:6" x14ac:dyDescent="0.25">
      <c r="A1399">
        <v>18117</v>
      </c>
      <c r="B1399" t="s">
        <v>64</v>
      </c>
      <c r="C1399">
        <v>5</v>
      </c>
      <c r="D1399">
        <v>0</v>
      </c>
      <c r="E1399">
        <v>0.57929783104444699</v>
      </c>
      <c r="F1399">
        <v>0</v>
      </c>
    </row>
    <row r="1400" spans="1:6" x14ac:dyDescent="0.25">
      <c r="A1400">
        <v>18117</v>
      </c>
      <c r="B1400" t="s">
        <v>64</v>
      </c>
      <c r="C1400">
        <v>6</v>
      </c>
      <c r="D1400">
        <v>0</v>
      </c>
      <c r="E1400">
        <v>3.3102733202539798</v>
      </c>
      <c r="F1400">
        <v>0</v>
      </c>
    </row>
    <row r="1401" spans="1:6" x14ac:dyDescent="0.25">
      <c r="A1401">
        <v>18117</v>
      </c>
      <c r="B1401" t="s">
        <v>64</v>
      </c>
      <c r="C1401">
        <v>7</v>
      </c>
      <c r="D1401">
        <v>0</v>
      </c>
      <c r="E1401">
        <v>3.84819273479525</v>
      </c>
      <c r="F1401">
        <v>0</v>
      </c>
    </row>
    <row r="1402" spans="1:6" x14ac:dyDescent="0.25">
      <c r="A1402">
        <v>18117</v>
      </c>
      <c r="B1402" t="s">
        <v>64</v>
      </c>
      <c r="C1402">
        <v>8</v>
      </c>
      <c r="D1402">
        <v>0</v>
      </c>
      <c r="E1402">
        <v>3.1033812377381098</v>
      </c>
      <c r="F1402">
        <v>0</v>
      </c>
    </row>
    <row r="1403" spans="1:6" x14ac:dyDescent="0.25">
      <c r="A1403">
        <v>18117</v>
      </c>
      <c r="B1403" t="s">
        <v>64</v>
      </c>
      <c r="C1403">
        <v>9</v>
      </c>
      <c r="D1403">
        <v>0</v>
      </c>
      <c r="E1403">
        <v>3.06200282123493</v>
      </c>
      <c r="F1403">
        <v>0</v>
      </c>
    </row>
    <row r="1404" spans="1:6" x14ac:dyDescent="0.25">
      <c r="A1404">
        <v>18117</v>
      </c>
      <c r="B1404" t="s">
        <v>64</v>
      </c>
      <c r="C1404">
        <v>10</v>
      </c>
      <c r="D1404">
        <v>0</v>
      </c>
      <c r="E1404">
        <v>3.2688949037508102</v>
      </c>
      <c r="F1404">
        <v>0</v>
      </c>
    </row>
    <row r="1405" spans="1:6" x14ac:dyDescent="0.25">
      <c r="A1405">
        <v>18117</v>
      </c>
      <c r="B1405" t="s">
        <v>64</v>
      </c>
      <c r="C1405">
        <v>11</v>
      </c>
      <c r="D1405">
        <v>0</v>
      </c>
      <c r="E1405">
        <v>3.64130065227938</v>
      </c>
      <c r="F1405">
        <v>0</v>
      </c>
    </row>
    <row r="1406" spans="1:6" x14ac:dyDescent="0.25">
      <c r="A1406">
        <v>18117</v>
      </c>
      <c r="B1406" t="s">
        <v>64</v>
      </c>
      <c r="C1406">
        <v>12</v>
      </c>
      <c r="D1406">
        <v>0</v>
      </c>
      <c r="E1406">
        <v>4.2205984833238297</v>
      </c>
      <c r="F1406">
        <v>0</v>
      </c>
    </row>
    <row r="1407" spans="1:6" x14ac:dyDescent="0.25">
      <c r="A1407">
        <v>18117</v>
      </c>
      <c r="B1407" t="s">
        <v>64</v>
      </c>
      <c r="C1407">
        <v>13</v>
      </c>
      <c r="D1407">
        <v>0</v>
      </c>
      <c r="E1407">
        <v>2.77235390571271</v>
      </c>
      <c r="F1407">
        <v>0</v>
      </c>
    </row>
    <row r="1408" spans="1:6" x14ac:dyDescent="0.25">
      <c r="A1408">
        <v>18117</v>
      </c>
      <c r="B1408" t="s">
        <v>64</v>
      </c>
      <c r="C1408">
        <v>14</v>
      </c>
      <c r="D1408">
        <v>0</v>
      </c>
      <c r="E1408">
        <v>0.62067624754762196</v>
      </c>
      <c r="F1408">
        <v>0</v>
      </c>
    </row>
    <row r="1409" spans="1:6" x14ac:dyDescent="0.25">
      <c r="A1409">
        <v>18117</v>
      </c>
      <c r="B1409" t="s">
        <v>64</v>
      </c>
      <c r="C1409">
        <v>15</v>
      </c>
      <c r="D1409">
        <v>0</v>
      </c>
      <c r="E1409">
        <v>0.24827049901904799</v>
      </c>
      <c r="F1409">
        <v>0</v>
      </c>
    </row>
    <row r="1410" spans="1:6" x14ac:dyDescent="0.25">
      <c r="A1410">
        <v>18117</v>
      </c>
      <c r="B1410" t="s">
        <v>64</v>
      </c>
      <c r="C1410">
        <v>16</v>
      </c>
      <c r="D1410">
        <v>0</v>
      </c>
      <c r="E1410">
        <v>0.20689208251587399</v>
      </c>
      <c r="F1410">
        <v>0</v>
      </c>
    </row>
    <row r="1411" spans="1:6" x14ac:dyDescent="0.25">
      <c r="A1411">
        <v>18117</v>
      </c>
      <c r="B1411" t="s">
        <v>64</v>
      </c>
      <c r="C1411">
        <v>17</v>
      </c>
      <c r="D1411">
        <v>0</v>
      </c>
      <c r="E1411">
        <v>0.33102733202539802</v>
      </c>
      <c r="F1411">
        <v>0</v>
      </c>
    </row>
    <row r="1412" spans="1:6" x14ac:dyDescent="0.25">
      <c r="A1412">
        <v>18117</v>
      </c>
      <c r="B1412" t="s">
        <v>64</v>
      </c>
      <c r="C1412">
        <v>18</v>
      </c>
      <c r="D1412">
        <v>0</v>
      </c>
      <c r="E1412">
        <v>8.2756833006349603E-2</v>
      </c>
      <c r="F1412">
        <v>0</v>
      </c>
    </row>
    <row r="1413" spans="1:6" x14ac:dyDescent="0.25">
      <c r="A1413">
        <v>18117</v>
      </c>
      <c r="B1413" t="s">
        <v>64</v>
      </c>
      <c r="C1413">
        <v>19</v>
      </c>
      <c r="D1413">
        <v>0</v>
      </c>
      <c r="E1413">
        <v>8.2756833006349603E-2</v>
      </c>
      <c r="F1413">
        <v>0</v>
      </c>
    </row>
    <row r="1414" spans="1:6" x14ac:dyDescent="0.25">
      <c r="A1414">
        <v>18117</v>
      </c>
      <c r="B1414" t="s">
        <v>64</v>
      </c>
      <c r="C1414">
        <v>20</v>
      </c>
      <c r="D1414">
        <v>0</v>
      </c>
      <c r="E1414">
        <v>0.124135249509524</v>
      </c>
      <c r="F1414">
        <v>0</v>
      </c>
    </row>
    <row r="1415" spans="1:6" x14ac:dyDescent="0.25">
      <c r="A1415">
        <v>18117</v>
      </c>
      <c r="B1415" t="s">
        <v>64</v>
      </c>
      <c r="C1415">
        <v>21</v>
      </c>
      <c r="D1415">
        <v>0</v>
      </c>
      <c r="E1415">
        <v>0.124135249509524</v>
      </c>
      <c r="F1415">
        <v>0</v>
      </c>
    </row>
    <row r="1416" spans="1:6" x14ac:dyDescent="0.25">
      <c r="A1416">
        <v>18117</v>
      </c>
      <c r="B1416" t="s">
        <v>64</v>
      </c>
      <c r="C1416">
        <v>22</v>
      </c>
      <c r="D1416">
        <v>0</v>
      </c>
      <c r="E1416">
        <v>0.124135249509524</v>
      </c>
      <c r="F1416">
        <v>0</v>
      </c>
    </row>
    <row r="1417" spans="1:6" x14ac:dyDescent="0.25">
      <c r="A1417">
        <v>18117</v>
      </c>
      <c r="B1417" t="s">
        <v>64</v>
      </c>
      <c r="C1417">
        <v>23</v>
      </c>
      <c r="D1417">
        <v>0</v>
      </c>
      <c r="E1417">
        <v>0.16551366601269901</v>
      </c>
      <c r="F1417">
        <v>0</v>
      </c>
    </row>
    <row r="1418" spans="1:6" x14ac:dyDescent="0.25">
      <c r="A1418">
        <v>18119</v>
      </c>
      <c r="B1418" t="s">
        <v>65</v>
      </c>
      <c r="C1418">
        <v>0</v>
      </c>
      <c r="D1418">
        <v>0</v>
      </c>
      <c r="E1418">
        <v>0</v>
      </c>
      <c r="F1418">
        <v>0</v>
      </c>
    </row>
    <row r="1419" spans="1:6" x14ac:dyDescent="0.25">
      <c r="A1419">
        <v>18119</v>
      </c>
      <c r="B1419" t="s">
        <v>65</v>
      </c>
      <c r="C1419">
        <v>1</v>
      </c>
      <c r="D1419">
        <v>0</v>
      </c>
      <c r="E1419">
        <v>0</v>
      </c>
      <c r="F1419">
        <v>0</v>
      </c>
    </row>
    <row r="1420" spans="1:6" x14ac:dyDescent="0.25">
      <c r="A1420">
        <v>18119</v>
      </c>
      <c r="B1420" t="s">
        <v>65</v>
      </c>
      <c r="C1420">
        <v>2</v>
      </c>
      <c r="D1420">
        <v>0</v>
      </c>
      <c r="E1420">
        <v>0</v>
      </c>
      <c r="F1420">
        <v>0</v>
      </c>
    </row>
    <row r="1421" spans="1:6" x14ac:dyDescent="0.25">
      <c r="A1421">
        <v>18119</v>
      </c>
      <c r="B1421" t="s">
        <v>65</v>
      </c>
      <c r="C1421">
        <v>3</v>
      </c>
      <c r="D1421">
        <v>0</v>
      </c>
      <c r="E1421">
        <v>0</v>
      </c>
      <c r="F1421">
        <v>0</v>
      </c>
    </row>
    <row r="1422" spans="1:6" x14ac:dyDescent="0.25">
      <c r="A1422">
        <v>18119</v>
      </c>
      <c r="B1422" t="s">
        <v>65</v>
      </c>
      <c r="C1422">
        <v>4</v>
      </c>
      <c r="D1422">
        <v>0</v>
      </c>
      <c r="E1422">
        <v>0</v>
      </c>
      <c r="F1422">
        <v>0</v>
      </c>
    </row>
    <row r="1423" spans="1:6" x14ac:dyDescent="0.25">
      <c r="A1423">
        <v>18119</v>
      </c>
      <c r="B1423" t="s">
        <v>65</v>
      </c>
      <c r="C1423">
        <v>5</v>
      </c>
      <c r="D1423">
        <v>0</v>
      </c>
      <c r="E1423">
        <v>1.2913706975546599</v>
      </c>
      <c r="F1423">
        <v>0</v>
      </c>
    </row>
    <row r="1424" spans="1:6" x14ac:dyDescent="0.25">
      <c r="A1424">
        <v>18119</v>
      </c>
      <c r="B1424" t="s">
        <v>65</v>
      </c>
      <c r="C1424">
        <v>6</v>
      </c>
      <c r="D1424">
        <v>0</v>
      </c>
      <c r="E1424">
        <v>3.0992896741311999</v>
      </c>
      <c r="F1424">
        <v>0</v>
      </c>
    </row>
    <row r="1425" spans="1:6" x14ac:dyDescent="0.25">
      <c r="A1425">
        <v>18119</v>
      </c>
      <c r="B1425" t="s">
        <v>65</v>
      </c>
      <c r="C1425">
        <v>7</v>
      </c>
      <c r="D1425">
        <v>0</v>
      </c>
      <c r="E1425">
        <v>3.7019293329900398</v>
      </c>
      <c r="F1425">
        <v>0</v>
      </c>
    </row>
    <row r="1426" spans="1:6" x14ac:dyDescent="0.25">
      <c r="A1426">
        <v>18119</v>
      </c>
      <c r="B1426" t="s">
        <v>65</v>
      </c>
      <c r="C1426">
        <v>8</v>
      </c>
      <c r="D1426">
        <v>0</v>
      </c>
      <c r="E1426">
        <v>3.8741120926639998</v>
      </c>
      <c r="F1426">
        <v>0</v>
      </c>
    </row>
    <row r="1427" spans="1:6" x14ac:dyDescent="0.25">
      <c r="A1427">
        <v>18119</v>
      </c>
      <c r="B1427" t="s">
        <v>65</v>
      </c>
      <c r="C1427">
        <v>9</v>
      </c>
      <c r="D1427">
        <v>0</v>
      </c>
      <c r="E1427">
        <v>4.7350258910337697</v>
      </c>
      <c r="F1427">
        <v>0</v>
      </c>
    </row>
    <row r="1428" spans="1:6" x14ac:dyDescent="0.25">
      <c r="A1428">
        <v>18119</v>
      </c>
      <c r="B1428" t="s">
        <v>65</v>
      </c>
      <c r="C1428">
        <v>10</v>
      </c>
      <c r="D1428">
        <v>0</v>
      </c>
      <c r="E1428">
        <v>6.5429448676103101</v>
      </c>
      <c r="F1428">
        <v>0</v>
      </c>
    </row>
    <row r="1429" spans="1:6" x14ac:dyDescent="0.25">
      <c r="A1429">
        <v>18119</v>
      </c>
      <c r="B1429" t="s">
        <v>65</v>
      </c>
      <c r="C1429">
        <v>11</v>
      </c>
      <c r="D1429">
        <v>0</v>
      </c>
      <c r="E1429">
        <v>6.8012190071212402</v>
      </c>
      <c r="F1429">
        <v>0</v>
      </c>
    </row>
    <row r="1430" spans="1:6" x14ac:dyDescent="0.25">
      <c r="A1430">
        <v>18119</v>
      </c>
      <c r="B1430" t="s">
        <v>65</v>
      </c>
      <c r="C1430">
        <v>12</v>
      </c>
      <c r="D1430">
        <v>0</v>
      </c>
      <c r="E1430">
        <v>5.0793914103816897</v>
      </c>
      <c r="F1430">
        <v>0</v>
      </c>
    </row>
    <row r="1431" spans="1:6" x14ac:dyDescent="0.25">
      <c r="A1431">
        <v>18119</v>
      </c>
      <c r="B1431" t="s">
        <v>65</v>
      </c>
      <c r="C1431">
        <v>13</v>
      </c>
      <c r="D1431">
        <v>0</v>
      </c>
      <c r="E1431">
        <v>3.35756381364213</v>
      </c>
      <c r="F1431">
        <v>0</v>
      </c>
    </row>
    <row r="1432" spans="1:6" x14ac:dyDescent="0.25">
      <c r="A1432">
        <v>18119</v>
      </c>
      <c r="B1432" t="s">
        <v>65</v>
      </c>
      <c r="C1432">
        <v>14</v>
      </c>
      <c r="D1432">
        <v>0</v>
      </c>
      <c r="E1432">
        <v>1.98010173625048</v>
      </c>
      <c r="F1432">
        <v>0</v>
      </c>
    </row>
    <row r="1433" spans="1:6" x14ac:dyDescent="0.25">
      <c r="A1433">
        <v>18119</v>
      </c>
      <c r="B1433" t="s">
        <v>65</v>
      </c>
      <c r="C1433">
        <v>15</v>
      </c>
      <c r="D1433">
        <v>0</v>
      </c>
      <c r="E1433">
        <v>0.94700517820675501</v>
      </c>
      <c r="F1433">
        <v>0</v>
      </c>
    </row>
    <row r="1434" spans="1:6" x14ac:dyDescent="0.25">
      <c r="A1434">
        <v>18119</v>
      </c>
      <c r="B1434" t="s">
        <v>65</v>
      </c>
      <c r="C1434">
        <v>16</v>
      </c>
      <c r="D1434">
        <v>0</v>
      </c>
      <c r="E1434">
        <v>0.34436551934791099</v>
      </c>
      <c r="F1434">
        <v>0</v>
      </c>
    </row>
    <row r="1435" spans="1:6" x14ac:dyDescent="0.25">
      <c r="A1435">
        <v>18119</v>
      </c>
      <c r="B1435" t="s">
        <v>65</v>
      </c>
      <c r="C1435">
        <v>17</v>
      </c>
      <c r="D1435">
        <v>0</v>
      </c>
      <c r="E1435">
        <v>0.17218275967395499</v>
      </c>
      <c r="F1435">
        <v>0</v>
      </c>
    </row>
    <row r="1436" spans="1:6" x14ac:dyDescent="0.25">
      <c r="A1436">
        <v>18119</v>
      </c>
      <c r="B1436" t="s">
        <v>65</v>
      </c>
      <c r="C1436">
        <v>18</v>
      </c>
      <c r="D1436">
        <v>0</v>
      </c>
      <c r="E1436">
        <v>0.17218275967395499</v>
      </c>
      <c r="F1436">
        <v>0</v>
      </c>
    </row>
    <row r="1437" spans="1:6" x14ac:dyDescent="0.25">
      <c r="A1437">
        <v>18119</v>
      </c>
      <c r="B1437" t="s">
        <v>65</v>
      </c>
      <c r="C1437">
        <v>19</v>
      </c>
      <c r="D1437">
        <v>0</v>
      </c>
      <c r="E1437">
        <v>0</v>
      </c>
      <c r="F1437">
        <v>0</v>
      </c>
    </row>
    <row r="1438" spans="1:6" x14ac:dyDescent="0.25">
      <c r="A1438">
        <v>18119</v>
      </c>
      <c r="B1438" t="s">
        <v>65</v>
      </c>
      <c r="C1438">
        <v>20</v>
      </c>
      <c r="D1438">
        <v>0</v>
      </c>
      <c r="E1438">
        <v>0</v>
      </c>
      <c r="F1438">
        <v>0</v>
      </c>
    </row>
    <row r="1439" spans="1:6" x14ac:dyDescent="0.25">
      <c r="A1439">
        <v>18119</v>
      </c>
      <c r="B1439" t="s">
        <v>65</v>
      </c>
      <c r="C1439">
        <v>21</v>
      </c>
      <c r="D1439">
        <v>0</v>
      </c>
      <c r="E1439">
        <v>0</v>
      </c>
      <c r="F1439">
        <v>0</v>
      </c>
    </row>
    <row r="1440" spans="1:6" x14ac:dyDescent="0.25">
      <c r="A1440">
        <v>18119</v>
      </c>
      <c r="B1440" t="s">
        <v>65</v>
      </c>
      <c r="C1440">
        <v>22</v>
      </c>
      <c r="D1440">
        <v>0</v>
      </c>
      <c r="E1440">
        <v>0</v>
      </c>
      <c r="F1440">
        <v>0</v>
      </c>
    </row>
    <row r="1441" spans="1:6" x14ac:dyDescent="0.25">
      <c r="A1441">
        <v>18119</v>
      </c>
      <c r="B1441" t="s">
        <v>65</v>
      </c>
      <c r="C1441">
        <v>23</v>
      </c>
      <c r="D1441">
        <v>0</v>
      </c>
      <c r="E1441">
        <v>0</v>
      </c>
      <c r="F1441">
        <v>0</v>
      </c>
    </row>
    <row r="1442" spans="1:6" x14ac:dyDescent="0.25">
      <c r="A1442">
        <v>18121</v>
      </c>
      <c r="B1442" t="s">
        <v>66</v>
      </c>
      <c r="C1442">
        <v>0</v>
      </c>
      <c r="D1442">
        <v>0</v>
      </c>
      <c r="E1442">
        <v>0</v>
      </c>
      <c r="F1442">
        <v>0</v>
      </c>
    </row>
    <row r="1443" spans="1:6" x14ac:dyDescent="0.25">
      <c r="A1443">
        <v>18121</v>
      </c>
      <c r="B1443" t="s">
        <v>66</v>
      </c>
      <c r="C1443">
        <v>1</v>
      </c>
      <c r="D1443">
        <v>0</v>
      </c>
      <c r="E1443">
        <v>0</v>
      </c>
      <c r="F1443">
        <v>0</v>
      </c>
    </row>
    <row r="1444" spans="1:6" x14ac:dyDescent="0.25">
      <c r="A1444">
        <v>18121</v>
      </c>
      <c r="B1444" t="s">
        <v>66</v>
      </c>
      <c r="C1444">
        <v>2</v>
      </c>
      <c r="D1444">
        <v>0</v>
      </c>
      <c r="E1444">
        <v>0</v>
      </c>
      <c r="F1444">
        <v>0</v>
      </c>
    </row>
    <row r="1445" spans="1:6" x14ac:dyDescent="0.25">
      <c r="A1445">
        <v>18121</v>
      </c>
      <c r="B1445" t="s">
        <v>66</v>
      </c>
      <c r="C1445">
        <v>3</v>
      </c>
      <c r="D1445">
        <v>0</v>
      </c>
      <c r="E1445">
        <v>0</v>
      </c>
      <c r="F1445">
        <v>0</v>
      </c>
    </row>
    <row r="1446" spans="1:6" x14ac:dyDescent="0.25">
      <c r="A1446">
        <v>18121</v>
      </c>
      <c r="B1446" t="s">
        <v>66</v>
      </c>
      <c r="C1446">
        <v>4</v>
      </c>
      <c r="D1446">
        <v>0</v>
      </c>
      <c r="E1446">
        <v>0</v>
      </c>
      <c r="F1446">
        <v>0</v>
      </c>
    </row>
    <row r="1447" spans="1:6" x14ac:dyDescent="0.25">
      <c r="A1447">
        <v>18121</v>
      </c>
      <c r="B1447" t="s">
        <v>66</v>
      </c>
      <c r="C1447">
        <v>5</v>
      </c>
      <c r="D1447">
        <v>0</v>
      </c>
      <c r="E1447">
        <v>0</v>
      </c>
      <c r="F1447">
        <v>0</v>
      </c>
    </row>
    <row r="1448" spans="1:6" x14ac:dyDescent="0.25">
      <c r="A1448">
        <v>18121</v>
      </c>
      <c r="B1448" t="s">
        <v>66</v>
      </c>
      <c r="C1448">
        <v>6</v>
      </c>
      <c r="D1448">
        <v>0</v>
      </c>
      <c r="E1448">
        <v>0.32473194361949298</v>
      </c>
      <c r="F1448">
        <v>0</v>
      </c>
    </row>
    <row r="1449" spans="1:6" x14ac:dyDescent="0.25">
      <c r="A1449">
        <v>18121</v>
      </c>
      <c r="B1449" t="s">
        <v>66</v>
      </c>
      <c r="C1449">
        <v>7</v>
      </c>
      <c r="D1449">
        <v>0</v>
      </c>
      <c r="E1449">
        <v>1.8672086758120801</v>
      </c>
      <c r="F1449">
        <v>0</v>
      </c>
    </row>
    <row r="1450" spans="1:6" x14ac:dyDescent="0.25">
      <c r="A1450">
        <v>18121</v>
      </c>
      <c r="B1450" t="s">
        <v>66</v>
      </c>
      <c r="C1450">
        <v>8</v>
      </c>
      <c r="D1450">
        <v>0</v>
      </c>
      <c r="E1450">
        <v>2.3948980841937599</v>
      </c>
      <c r="F1450">
        <v>0</v>
      </c>
    </row>
    <row r="1451" spans="1:6" x14ac:dyDescent="0.25">
      <c r="A1451">
        <v>18121</v>
      </c>
      <c r="B1451" t="s">
        <v>66</v>
      </c>
      <c r="C1451">
        <v>9</v>
      </c>
      <c r="D1451">
        <v>0</v>
      </c>
      <c r="E1451">
        <v>2.0701661405742602</v>
      </c>
      <c r="F1451">
        <v>0</v>
      </c>
    </row>
    <row r="1452" spans="1:6" x14ac:dyDescent="0.25">
      <c r="A1452">
        <v>18121</v>
      </c>
      <c r="B1452" t="s">
        <v>66</v>
      </c>
      <c r="C1452">
        <v>10</v>
      </c>
      <c r="D1452">
        <v>0</v>
      </c>
      <c r="E1452">
        <v>1.38011076038284</v>
      </c>
      <c r="F1452">
        <v>0</v>
      </c>
    </row>
    <row r="1453" spans="1:6" x14ac:dyDescent="0.25">
      <c r="A1453">
        <v>18121</v>
      </c>
      <c r="B1453" t="s">
        <v>66</v>
      </c>
      <c r="C1453">
        <v>11</v>
      </c>
      <c r="D1453">
        <v>0</v>
      </c>
      <c r="E1453">
        <v>0.85242135200116897</v>
      </c>
      <c r="F1453">
        <v>0</v>
      </c>
    </row>
    <row r="1454" spans="1:6" x14ac:dyDescent="0.25">
      <c r="A1454">
        <v>18121</v>
      </c>
      <c r="B1454" t="s">
        <v>66</v>
      </c>
      <c r="C1454">
        <v>12</v>
      </c>
      <c r="D1454">
        <v>0</v>
      </c>
      <c r="E1454">
        <v>0.69005538019142199</v>
      </c>
      <c r="F1454">
        <v>0</v>
      </c>
    </row>
    <row r="1455" spans="1:6" x14ac:dyDescent="0.25">
      <c r="A1455">
        <v>18121</v>
      </c>
      <c r="B1455" t="s">
        <v>66</v>
      </c>
      <c r="C1455">
        <v>13</v>
      </c>
      <c r="D1455">
        <v>0</v>
      </c>
      <c r="E1455">
        <v>0.56828090133411202</v>
      </c>
      <c r="F1455">
        <v>0</v>
      </c>
    </row>
    <row r="1456" spans="1:6" x14ac:dyDescent="0.25">
      <c r="A1456">
        <v>18121</v>
      </c>
      <c r="B1456" t="s">
        <v>66</v>
      </c>
      <c r="C1456">
        <v>14</v>
      </c>
      <c r="D1456">
        <v>0</v>
      </c>
      <c r="E1456">
        <v>0.32473194361949298</v>
      </c>
      <c r="F1456">
        <v>0</v>
      </c>
    </row>
    <row r="1457" spans="1:6" x14ac:dyDescent="0.25">
      <c r="A1457">
        <v>18121</v>
      </c>
      <c r="B1457" t="s">
        <v>66</v>
      </c>
      <c r="C1457">
        <v>15</v>
      </c>
      <c r="D1457">
        <v>0</v>
      </c>
      <c r="E1457">
        <v>0.28414045066705601</v>
      </c>
      <c r="F1457">
        <v>0</v>
      </c>
    </row>
    <row r="1458" spans="1:6" x14ac:dyDescent="0.25">
      <c r="A1458">
        <v>18121</v>
      </c>
      <c r="B1458" t="s">
        <v>66</v>
      </c>
      <c r="C1458">
        <v>16</v>
      </c>
      <c r="D1458">
        <v>0</v>
      </c>
      <c r="E1458">
        <v>0.16236597180974599</v>
      </c>
      <c r="F1458">
        <v>0</v>
      </c>
    </row>
    <row r="1459" spans="1:6" x14ac:dyDescent="0.25">
      <c r="A1459">
        <v>18121</v>
      </c>
      <c r="B1459" t="s">
        <v>66</v>
      </c>
      <c r="C1459">
        <v>17</v>
      </c>
      <c r="D1459">
        <v>0</v>
      </c>
      <c r="E1459">
        <v>0</v>
      </c>
      <c r="F1459">
        <v>0</v>
      </c>
    </row>
    <row r="1460" spans="1:6" x14ac:dyDescent="0.25">
      <c r="A1460">
        <v>18121</v>
      </c>
      <c r="B1460" t="s">
        <v>66</v>
      </c>
      <c r="C1460">
        <v>18</v>
      </c>
      <c r="D1460">
        <v>0</v>
      </c>
      <c r="E1460">
        <v>0</v>
      </c>
      <c r="F1460">
        <v>0</v>
      </c>
    </row>
    <row r="1461" spans="1:6" x14ac:dyDescent="0.25">
      <c r="A1461">
        <v>18121</v>
      </c>
      <c r="B1461" t="s">
        <v>66</v>
      </c>
      <c r="C1461">
        <v>19</v>
      </c>
      <c r="D1461">
        <v>0</v>
      </c>
      <c r="E1461">
        <v>0</v>
      </c>
      <c r="F1461">
        <v>0</v>
      </c>
    </row>
    <row r="1462" spans="1:6" x14ac:dyDescent="0.25">
      <c r="A1462">
        <v>18121</v>
      </c>
      <c r="B1462" t="s">
        <v>66</v>
      </c>
      <c r="C1462">
        <v>20</v>
      </c>
      <c r="D1462">
        <v>0</v>
      </c>
      <c r="E1462">
        <v>0</v>
      </c>
      <c r="F1462">
        <v>0</v>
      </c>
    </row>
    <row r="1463" spans="1:6" x14ac:dyDescent="0.25">
      <c r="A1463">
        <v>18121</v>
      </c>
      <c r="B1463" t="s">
        <v>66</v>
      </c>
      <c r="C1463">
        <v>21</v>
      </c>
      <c r="D1463">
        <v>0</v>
      </c>
      <c r="E1463">
        <v>0</v>
      </c>
      <c r="F1463">
        <v>0</v>
      </c>
    </row>
    <row r="1464" spans="1:6" x14ac:dyDescent="0.25">
      <c r="A1464">
        <v>18121</v>
      </c>
      <c r="B1464" t="s">
        <v>66</v>
      </c>
      <c r="C1464">
        <v>22</v>
      </c>
      <c r="D1464">
        <v>0</v>
      </c>
      <c r="E1464">
        <v>0</v>
      </c>
      <c r="F1464">
        <v>0</v>
      </c>
    </row>
    <row r="1465" spans="1:6" x14ac:dyDescent="0.25">
      <c r="A1465">
        <v>18121</v>
      </c>
      <c r="B1465" t="s">
        <v>66</v>
      </c>
      <c r="C1465">
        <v>23</v>
      </c>
      <c r="D1465">
        <v>0</v>
      </c>
      <c r="E1465">
        <v>0</v>
      </c>
      <c r="F1465">
        <v>0</v>
      </c>
    </row>
    <row r="1466" spans="1:6" x14ac:dyDescent="0.25">
      <c r="A1466">
        <v>18123</v>
      </c>
      <c r="B1466" t="s">
        <v>67</v>
      </c>
      <c r="C1466">
        <v>0</v>
      </c>
      <c r="D1466">
        <v>0</v>
      </c>
      <c r="E1466">
        <v>2.0145326553105698</v>
      </c>
      <c r="F1466">
        <v>0</v>
      </c>
    </row>
    <row r="1467" spans="1:6" x14ac:dyDescent="0.25">
      <c r="A1467">
        <v>18123</v>
      </c>
      <c r="B1467" t="s">
        <v>67</v>
      </c>
      <c r="C1467">
        <v>1</v>
      </c>
      <c r="D1467">
        <v>0</v>
      </c>
      <c r="E1467">
        <v>2.1789843006420502</v>
      </c>
      <c r="F1467">
        <v>0</v>
      </c>
    </row>
    <row r="1468" spans="1:6" x14ac:dyDescent="0.25">
      <c r="A1468">
        <v>18123</v>
      </c>
      <c r="B1468" t="s">
        <v>67</v>
      </c>
      <c r="C1468">
        <v>2</v>
      </c>
      <c r="D1468">
        <v>0</v>
      </c>
      <c r="E1468">
        <v>2.4256617686392601</v>
      </c>
      <c r="F1468">
        <v>0</v>
      </c>
    </row>
    <row r="1469" spans="1:6" x14ac:dyDescent="0.25">
      <c r="A1469">
        <v>18123</v>
      </c>
      <c r="B1469" t="s">
        <v>67</v>
      </c>
      <c r="C1469">
        <v>3</v>
      </c>
      <c r="D1469">
        <v>0</v>
      </c>
      <c r="E1469">
        <v>3.0423554386322902</v>
      </c>
      <c r="F1469">
        <v>0</v>
      </c>
    </row>
    <row r="1470" spans="1:6" x14ac:dyDescent="0.25">
      <c r="A1470">
        <v>18123</v>
      </c>
      <c r="B1470" t="s">
        <v>67</v>
      </c>
      <c r="C1470">
        <v>4</v>
      </c>
      <c r="D1470">
        <v>0</v>
      </c>
      <c r="E1470">
        <v>3.3712587292952501</v>
      </c>
      <c r="F1470">
        <v>0</v>
      </c>
    </row>
    <row r="1471" spans="1:6" x14ac:dyDescent="0.25">
      <c r="A1471">
        <v>18123</v>
      </c>
      <c r="B1471" t="s">
        <v>67</v>
      </c>
      <c r="C1471">
        <v>5</v>
      </c>
      <c r="D1471">
        <v>0</v>
      </c>
      <c r="E1471">
        <v>2.9601296159665602</v>
      </c>
      <c r="F1471">
        <v>0</v>
      </c>
    </row>
    <row r="1472" spans="1:6" x14ac:dyDescent="0.25">
      <c r="A1472">
        <v>18123</v>
      </c>
      <c r="B1472" t="s">
        <v>67</v>
      </c>
      <c r="C1472">
        <v>6</v>
      </c>
      <c r="D1472">
        <v>0</v>
      </c>
      <c r="E1472">
        <v>2.2612101233077802</v>
      </c>
      <c r="F1472">
        <v>0</v>
      </c>
    </row>
    <row r="1473" spans="1:6" x14ac:dyDescent="0.25">
      <c r="A1473">
        <v>18123</v>
      </c>
      <c r="B1473" t="s">
        <v>67</v>
      </c>
      <c r="C1473">
        <v>7</v>
      </c>
      <c r="D1473">
        <v>0</v>
      </c>
      <c r="E1473">
        <v>1.52117771931614</v>
      </c>
      <c r="F1473">
        <v>0</v>
      </c>
    </row>
    <row r="1474" spans="1:6" x14ac:dyDescent="0.25">
      <c r="A1474">
        <v>18123</v>
      </c>
      <c r="B1474" t="s">
        <v>67</v>
      </c>
      <c r="C1474">
        <v>8</v>
      </c>
      <c r="D1474">
        <v>0</v>
      </c>
      <c r="E1474">
        <v>0.69891949265877096</v>
      </c>
      <c r="F1474">
        <v>0</v>
      </c>
    </row>
    <row r="1475" spans="1:6" x14ac:dyDescent="0.25">
      <c r="A1475">
        <v>18123</v>
      </c>
      <c r="B1475" t="s">
        <v>67</v>
      </c>
      <c r="C1475">
        <v>9</v>
      </c>
      <c r="D1475">
        <v>0</v>
      </c>
      <c r="E1475">
        <v>0.61669366999303299</v>
      </c>
      <c r="F1475">
        <v>0</v>
      </c>
    </row>
    <row r="1476" spans="1:6" x14ac:dyDescent="0.25">
      <c r="A1476">
        <v>18123</v>
      </c>
      <c r="B1476" t="s">
        <v>67</v>
      </c>
      <c r="C1476">
        <v>10</v>
      </c>
      <c r="D1476">
        <v>0</v>
      </c>
      <c r="E1476">
        <v>0.37001620199582003</v>
      </c>
      <c r="F1476">
        <v>0</v>
      </c>
    </row>
    <row r="1477" spans="1:6" x14ac:dyDescent="0.25">
      <c r="A1477">
        <v>18123</v>
      </c>
      <c r="B1477" t="s">
        <v>67</v>
      </c>
      <c r="C1477">
        <v>11</v>
      </c>
      <c r="D1477">
        <v>0</v>
      </c>
      <c r="E1477">
        <v>0.69891949265877096</v>
      </c>
      <c r="F1477">
        <v>0</v>
      </c>
    </row>
    <row r="1478" spans="1:6" x14ac:dyDescent="0.25">
      <c r="A1478">
        <v>18123</v>
      </c>
      <c r="B1478" t="s">
        <v>67</v>
      </c>
      <c r="C1478">
        <v>12</v>
      </c>
      <c r="D1478">
        <v>0</v>
      </c>
      <c r="E1478">
        <v>1.1100486059874599</v>
      </c>
      <c r="F1478">
        <v>0</v>
      </c>
    </row>
    <row r="1479" spans="1:6" x14ac:dyDescent="0.25">
      <c r="A1479">
        <v>18123</v>
      </c>
      <c r="B1479" t="s">
        <v>67</v>
      </c>
      <c r="C1479">
        <v>13</v>
      </c>
      <c r="D1479">
        <v>0</v>
      </c>
      <c r="E1479">
        <v>0.86337113799024701</v>
      </c>
      <c r="F1479">
        <v>0</v>
      </c>
    </row>
    <row r="1480" spans="1:6" x14ac:dyDescent="0.25">
      <c r="A1480">
        <v>18123</v>
      </c>
      <c r="B1480" t="s">
        <v>67</v>
      </c>
      <c r="C1480">
        <v>14</v>
      </c>
      <c r="D1480">
        <v>0</v>
      </c>
      <c r="E1480">
        <v>0.82225822665737802</v>
      </c>
      <c r="F1480">
        <v>0</v>
      </c>
    </row>
    <row r="1481" spans="1:6" x14ac:dyDescent="0.25">
      <c r="A1481">
        <v>18123</v>
      </c>
      <c r="B1481" t="s">
        <v>67</v>
      </c>
      <c r="C1481">
        <v>15</v>
      </c>
      <c r="D1481">
        <v>0</v>
      </c>
      <c r="E1481">
        <v>0.65780658132590197</v>
      </c>
      <c r="F1481">
        <v>0</v>
      </c>
    </row>
    <row r="1482" spans="1:6" x14ac:dyDescent="0.25">
      <c r="A1482">
        <v>18123</v>
      </c>
      <c r="B1482" t="s">
        <v>67</v>
      </c>
      <c r="C1482">
        <v>16</v>
      </c>
      <c r="D1482">
        <v>0</v>
      </c>
      <c r="E1482">
        <v>0.287790379330082</v>
      </c>
      <c r="F1482">
        <v>0</v>
      </c>
    </row>
    <row r="1483" spans="1:6" x14ac:dyDescent="0.25">
      <c r="A1483">
        <v>18123</v>
      </c>
      <c r="B1483" t="s">
        <v>67</v>
      </c>
      <c r="C1483">
        <v>17</v>
      </c>
      <c r="D1483">
        <v>0</v>
      </c>
      <c r="E1483">
        <v>0.24667746799721299</v>
      </c>
      <c r="F1483">
        <v>0</v>
      </c>
    </row>
    <row r="1484" spans="1:6" x14ac:dyDescent="0.25">
      <c r="A1484">
        <v>18123</v>
      </c>
      <c r="B1484" t="s">
        <v>67</v>
      </c>
      <c r="C1484">
        <v>18</v>
      </c>
      <c r="D1484">
        <v>0</v>
      </c>
      <c r="E1484">
        <v>0.287790379330082</v>
      </c>
      <c r="F1484">
        <v>0</v>
      </c>
    </row>
    <row r="1485" spans="1:6" x14ac:dyDescent="0.25">
      <c r="A1485">
        <v>18123</v>
      </c>
      <c r="B1485" t="s">
        <v>67</v>
      </c>
      <c r="C1485">
        <v>19</v>
      </c>
      <c r="D1485">
        <v>0</v>
      </c>
      <c r="E1485">
        <v>0.287790379330082</v>
      </c>
      <c r="F1485">
        <v>0</v>
      </c>
    </row>
    <row r="1486" spans="1:6" x14ac:dyDescent="0.25">
      <c r="A1486">
        <v>18123</v>
      </c>
      <c r="B1486" t="s">
        <v>67</v>
      </c>
      <c r="C1486">
        <v>20</v>
      </c>
      <c r="D1486">
        <v>0</v>
      </c>
      <c r="E1486">
        <v>0.53446784732729502</v>
      </c>
      <c r="F1486">
        <v>0</v>
      </c>
    </row>
    <row r="1487" spans="1:6" x14ac:dyDescent="0.25">
      <c r="A1487">
        <v>18123</v>
      </c>
      <c r="B1487" t="s">
        <v>67</v>
      </c>
      <c r="C1487">
        <v>21</v>
      </c>
      <c r="D1487">
        <v>0</v>
      </c>
      <c r="E1487">
        <v>1.0278227833217199</v>
      </c>
      <c r="F1487">
        <v>0</v>
      </c>
    </row>
    <row r="1488" spans="1:6" x14ac:dyDescent="0.25">
      <c r="A1488">
        <v>18123</v>
      </c>
      <c r="B1488" t="s">
        <v>67</v>
      </c>
      <c r="C1488">
        <v>22</v>
      </c>
      <c r="D1488">
        <v>0</v>
      </c>
      <c r="E1488">
        <v>1.43895189665041</v>
      </c>
      <c r="F1488">
        <v>0</v>
      </c>
    </row>
    <row r="1489" spans="1:6" x14ac:dyDescent="0.25">
      <c r="A1489">
        <v>18123</v>
      </c>
      <c r="B1489" t="s">
        <v>67</v>
      </c>
      <c r="C1489">
        <v>23</v>
      </c>
      <c r="D1489">
        <v>0</v>
      </c>
      <c r="E1489">
        <v>1.8500810099791001</v>
      </c>
      <c r="F1489">
        <v>0</v>
      </c>
    </row>
    <row r="1490" spans="1:6" x14ac:dyDescent="0.25">
      <c r="A1490">
        <v>18125</v>
      </c>
      <c r="B1490" t="s">
        <v>68</v>
      </c>
      <c r="C1490">
        <v>0</v>
      </c>
      <c r="D1490">
        <v>0</v>
      </c>
      <c r="E1490">
        <v>1.12217261800637</v>
      </c>
      <c r="F1490">
        <v>0</v>
      </c>
    </row>
    <row r="1491" spans="1:6" x14ac:dyDescent="0.25">
      <c r="A1491">
        <v>18125</v>
      </c>
      <c r="B1491" t="s">
        <v>68</v>
      </c>
      <c r="C1491">
        <v>1</v>
      </c>
      <c r="D1491">
        <v>0</v>
      </c>
      <c r="E1491">
        <v>0.92414215600524596</v>
      </c>
      <c r="F1491">
        <v>0</v>
      </c>
    </row>
    <row r="1492" spans="1:6" x14ac:dyDescent="0.25">
      <c r="A1492">
        <v>18125</v>
      </c>
      <c r="B1492" t="s">
        <v>68</v>
      </c>
      <c r="C1492">
        <v>2</v>
      </c>
      <c r="D1492">
        <v>0</v>
      </c>
      <c r="E1492">
        <v>1.0561624640059899</v>
      </c>
      <c r="F1492">
        <v>0</v>
      </c>
    </row>
    <row r="1493" spans="1:6" x14ac:dyDescent="0.25">
      <c r="A1493">
        <v>18125</v>
      </c>
      <c r="B1493" t="s">
        <v>68</v>
      </c>
      <c r="C1493">
        <v>3</v>
      </c>
      <c r="D1493">
        <v>0</v>
      </c>
      <c r="E1493">
        <v>1.2541929260071101</v>
      </c>
      <c r="F1493">
        <v>0</v>
      </c>
    </row>
    <row r="1494" spans="1:6" x14ac:dyDescent="0.25">
      <c r="A1494">
        <v>18125</v>
      </c>
      <c r="B1494" t="s">
        <v>68</v>
      </c>
      <c r="C1494">
        <v>4</v>
      </c>
      <c r="D1494">
        <v>0</v>
      </c>
      <c r="E1494">
        <v>1.5182335420086099</v>
      </c>
      <c r="F1494">
        <v>0</v>
      </c>
    </row>
    <row r="1495" spans="1:6" x14ac:dyDescent="0.25">
      <c r="A1495">
        <v>18125</v>
      </c>
      <c r="B1495" t="s">
        <v>68</v>
      </c>
      <c r="C1495">
        <v>5</v>
      </c>
      <c r="D1495">
        <v>0</v>
      </c>
      <c r="E1495">
        <v>1.12217261800637</v>
      </c>
      <c r="F1495">
        <v>0</v>
      </c>
    </row>
    <row r="1496" spans="1:6" x14ac:dyDescent="0.25">
      <c r="A1496">
        <v>18125</v>
      </c>
      <c r="B1496" t="s">
        <v>68</v>
      </c>
      <c r="C1496">
        <v>6</v>
      </c>
      <c r="D1496">
        <v>0</v>
      </c>
      <c r="E1496">
        <v>2.3103553900131102</v>
      </c>
      <c r="F1496">
        <v>0</v>
      </c>
    </row>
    <row r="1497" spans="1:6" x14ac:dyDescent="0.25">
      <c r="A1497">
        <v>18125</v>
      </c>
      <c r="B1497" t="s">
        <v>68</v>
      </c>
      <c r="C1497">
        <v>7</v>
      </c>
      <c r="D1497">
        <v>0</v>
      </c>
      <c r="E1497">
        <v>2.7064163140153599</v>
      </c>
      <c r="F1497">
        <v>0</v>
      </c>
    </row>
    <row r="1498" spans="1:6" x14ac:dyDescent="0.25">
      <c r="A1498">
        <v>18125</v>
      </c>
      <c r="B1498" t="s">
        <v>68</v>
      </c>
      <c r="C1498">
        <v>8</v>
      </c>
      <c r="D1498">
        <v>0</v>
      </c>
      <c r="E1498">
        <v>2.64040616001498</v>
      </c>
      <c r="F1498">
        <v>0</v>
      </c>
    </row>
    <row r="1499" spans="1:6" x14ac:dyDescent="0.25">
      <c r="A1499">
        <v>18125</v>
      </c>
      <c r="B1499" t="s">
        <v>68</v>
      </c>
      <c r="C1499">
        <v>9</v>
      </c>
      <c r="D1499">
        <v>0</v>
      </c>
      <c r="E1499">
        <v>2.0463147740116101</v>
      </c>
      <c r="F1499">
        <v>0</v>
      </c>
    </row>
    <row r="1500" spans="1:6" x14ac:dyDescent="0.25">
      <c r="A1500">
        <v>18125</v>
      </c>
      <c r="B1500" t="s">
        <v>68</v>
      </c>
      <c r="C1500">
        <v>10</v>
      </c>
      <c r="D1500">
        <v>0</v>
      </c>
      <c r="E1500">
        <v>2.11232492801199</v>
      </c>
      <c r="F1500">
        <v>0</v>
      </c>
    </row>
    <row r="1501" spans="1:6" x14ac:dyDescent="0.25">
      <c r="A1501">
        <v>18125</v>
      </c>
      <c r="B1501" t="s">
        <v>68</v>
      </c>
      <c r="C1501">
        <v>11</v>
      </c>
      <c r="D1501">
        <v>0</v>
      </c>
      <c r="E1501">
        <v>1.7162640040097401</v>
      </c>
      <c r="F1501">
        <v>0</v>
      </c>
    </row>
    <row r="1502" spans="1:6" x14ac:dyDescent="0.25">
      <c r="A1502">
        <v>18125</v>
      </c>
      <c r="B1502" t="s">
        <v>68</v>
      </c>
      <c r="C1502">
        <v>12</v>
      </c>
      <c r="D1502">
        <v>0</v>
      </c>
      <c r="E1502">
        <v>1.3862132340078599</v>
      </c>
      <c r="F1502">
        <v>0</v>
      </c>
    </row>
    <row r="1503" spans="1:6" x14ac:dyDescent="0.25">
      <c r="A1503">
        <v>18125</v>
      </c>
      <c r="B1503" t="s">
        <v>68</v>
      </c>
      <c r="C1503">
        <v>13</v>
      </c>
      <c r="D1503">
        <v>0</v>
      </c>
      <c r="E1503">
        <v>1.32020308000749</v>
      </c>
      <c r="F1503">
        <v>0</v>
      </c>
    </row>
    <row r="1504" spans="1:6" x14ac:dyDescent="0.25">
      <c r="A1504">
        <v>18125</v>
      </c>
      <c r="B1504" t="s">
        <v>68</v>
      </c>
      <c r="C1504">
        <v>14</v>
      </c>
      <c r="D1504">
        <v>0</v>
      </c>
      <c r="E1504">
        <v>2.77242646801573</v>
      </c>
      <c r="F1504">
        <v>0</v>
      </c>
    </row>
    <row r="1505" spans="1:6" x14ac:dyDescent="0.25">
      <c r="A1505">
        <v>18125</v>
      </c>
      <c r="B1505" t="s">
        <v>68</v>
      </c>
      <c r="C1505">
        <v>15</v>
      </c>
      <c r="D1505">
        <v>0</v>
      </c>
      <c r="E1505">
        <v>2.11232492801199</v>
      </c>
      <c r="F1505">
        <v>0</v>
      </c>
    </row>
    <row r="1506" spans="1:6" x14ac:dyDescent="0.25">
      <c r="A1506">
        <v>18125</v>
      </c>
      <c r="B1506" t="s">
        <v>68</v>
      </c>
      <c r="C1506">
        <v>16</v>
      </c>
      <c r="D1506">
        <v>0</v>
      </c>
      <c r="E1506">
        <v>0.72611169400412201</v>
      </c>
      <c r="F1506">
        <v>0</v>
      </c>
    </row>
    <row r="1507" spans="1:6" x14ac:dyDescent="0.25">
      <c r="A1507">
        <v>18125</v>
      </c>
      <c r="B1507" t="s">
        <v>68</v>
      </c>
      <c r="C1507">
        <v>17</v>
      </c>
      <c r="D1507">
        <v>0</v>
      </c>
      <c r="E1507">
        <v>0.330050770001873</v>
      </c>
      <c r="F1507">
        <v>0</v>
      </c>
    </row>
    <row r="1508" spans="1:6" x14ac:dyDescent="0.25">
      <c r="A1508">
        <v>18125</v>
      </c>
      <c r="B1508" t="s">
        <v>68</v>
      </c>
      <c r="C1508">
        <v>18</v>
      </c>
      <c r="D1508">
        <v>0</v>
      </c>
      <c r="E1508">
        <v>0.39606092400224802</v>
      </c>
      <c r="F1508">
        <v>0</v>
      </c>
    </row>
    <row r="1509" spans="1:6" x14ac:dyDescent="0.25">
      <c r="A1509">
        <v>18125</v>
      </c>
      <c r="B1509" t="s">
        <v>68</v>
      </c>
      <c r="C1509">
        <v>19</v>
      </c>
      <c r="D1509">
        <v>0</v>
      </c>
      <c r="E1509">
        <v>0.39606092400224802</v>
      </c>
      <c r="F1509">
        <v>0</v>
      </c>
    </row>
    <row r="1510" spans="1:6" x14ac:dyDescent="0.25">
      <c r="A1510">
        <v>18125</v>
      </c>
      <c r="B1510" t="s">
        <v>68</v>
      </c>
      <c r="C1510">
        <v>20</v>
      </c>
      <c r="D1510">
        <v>0</v>
      </c>
      <c r="E1510">
        <v>0.59409138600337197</v>
      </c>
      <c r="F1510">
        <v>0</v>
      </c>
    </row>
    <row r="1511" spans="1:6" x14ac:dyDescent="0.25">
      <c r="A1511">
        <v>18125</v>
      </c>
      <c r="B1511" t="s">
        <v>68</v>
      </c>
      <c r="C1511">
        <v>21</v>
      </c>
      <c r="D1511">
        <v>0</v>
      </c>
      <c r="E1511">
        <v>0.85813200200487105</v>
      </c>
      <c r="F1511">
        <v>0</v>
      </c>
    </row>
    <row r="1512" spans="1:6" x14ac:dyDescent="0.25">
      <c r="A1512">
        <v>18125</v>
      </c>
      <c r="B1512" t="s">
        <v>68</v>
      </c>
      <c r="C1512">
        <v>22</v>
      </c>
      <c r="D1512">
        <v>0</v>
      </c>
      <c r="E1512">
        <v>0.92414215600524596</v>
      </c>
      <c r="F1512">
        <v>0</v>
      </c>
    </row>
    <row r="1513" spans="1:6" x14ac:dyDescent="0.25">
      <c r="A1513">
        <v>18125</v>
      </c>
      <c r="B1513" t="s">
        <v>68</v>
      </c>
      <c r="C1513">
        <v>23</v>
      </c>
      <c r="D1513">
        <v>0</v>
      </c>
      <c r="E1513">
        <v>1.12217261800637</v>
      </c>
      <c r="F1513">
        <v>0</v>
      </c>
    </row>
    <row r="1514" spans="1:6" x14ac:dyDescent="0.25">
      <c r="A1514">
        <v>18127</v>
      </c>
      <c r="B1514" t="s">
        <v>69</v>
      </c>
      <c r="C1514">
        <v>0</v>
      </c>
      <c r="D1514">
        <v>881.68919557892502</v>
      </c>
      <c r="E1514">
        <v>19.134317208451801</v>
      </c>
      <c r="F1514">
        <v>755</v>
      </c>
    </row>
    <row r="1515" spans="1:6" x14ac:dyDescent="0.25">
      <c r="A1515">
        <v>18127</v>
      </c>
      <c r="B1515" t="s">
        <v>69</v>
      </c>
      <c r="C1515">
        <v>1</v>
      </c>
      <c r="D1515">
        <v>878.83583248643595</v>
      </c>
      <c r="E1515">
        <v>21.484145637559902</v>
      </c>
      <c r="F1515">
        <v>755</v>
      </c>
    </row>
    <row r="1516" spans="1:6" x14ac:dyDescent="0.25">
      <c r="A1516">
        <v>18127</v>
      </c>
      <c r="B1516" t="s">
        <v>69</v>
      </c>
      <c r="C1516">
        <v>2</v>
      </c>
      <c r="D1516">
        <v>874.63971029159995</v>
      </c>
      <c r="E1516">
        <v>22.407292520423798</v>
      </c>
      <c r="F1516">
        <v>755</v>
      </c>
    </row>
    <row r="1517" spans="1:6" x14ac:dyDescent="0.25">
      <c r="A1517">
        <v>18127</v>
      </c>
      <c r="B1517" t="s">
        <v>69</v>
      </c>
      <c r="C1517">
        <v>3</v>
      </c>
      <c r="D1517">
        <v>849.29513223479103</v>
      </c>
      <c r="E1517">
        <v>21.484145637559902</v>
      </c>
      <c r="F1517">
        <v>755</v>
      </c>
    </row>
    <row r="1518" spans="1:6" x14ac:dyDescent="0.25">
      <c r="A1518">
        <v>18127</v>
      </c>
      <c r="B1518" t="s">
        <v>69</v>
      </c>
      <c r="C1518">
        <v>4</v>
      </c>
      <c r="D1518">
        <v>811.61395492516499</v>
      </c>
      <c r="E1518">
        <v>22.575137408217198</v>
      </c>
      <c r="F1518">
        <v>755</v>
      </c>
    </row>
    <row r="1519" spans="1:6" x14ac:dyDescent="0.25">
      <c r="A1519">
        <v>18127</v>
      </c>
      <c r="B1519" t="s">
        <v>69</v>
      </c>
      <c r="C1519">
        <v>5</v>
      </c>
      <c r="D1519">
        <v>738.601428735019</v>
      </c>
      <c r="E1519">
        <v>15.6934970086863</v>
      </c>
      <c r="F1519">
        <v>755</v>
      </c>
    </row>
    <row r="1520" spans="1:6" x14ac:dyDescent="0.25">
      <c r="A1520">
        <v>18127</v>
      </c>
      <c r="B1520" t="s">
        <v>69</v>
      </c>
      <c r="C1520">
        <v>6</v>
      </c>
      <c r="D1520">
        <v>637.13919406388698</v>
      </c>
      <c r="E1520">
        <v>15.2738847892027</v>
      </c>
      <c r="F1520">
        <v>755</v>
      </c>
    </row>
    <row r="1521" spans="1:6" x14ac:dyDescent="0.25">
      <c r="A1521">
        <v>18127</v>
      </c>
      <c r="B1521" t="s">
        <v>69</v>
      </c>
      <c r="C1521">
        <v>7</v>
      </c>
      <c r="D1521">
        <v>513.689279091814</v>
      </c>
      <c r="E1521">
        <v>15.1060399014093</v>
      </c>
      <c r="F1521">
        <v>755</v>
      </c>
    </row>
    <row r="1522" spans="1:6" x14ac:dyDescent="0.25">
      <c r="A1522">
        <v>18127</v>
      </c>
      <c r="B1522" t="s">
        <v>69</v>
      </c>
      <c r="C1522">
        <v>8</v>
      </c>
      <c r="D1522">
        <v>420.78713369814602</v>
      </c>
      <c r="E1522">
        <v>19.386084540141901</v>
      </c>
      <c r="F1522">
        <v>755</v>
      </c>
    </row>
    <row r="1523" spans="1:6" x14ac:dyDescent="0.25">
      <c r="A1523">
        <v>18127</v>
      </c>
      <c r="B1523" t="s">
        <v>69</v>
      </c>
      <c r="C1523">
        <v>9</v>
      </c>
      <c r="D1523">
        <v>361.28612097537302</v>
      </c>
      <c r="E1523">
        <v>23.666129178874598</v>
      </c>
      <c r="F1523">
        <v>755</v>
      </c>
    </row>
    <row r="1524" spans="1:6" x14ac:dyDescent="0.25">
      <c r="A1524">
        <v>18127</v>
      </c>
      <c r="B1524" t="s">
        <v>69</v>
      </c>
      <c r="C1524">
        <v>10</v>
      </c>
      <c r="D1524">
        <v>346.76753818124098</v>
      </c>
      <c r="E1524">
        <v>31.2191491295793</v>
      </c>
      <c r="F1524">
        <v>755</v>
      </c>
    </row>
    <row r="1525" spans="1:6" x14ac:dyDescent="0.25">
      <c r="A1525">
        <v>18127</v>
      </c>
      <c r="B1525" t="s">
        <v>69</v>
      </c>
      <c r="C1525">
        <v>11</v>
      </c>
      <c r="D1525">
        <v>357.50961100002098</v>
      </c>
      <c r="E1525">
        <v>27.442639154226899</v>
      </c>
      <c r="F1525">
        <v>755</v>
      </c>
    </row>
    <row r="1526" spans="1:6" x14ac:dyDescent="0.25">
      <c r="A1526">
        <v>18127</v>
      </c>
      <c r="B1526" t="s">
        <v>69</v>
      </c>
      <c r="C1526">
        <v>12</v>
      </c>
      <c r="D1526">
        <v>378.32237708640702</v>
      </c>
      <c r="E1526">
        <v>16.2809541159634</v>
      </c>
      <c r="F1526">
        <v>755</v>
      </c>
    </row>
    <row r="1527" spans="1:6" x14ac:dyDescent="0.25">
      <c r="A1527">
        <v>18127</v>
      </c>
      <c r="B1527" t="s">
        <v>69</v>
      </c>
      <c r="C1527">
        <v>13</v>
      </c>
      <c r="D1527">
        <v>395.77824541692399</v>
      </c>
      <c r="E1527">
        <v>18.295092769484601</v>
      </c>
      <c r="F1527">
        <v>755</v>
      </c>
    </row>
    <row r="1528" spans="1:6" x14ac:dyDescent="0.25">
      <c r="A1528">
        <v>18127</v>
      </c>
      <c r="B1528" t="s">
        <v>69</v>
      </c>
      <c r="C1528">
        <v>14</v>
      </c>
      <c r="D1528">
        <v>424.22795389791202</v>
      </c>
      <c r="E1528">
        <v>15.6934970086863</v>
      </c>
      <c r="F1528">
        <v>755</v>
      </c>
    </row>
    <row r="1529" spans="1:6" x14ac:dyDescent="0.25">
      <c r="A1529">
        <v>18127</v>
      </c>
      <c r="B1529" t="s">
        <v>69</v>
      </c>
      <c r="C1529">
        <v>15</v>
      </c>
      <c r="D1529">
        <v>460.48244966129403</v>
      </c>
      <c r="E1529">
        <v>15.8613418964798</v>
      </c>
      <c r="F1529">
        <v>755</v>
      </c>
    </row>
    <row r="1530" spans="1:6" x14ac:dyDescent="0.25">
      <c r="A1530">
        <v>18127</v>
      </c>
      <c r="B1530" t="s">
        <v>69</v>
      </c>
      <c r="C1530">
        <v>16</v>
      </c>
      <c r="D1530">
        <v>533.15928607585295</v>
      </c>
      <c r="E1530">
        <v>17.623713218310801</v>
      </c>
      <c r="F1530">
        <v>755</v>
      </c>
    </row>
    <row r="1531" spans="1:6" x14ac:dyDescent="0.25">
      <c r="A1531">
        <v>18127</v>
      </c>
      <c r="B1531" t="s">
        <v>69</v>
      </c>
      <c r="C1531">
        <v>17</v>
      </c>
      <c r="D1531">
        <v>619.85117062116296</v>
      </c>
      <c r="E1531">
        <v>16.0291867842732</v>
      </c>
      <c r="F1531">
        <v>755</v>
      </c>
    </row>
    <row r="1532" spans="1:6" x14ac:dyDescent="0.25">
      <c r="A1532">
        <v>18127</v>
      </c>
      <c r="B1532" t="s">
        <v>69</v>
      </c>
      <c r="C1532">
        <v>18</v>
      </c>
      <c r="D1532">
        <v>694.20645591365496</v>
      </c>
      <c r="E1532">
        <v>15.3578072330994</v>
      </c>
      <c r="F1532">
        <v>755</v>
      </c>
    </row>
    <row r="1533" spans="1:6" x14ac:dyDescent="0.25">
      <c r="A1533">
        <v>18127</v>
      </c>
      <c r="B1533" t="s">
        <v>69</v>
      </c>
      <c r="C1533">
        <v>19</v>
      </c>
      <c r="D1533">
        <v>759.83380704088904</v>
      </c>
      <c r="E1533">
        <v>18.043325437794401</v>
      </c>
      <c r="F1533">
        <v>755</v>
      </c>
    </row>
    <row r="1534" spans="1:6" x14ac:dyDescent="0.25">
      <c r="A1534">
        <v>18127</v>
      </c>
      <c r="B1534" t="s">
        <v>69</v>
      </c>
      <c r="C1534">
        <v>20</v>
      </c>
      <c r="D1534">
        <v>805.40369407680703</v>
      </c>
      <c r="E1534">
        <v>18.211170325587901</v>
      </c>
      <c r="F1534">
        <v>755</v>
      </c>
    </row>
    <row r="1535" spans="1:6" x14ac:dyDescent="0.25">
      <c r="A1535">
        <v>18127</v>
      </c>
      <c r="B1535" t="s">
        <v>69</v>
      </c>
      <c r="C1535">
        <v>21</v>
      </c>
      <c r="D1535">
        <v>836.87461053807704</v>
      </c>
      <c r="E1535">
        <v>17.371945886620701</v>
      </c>
      <c r="F1535">
        <v>755</v>
      </c>
    </row>
    <row r="1536" spans="1:6" x14ac:dyDescent="0.25">
      <c r="A1536">
        <v>18127</v>
      </c>
      <c r="B1536" t="s">
        <v>69</v>
      </c>
      <c r="C1536">
        <v>22</v>
      </c>
      <c r="D1536">
        <v>861.967421263196</v>
      </c>
      <c r="E1536">
        <v>17.791558106104301</v>
      </c>
      <c r="F1536">
        <v>755</v>
      </c>
    </row>
    <row r="1537" spans="1:6" x14ac:dyDescent="0.25">
      <c r="A1537">
        <v>18127</v>
      </c>
      <c r="B1537" t="s">
        <v>69</v>
      </c>
      <c r="C1537">
        <v>23</v>
      </c>
      <c r="D1537">
        <v>874.89147762329003</v>
      </c>
      <c r="E1537">
        <v>18.295092769484601</v>
      </c>
      <c r="F1537">
        <v>755</v>
      </c>
    </row>
    <row r="1538" spans="1:6" x14ac:dyDescent="0.25">
      <c r="A1538">
        <v>18129</v>
      </c>
      <c r="B1538" t="s">
        <v>70</v>
      </c>
      <c r="C1538">
        <v>0</v>
      </c>
      <c r="D1538">
        <v>37.4754129605071</v>
      </c>
      <c r="E1538">
        <v>14.1798859850567</v>
      </c>
      <c r="F1538">
        <v>28</v>
      </c>
    </row>
    <row r="1539" spans="1:6" x14ac:dyDescent="0.25">
      <c r="A1539">
        <v>18129</v>
      </c>
      <c r="B1539" t="s">
        <v>70</v>
      </c>
      <c r="C1539">
        <v>1</v>
      </c>
      <c r="D1539">
        <v>38.285692159653202</v>
      </c>
      <c r="E1539">
        <v>16.003014183135399</v>
      </c>
      <c r="F1539">
        <v>28</v>
      </c>
    </row>
    <row r="1540" spans="1:6" x14ac:dyDescent="0.25">
      <c r="A1540">
        <v>18129</v>
      </c>
      <c r="B1540" t="s">
        <v>70</v>
      </c>
      <c r="C1540">
        <v>2</v>
      </c>
      <c r="D1540">
        <v>37.677982760293602</v>
      </c>
      <c r="E1540">
        <v>15.395304783775901</v>
      </c>
      <c r="F1540">
        <v>28</v>
      </c>
    </row>
    <row r="1541" spans="1:6" x14ac:dyDescent="0.25">
      <c r="A1541">
        <v>18129</v>
      </c>
      <c r="B1541" t="s">
        <v>70</v>
      </c>
      <c r="C1541">
        <v>3</v>
      </c>
      <c r="D1541">
        <v>38.285692159653202</v>
      </c>
      <c r="E1541">
        <v>17.623572581427599</v>
      </c>
      <c r="F1541">
        <v>28</v>
      </c>
    </row>
    <row r="1542" spans="1:6" x14ac:dyDescent="0.25">
      <c r="A1542">
        <v>18129</v>
      </c>
      <c r="B1542" t="s">
        <v>70</v>
      </c>
      <c r="C1542">
        <v>4</v>
      </c>
      <c r="D1542">
        <v>40.513959957304998</v>
      </c>
      <c r="E1542">
        <v>28.7649115696865</v>
      </c>
      <c r="F1542">
        <v>28</v>
      </c>
    </row>
    <row r="1543" spans="1:6" x14ac:dyDescent="0.25">
      <c r="A1543">
        <v>18129</v>
      </c>
      <c r="B1543" t="s">
        <v>70</v>
      </c>
      <c r="C1543">
        <v>5</v>
      </c>
      <c r="D1543">
        <v>40.919099556878002</v>
      </c>
      <c r="E1543">
        <v>33.221447164990103</v>
      </c>
      <c r="F1543">
        <v>28</v>
      </c>
    </row>
    <row r="1544" spans="1:6" x14ac:dyDescent="0.25">
      <c r="A1544">
        <v>18129</v>
      </c>
      <c r="B1544" t="s">
        <v>70</v>
      </c>
      <c r="C1544">
        <v>6</v>
      </c>
      <c r="D1544">
        <v>35.652284762428401</v>
      </c>
      <c r="E1544">
        <v>28.157202170327</v>
      </c>
      <c r="F1544">
        <v>28</v>
      </c>
    </row>
    <row r="1545" spans="1:6" x14ac:dyDescent="0.25">
      <c r="A1545">
        <v>18129</v>
      </c>
      <c r="B1545" t="s">
        <v>70</v>
      </c>
      <c r="C1545">
        <v>7</v>
      </c>
      <c r="D1545">
        <v>25.5237947731021</v>
      </c>
      <c r="E1545">
        <v>23.9032363748099</v>
      </c>
      <c r="F1545">
        <v>28</v>
      </c>
    </row>
    <row r="1546" spans="1:6" x14ac:dyDescent="0.25">
      <c r="A1546">
        <v>18129</v>
      </c>
      <c r="B1546" t="s">
        <v>70</v>
      </c>
      <c r="C1546">
        <v>8</v>
      </c>
      <c r="D1546">
        <v>19.851840379079398</v>
      </c>
      <c r="E1546">
        <v>42.742227754956801</v>
      </c>
      <c r="F1546">
        <v>28</v>
      </c>
    </row>
    <row r="1547" spans="1:6" x14ac:dyDescent="0.25">
      <c r="A1547">
        <v>18129</v>
      </c>
      <c r="B1547" t="s">
        <v>70</v>
      </c>
      <c r="C1547">
        <v>9</v>
      </c>
      <c r="D1547">
        <v>22.8903873758773</v>
      </c>
      <c r="E1547">
        <v>47.401333150046902</v>
      </c>
      <c r="F1547">
        <v>28</v>
      </c>
    </row>
    <row r="1548" spans="1:6" x14ac:dyDescent="0.25">
      <c r="A1548">
        <v>18129</v>
      </c>
      <c r="B1548" t="s">
        <v>70</v>
      </c>
      <c r="C1548">
        <v>10</v>
      </c>
      <c r="D1548">
        <v>26.739213571821299</v>
      </c>
      <c r="E1548">
        <v>42.539657955170199</v>
      </c>
      <c r="F1548">
        <v>28</v>
      </c>
    </row>
    <row r="1549" spans="1:6" x14ac:dyDescent="0.25">
      <c r="A1549">
        <v>18129</v>
      </c>
      <c r="B1549" t="s">
        <v>70</v>
      </c>
      <c r="C1549">
        <v>11</v>
      </c>
      <c r="D1549">
        <v>22.080108176731201</v>
      </c>
      <c r="E1549">
        <v>42.944797554743303</v>
      </c>
      <c r="F1549">
        <v>28</v>
      </c>
    </row>
    <row r="1550" spans="1:6" x14ac:dyDescent="0.25">
      <c r="A1550">
        <v>18129</v>
      </c>
      <c r="B1550" t="s">
        <v>70</v>
      </c>
      <c r="C1550">
        <v>12</v>
      </c>
      <c r="D1550">
        <v>22.2826779765177</v>
      </c>
      <c r="E1550">
        <v>39.906250557945398</v>
      </c>
      <c r="F1550">
        <v>28</v>
      </c>
    </row>
    <row r="1551" spans="1:6" x14ac:dyDescent="0.25">
      <c r="A1551">
        <v>18129</v>
      </c>
      <c r="B1551" t="s">
        <v>70</v>
      </c>
      <c r="C1551">
        <v>13</v>
      </c>
      <c r="D1551">
        <v>20.256979978652499</v>
      </c>
      <c r="E1551">
        <v>21.067259177798601</v>
      </c>
      <c r="F1551">
        <v>28</v>
      </c>
    </row>
    <row r="1552" spans="1:6" x14ac:dyDescent="0.25">
      <c r="A1552">
        <v>18129</v>
      </c>
      <c r="B1552" t="s">
        <v>70</v>
      </c>
      <c r="C1552">
        <v>14</v>
      </c>
      <c r="D1552">
        <v>18.028712181000699</v>
      </c>
      <c r="E1552">
        <v>11.9516181874049</v>
      </c>
      <c r="F1552">
        <v>28</v>
      </c>
    </row>
    <row r="1553" spans="1:6" x14ac:dyDescent="0.25">
      <c r="A1553">
        <v>18129</v>
      </c>
      <c r="B1553" t="s">
        <v>70</v>
      </c>
      <c r="C1553">
        <v>15</v>
      </c>
      <c r="D1553">
        <v>16.408153782708499</v>
      </c>
      <c r="E1553">
        <v>10.3310597891127</v>
      </c>
      <c r="F1553">
        <v>28</v>
      </c>
    </row>
    <row r="1554" spans="1:6" x14ac:dyDescent="0.25">
      <c r="A1554">
        <v>18129</v>
      </c>
      <c r="B1554" t="s">
        <v>70</v>
      </c>
      <c r="C1554">
        <v>16</v>
      </c>
      <c r="D1554">
        <v>16.8132933822815</v>
      </c>
      <c r="E1554">
        <v>7.6976523918879503</v>
      </c>
      <c r="F1554">
        <v>28</v>
      </c>
    </row>
    <row r="1555" spans="1:6" x14ac:dyDescent="0.25">
      <c r="A1555">
        <v>18129</v>
      </c>
      <c r="B1555" t="s">
        <v>70</v>
      </c>
      <c r="C1555">
        <v>17</v>
      </c>
      <c r="D1555">
        <v>18.636421580360299</v>
      </c>
      <c r="E1555">
        <v>3.4436865963709198</v>
      </c>
      <c r="F1555">
        <v>28</v>
      </c>
    </row>
    <row r="1556" spans="1:6" x14ac:dyDescent="0.25">
      <c r="A1556">
        <v>18129</v>
      </c>
      <c r="B1556" t="s">
        <v>70</v>
      </c>
      <c r="C1556">
        <v>18</v>
      </c>
      <c r="D1556">
        <v>22.8903873758773</v>
      </c>
      <c r="E1556">
        <v>2.6334073972248202</v>
      </c>
      <c r="F1556">
        <v>28</v>
      </c>
    </row>
    <row r="1557" spans="1:6" x14ac:dyDescent="0.25">
      <c r="A1557">
        <v>18129</v>
      </c>
      <c r="B1557" t="s">
        <v>70</v>
      </c>
      <c r="C1557">
        <v>19</v>
      </c>
      <c r="D1557">
        <v>26.1315041724617</v>
      </c>
      <c r="E1557">
        <v>2.4308375974383001</v>
      </c>
      <c r="F1557">
        <v>28</v>
      </c>
    </row>
    <row r="1558" spans="1:6" x14ac:dyDescent="0.25">
      <c r="A1558">
        <v>18129</v>
      </c>
      <c r="B1558" t="s">
        <v>70</v>
      </c>
      <c r="C1558">
        <v>20</v>
      </c>
      <c r="D1558">
        <v>31.600888766697899</v>
      </c>
      <c r="E1558">
        <v>6.0770939935957502</v>
      </c>
      <c r="F1558">
        <v>28</v>
      </c>
    </row>
    <row r="1559" spans="1:6" x14ac:dyDescent="0.25">
      <c r="A1559">
        <v>18129</v>
      </c>
      <c r="B1559" t="s">
        <v>70</v>
      </c>
      <c r="C1559">
        <v>21</v>
      </c>
      <c r="D1559">
        <v>33.424016964776598</v>
      </c>
      <c r="E1559">
        <v>8.5079315910340494</v>
      </c>
      <c r="F1559">
        <v>28</v>
      </c>
    </row>
    <row r="1560" spans="1:6" x14ac:dyDescent="0.25">
      <c r="A1560">
        <v>18129</v>
      </c>
      <c r="B1560" t="s">
        <v>70</v>
      </c>
      <c r="C1560">
        <v>22</v>
      </c>
      <c r="D1560">
        <v>34.2342961639227</v>
      </c>
      <c r="E1560">
        <v>8.1027919914610003</v>
      </c>
      <c r="F1560">
        <v>28</v>
      </c>
    </row>
    <row r="1561" spans="1:6" x14ac:dyDescent="0.25">
      <c r="A1561">
        <v>18129</v>
      </c>
      <c r="B1561" t="s">
        <v>70</v>
      </c>
      <c r="C1561">
        <v>23</v>
      </c>
      <c r="D1561">
        <v>35.652284762428401</v>
      </c>
      <c r="E1561">
        <v>11.1413389882588</v>
      </c>
      <c r="F1561">
        <v>28</v>
      </c>
    </row>
    <row r="1562" spans="1:6" x14ac:dyDescent="0.25">
      <c r="A1562">
        <v>18131</v>
      </c>
      <c r="B1562" t="s">
        <v>71</v>
      </c>
      <c r="C1562">
        <v>0</v>
      </c>
      <c r="D1562">
        <v>2.0952348539875101</v>
      </c>
      <c r="E1562">
        <v>0</v>
      </c>
      <c r="F1562">
        <v>35</v>
      </c>
    </row>
    <row r="1563" spans="1:6" x14ac:dyDescent="0.25">
      <c r="A1563">
        <v>18131</v>
      </c>
      <c r="B1563" t="s">
        <v>71</v>
      </c>
      <c r="C1563">
        <v>1</v>
      </c>
      <c r="D1563">
        <v>2.1518628230141998</v>
      </c>
      <c r="E1563">
        <v>0</v>
      </c>
      <c r="F1563">
        <v>35</v>
      </c>
    </row>
    <row r="1564" spans="1:6" x14ac:dyDescent="0.25">
      <c r="A1564">
        <v>18131</v>
      </c>
      <c r="B1564" t="s">
        <v>71</v>
      </c>
      <c r="C1564">
        <v>2</v>
      </c>
      <c r="D1564">
        <v>2.1518628230141998</v>
      </c>
      <c r="E1564">
        <v>0</v>
      </c>
      <c r="F1564">
        <v>35</v>
      </c>
    </row>
    <row r="1565" spans="1:6" x14ac:dyDescent="0.25">
      <c r="A1565">
        <v>18131</v>
      </c>
      <c r="B1565" t="s">
        <v>71</v>
      </c>
      <c r="C1565">
        <v>3</v>
      </c>
      <c r="D1565">
        <v>2.1518628230141998</v>
      </c>
      <c r="E1565">
        <v>0</v>
      </c>
      <c r="F1565">
        <v>35</v>
      </c>
    </row>
    <row r="1566" spans="1:6" x14ac:dyDescent="0.25">
      <c r="A1566">
        <v>18131</v>
      </c>
      <c r="B1566" t="s">
        <v>71</v>
      </c>
      <c r="C1566">
        <v>4</v>
      </c>
      <c r="D1566">
        <v>2.0952348539875101</v>
      </c>
      <c r="E1566">
        <v>0</v>
      </c>
      <c r="F1566">
        <v>35</v>
      </c>
    </row>
    <row r="1567" spans="1:6" x14ac:dyDescent="0.25">
      <c r="A1567">
        <v>18131</v>
      </c>
      <c r="B1567" t="s">
        <v>71</v>
      </c>
      <c r="C1567">
        <v>5</v>
      </c>
      <c r="D1567">
        <v>1.9819789159341299</v>
      </c>
      <c r="E1567">
        <v>0</v>
      </c>
      <c r="F1567">
        <v>35</v>
      </c>
    </row>
    <row r="1568" spans="1:6" x14ac:dyDescent="0.25">
      <c r="A1568">
        <v>18131</v>
      </c>
      <c r="B1568" t="s">
        <v>71</v>
      </c>
      <c r="C1568">
        <v>6</v>
      </c>
      <c r="D1568">
        <v>3.90732986284157</v>
      </c>
      <c r="E1568">
        <v>0</v>
      </c>
      <c r="F1568">
        <v>35</v>
      </c>
    </row>
    <row r="1569" spans="1:6" x14ac:dyDescent="0.25">
      <c r="A1569">
        <v>18131</v>
      </c>
      <c r="B1569" t="s">
        <v>71</v>
      </c>
      <c r="C1569">
        <v>7</v>
      </c>
      <c r="D1569">
        <v>3.5109340796547501</v>
      </c>
      <c r="E1569">
        <v>0</v>
      </c>
      <c r="F1569">
        <v>35</v>
      </c>
    </row>
    <row r="1570" spans="1:6" x14ac:dyDescent="0.25">
      <c r="A1570">
        <v>18131</v>
      </c>
      <c r="B1570" t="s">
        <v>71</v>
      </c>
      <c r="C1570">
        <v>8</v>
      </c>
      <c r="D1570">
        <v>2.49163063717433</v>
      </c>
      <c r="E1570">
        <v>0.16988390708006801</v>
      </c>
      <c r="F1570">
        <v>35</v>
      </c>
    </row>
    <row r="1571" spans="1:6" x14ac:dyDescent="0.25">
      <c r="A1571">
        <v>18131</v>
      </c>
      <c r="B1571" t="s">
        <v>71</v>
      </c>
      <c r="C1571">
        <v>9</v>
      </c>
      <c r="D1571">
        <v>3.34105017257468</v>
      </c>
      <c r="E1571">
        <v>0</v>
      </c>
      <c r="F1571">
        <v>35</v>
      </c>
    </row>
    <row r="1572" spans="1:6" x14ac:dyDescent="0.25">
      <c r="A1572">
        <v>18131</v>
      </c>
      <c r="B1572" t="s">
        <v>71</v>
      </c>
      <c r="C1572">
        <v>10</v>
      </c>
      <c r="D1572">
        <v>4.1904697079750202</v>
      </c>
      <c r="E1572">
        <v>0.792791566373653</v>
      </c>
      <c r="F1572">
        <v>35</v>
      </c>
    </row>
    <row r="1573" spans="1:6" x14ac:dyDescent="0.25">
      <c r="A1573">
        <v>18131</v>
      </c>
      <c r="B1573" t="s">
        <v>71</v>
      </c>
      <c r="C1573">
        <v>11</v>
      </c>
      <c r="D1573">
        <v>5.3230290885088101</v>
      </c>
      <c r="E1573">
        <v>2.2651187610675798</v>
      </c>
      <c r="F1573">
        <v>35</v>
      </c>
    </row>
    <row r="1574" spans="1:6" x14ac:dyDescent="0.25">
      <c r="A1574">
        <v>18131</v>
      </c>
      <c r="B1574" t="s">
        <v>71</v>
      </c>
      <c r="C1574">
        <v>12</v>
      </c>
      <c r="D1574">
        <v>3.8507018938148798</v>
      </c>
      <c r="E1574">
        <v>2.7181425132810899</v>
      </c>
      <c r="F1574">
        <v>35</v>
      </c>
    </row>
    <row r="1575" spans="1:6" x14ac:dyDescent="0.25">
      <c r="A1575">
        <v>18131</v>
      </c>
      <c r="B1575" t="s">
        <v>71</v>
      </c>
      <c r="C1575">
        <v>13</v>
      </c>
      <c r="D1575">
        <v>1.69883907080068</v>
      </c>
      <c r="E1575">
        <v>2.1518628230141998</v>
      </c>
      <c r="F1575">
        <v>35</v>
      </c>
    </row>
    <row r="1576" spans="1:6" x14ac:dyDescent="0.25">
      <c r="A1576">
        <v>18131</v>
      </c>
      <c r="B1576" t="s">
        <v>71</v>
      </c>
      <c r="C1576">
        <v>14</v>
      </c>
      <c r="D1576">
        <v>1.3024432876138501</v>
      </c>
      <c r="E1576">
        <v>0.67953562832027403</v>
      </c>
      <c r="F1576">
        <v>35</v>
      </c>
    </row>
    <row r="1577" spans="1:6" x14ac:dyDescent="0.25">
      <c r="A1577">
        <v>18131</v>
      </c>
      <c r="B1577" t="s">
        <v>71</v>
      </c>
      <c r="C1577">
        <v>15</v>
      </c>
      <c r="D1577">
        <v>1.64221110177399</v>
      </c>
      <c r="E1577">
        <v>0.22651187610675799</v>
      </c>
      <c r="F1577">
        <v>35</v>
      </c>
    </row>
    <row r="1578" spans="1:6" x14ac:dyDescent="0.25">
      <c r="A1578">
        <v>18131</v>
      </c>
      <c r="B1578" t="s">
        <v>71</v>
      </c>
      <c r="C1578">
        <v>16</v>
      </c>
      <c r="D1578">
        <v>1.69883907080068</v>
      </c>
      <c r="E1578">
        <v>0</v>
      </c>
      <c r="F1578">
        <v>35</v>
      </c>
    </row>
    <row r="1579" spans="1:6" x14ac:dyDescent="0.25">
      <c r="A1579">
        <v>18131</v>
      </c>
      <c r="B1579" t="s">
        <v>71</v>
      </c>
      <c r="C1579">
        <v>17</v>
      </c>
      <c r="D1579">
        <v>2.0952348539875101</v>
      </c>
      <c r="E1579">
        <v>0</v>
      </c>
      <c r="F1579">
        <v>35</v>
      </c>
    </row>
    <row r="1580" spans="1:6" x14ac:dyDescent="0.25">
      <c r="A1580">
        <v>18131</v>
      </c>
      <c r="B1580" t="s">
        <v>71</v>
      </c>
      <c r="C1580">
        <v>18</v>
      </c>
      <c r="D1580">
        <v>1.5855831327473</v>
      </c>
      <c r="E1580">
        <v>0</v>
      </c>
      <c r="F1580">
        <v>35</v>
      </c>
    </row>
    <row r="1581" spans="1:6" x14ac:dyDescent="0.25">
      <c r="A1581">
        <v>18131</v>
      </c>
      <c r="B1581" t="s">
        <v>71</v>
      </c>
      <c r="C1581">
        <v>19</v>
      </c>
      <c r="D1581">
        <v>1.8120950088540599</v>
      </c>
      <c r="E1581">
        <v>0</v>
      </c>
      <c r="F1581">
        <v>35</v>
      </c>
    </row>
    <row r="1582" spans="1:6" x14ac:dyDescent="0.25">
      <c r="A1582">
        <v>18131</v>
      </c>
      <c r="B1582" t="s">
        <v>71</v>
      </c>
      <c r="C1582">
        <v>20</v>
      </c>
      <c r="D1582">
        <v>3.5675620486814399</v>
      </c>
      <c r="E1582">
        <v>0</v>
      </c>
      <c r="F1582">
        <v>35</v>
      </c>
    </row>
    <row r="1583" spans="1:6" x14ac:dyDescent="0.25">
      <c r="A1583">
        <v>18131</v>
      </c>
      <c r="B1583" t="s">
        <v>71</v>
      </c>
      <c r="C1583">
        <v>21</v>
      </c>
      <c r="D1583">
        <v>6.7953562832027403</v>
      </c>
      <c r="E1583">
        <v>0</v>
      </c>
      <c r="F1583">
        <v>35</v>
      </c>
    </row>
    <row r="1584" spans="1:6" x14ac:dyDescent="0.25">
      <c r="A1584">
        <v>18131</v>
      </c>
      <c r="B1584" t="s">
        <v>71</v>
      </c>
      <c r="C1584">
        <v>22</v>
      </c>
      <c r="D1584">
        <v>3.2844222035479902</v>
      </c>
      <c r="E1584">
        <v>0</v>
      </c>
      <c r="F1584">
        <v>35</v>
      </c>
    </row>
    <row r="1585" spans="1:6" x14ac:dyDescent="0.25">
      <c r="A1585">
        <v>18131</v>
      </c>
      <c r="B1585" t="s">
        <v>71</v>
      </c>
      <c r="C1585">
        <v>23</v>
      </c>
      <c r="D1585">
        <v>2.0386068849608199</v>
      </c>
      <c r="E1585">
        <v>0</v>
      </c>
      <c r="F1585">
        <v>35</v>
      </c>
    </row>
    <row r="1586" spans="1:6" x14ac:dyDescent="0.25">
      <c r="A1586">
        <v>18133</v>
      </c>
      <c r="B1586" t="s">
        <v>72</v>
      </c>
      <c r="C1586">
        <v>0</v>
      </c>
      <c r="D1586">
        <v>69.036269610296301</v>
      </c>
      <c r="E1586">
        <v>9.4935808019228691</v>
      </c>
      <c r="F1586">
        <v>90</v>
      </c>
    </row>
    <row r="1587" spans="1:6" x14ac:dyDescent="0.25">
      <c r="A1587">
        <v>18133</v>
      </c>
      <c r="B1587" t="s">
        <v>72</v>
      </c>
      <c r="C1587">
        <v>1</v>
      </c>
      <c r="D1587">
        <v>70.261247778286304</v>
      </c>
      <c r="E1587">
        <v>11.199800393051801</v>
      </c>
      <c r="F1587">
        <v>90</v>
      </c>
    </row>
    <row r="1588" spans="1:6" x14ac:dyDescent="0.25">
      <c r="A1588">
        <v>18133</v>
      </c>
      <c r="B1588" t="s">
        <v>72</v>
      </c>
      <c r="C1588">
        <v>2</v>
      </c>
      <c r="D1588">
        <v>70.7424892014253</v>
      </c>
      <c r="E1588">
        <v>12.4685277813272</v>
      </c>
      <c r="F1588">
        <v>90</v>
      </c>
    </row>
    <row r="1589" spans="1:6" x14ac:dyDescent="0.25">
      <c r="A1589">
        <v>18133</v>
      </c>
      <c r="B1589" t="s">
        <v>72</v>
      </c>
      <c r="C1589">
        <v>3</v>
      </c>
      <c r="D1589">
        <v>70.261247778286304</v>
      </c>
      <c r="E1589">
        <v>16.143462285297399</v>
      </c>
      <c r="F1589">
        <v>90</v>
      </c>
    </row>
    <row r="1590" spans="1:6" x14ac:dyDescent="0.25">
      <c r="A1590">
        <v>18133</v>
      </c>
      <c r="B1590" t="s">
        <v>72</v>
      </c>
      <c r="C1590">
        <v>4</v>
      </c>
      <c r="D1590">
        <v>68.292532865445196</v>
      </c>
      <c r="E1590">
        <v>17.499688114143499</v>
      </c>
      <c r="F1590">
        <v>90</v>
      </c>
    </row>
    <row r="1591" spans="1:6" x14ac:dyDescent="0.25">
      <c r="A1591">
        <v>18133</v>
      </c>
      <c r="B1591" t="s">
        <v>72</v>
      </c>
      <c r="C1591">
        <v>5</v>
      </c>
      <c r="D1591">
        <v>63.917610836909297</v>
      </c>
      <c r="E1591">
        <v>17.324691233002099</v>
      </c>
      <c r="F1591">
        <v>90</v>
      </c>
    </row>
    <row r="1592" spans="1:6" x14ac:dyDescent="0.25">
      <c r="A1592">
        <v>18133</v>
      </c>
      <c r="B1592" t="s">
        <v>72</v>
      </c>
      <c r="C1592">
        <v>6</v>
      </c>
      <c r="D1592">
        <v>57.661472336103003</v>
      </c>
      <c r="E1592">
        <v>16.6247037084363</v>
      </c>
      <c r="F1592">
        <v>90</v>
      </c>
    </row>
    <row r="1593" spans="1:6" x14ac:dyDescent="0.25">
      <c r="A1593">
        <v>18133</v>
      </c>
      <c r="B1593" t="s">
        <v>72</v>
      </c>
      <c r="C1593">
        <v>7</v>
      </c>
      <c r="D1593">
        <v>47.161659467616801</v>
      </c>
      <c r="E1593">
        <v>13.999750491314799</v>
      </c>
      <c r="F1593">
        <v>90</v>
      </c>
    </row>
    <row r="1594" spans="1:6" x14ac:dyDescent="0.25">
      <c r="A1594">
        <v>18133</v>
      </c>
      <c r="B1594" t="s">
        <v>72</v>
      </c>
      <c r="C1594">
        <v>8</v>
      </c>
      <c r="D1594">
        <v>36.093106735421003</v>
      </c>
      <c r="E1594">
        <v>12.4685277813272</v>
      </c>
      <c r="F1594">
        <v>90</v>
      </c>
    </row>
    <row r="1595" spans="1:6" x14ac:dyDescent="0.25">
      <c r="A1595">
        <v>18133</v>
      </c>
      <c r="B1595" t="s">
        <v>72</v>
      </c>
      <c r="C1595">
        <v>9</v>
      </c>
      <c r="D1595">
        <v>26.687024374068901</v>
      </c>
      <c r="E1595">
        <v>11.7247910364761</v>
      </c>
      <c r="F1595">
        <v>90</v>
      </c>
    </row>
    <row r="1596" spans="1:6" x14ac:dyDescent="0.25">
      <c r="A1596">
        <v>18133</v>
      </c>
      <c r="B1596" t="s">
        <v>72</v>
      </c>
      <c r="C1596">
        <v>10</v>
      </c>
      <c r="D1596">
        <v>18.987161603845699</v>
      </c>
      <c r="E1596">
        <v>9.6248284627789502</v>
      </c>
      <c r="F1596">
        <v>90</v>
      </c>
    </row>
    <row r="1597" spans="1:6" x14ac:dyDescent="0.25">
      <c r="A1597">
        <v>18133</v>
      </c>
      <c r="B1597" t="s">
        <v>72</v>
      </c>
      <c r="C1597">
        <v>11</v>
      </c>
      <c r="D1597">
        <v>17.6309357749996</v>
      </c>
      <c r="E1597">
        <v>9.1873362599253596</v>
      </c>
      <c r="F1597">
        <v>90</v>
      </c>
    </row>
    <row r="1598" spans="1:6" x14ac:dyDescent="0.25">
      <c r="A1598">
        <v>18133</v>
      </c>
      <c r="B1598" t="s">
        <v>72</v>
      </c>
      <c r="C1598">
        <v>12</v>
      </c>
      <c r="D1598">
        <v>15.924716183870601</v>
      </c>
      <c r="E1598">
        <v>9.2310854802107194</v>
      </c>
      <c r="F1598">
        <v>90</v>
      </c>
    </row>
    <row r="1599" spans="1:6" x14ac:dyDescent="0.25">
      <c r="A1599">
        <v>18133</v>
      </c>
      <c r="B1599" t="s">
        <v>72</v>
      </c>
      <c r="C1599">
        <v>13</v>
      </c>
      <c r="D1599">
        <v>15.749719302729099</v>
      </c>
      <c r="E1599">
        <v>7.4811166687963704</v>
      </c>
      <c r="F1599">
        <v>90</v>
      </c>
    </row>
    <row r="1600" spans="1:6" x14ac:dyDescent="0.25">
      <c r="A1600">
        <v>18133</v>
      </c>
      <c r="B1600" t="s">
        <v>72</v>
      </c>
      <c r="C1600">
        <v>14</v>
      </c>
      <c r="D1600">
        <v>18.680917061848199</v>
      </c>
      <c r="E1600">
        <v>5.3374048748137799</v>
      </c>
      <c r="F1600">
        <v>90</v>
      </c>
    </row>
    <row r="1601" spans="1:6" x14ac:dyDescent="0.25">
      <c r="A1601">
        <v>18133</v>
      </c>
      <c r="B1601" t="s">
        <v>72</v>
      </c>
      <c r="C1601">
        <v>15</v>
      </c>
      <c r="D1601">
        <v>19.7746475689822</v>
      </c>
      <c r="E1601">
        <v>3.0624454199751199</v>
      </c>
      <c r="F1601">
        <v>90</v>
      </c>
    </row>
    <row r="1602" spans="1:6" x14ac:dyDescent="0.25">
      <c r="A1602">
        <v>18133</v>
      </c>
      <c r="B1602" t="s">
        <v>72</v>
      </c>
      <c r="C1602">
        <v>16</v>
      </c>
      <c r="D1602">
        <v>20.518384313833302</v>
      </c>
      <c r="E1602">
        <v>3.3686899619726298</v>
      </c>
      <c r="F1602">
        <v>90</v>
      </c>
    </row>
    <row r="1603" spans="1:6" x14ac:dyDescent="0.25">
      <c r="A1603">
        <v>18133</v>
      </c>
      <c r="B1603" t="s">
        <v>72</v>
      </c>
      <c r="C1603">
        <v>17</v>
      </c>
      <c r="D1603">
        <v>25.4182969857935</v>
      </c>
      <c r="E1603">
        <v>3.2374423011165501</v>
      </c>
      <c r="F1603">
        <v>90</v>
      </c>
    </row>
    <row r="1604" spans="1:6" x14ac:dyDescent="0.25">
      <c r="A1604">
        <v>18133</v>
      </c>
      <c r="B1604" t="s">
        <v>72</v>
      </c>
      <c r="C1604">
        <v>18</v>
      </c>
      <c r="D1604">
        <v>33.599401179155599</v>
      </c>
      <c r="E1604">
        <v>2.8874485388336799</v>
      </c>
      <c r="F1604">
        <v>90</v>
      </c>
    </row>
    <row r="1605" spans="1:6" x14ac:dyDescent="0.25">
      <c r="A1605">
        <v>18133</v>
      </c>
      <c r="B1605" t="s">
        <v>72</v>
      </c>
      <c r="C1605">
        <v>19</v>
      </c>
      <c r="D1605">
        <v>42.8742358796517</v>
      </c>
      <c r="E1605">
        <v>3.41243918225799</v>
      </c>
      <c r="F1605">
        <v>90</v>
      </c>
    </row>
    <row r="1606" spans="1:6" x14ac:dyDescent="0.25">
      <c r="A1606">
        <v>18133</v>
      </c>
      <c r="B1606" t="s">
        <v>72</v>
      </c>
      <c r="C1606">
        <v>20</v>
      </c>
      <c r="D1606">
        <v>51.580330716438098</v>
      </c>
      <c r="E1606">
        <v>4.2436743676798097</v>
      </c>
      <c r="F1606">
        <v>90</v>
      </c>
    </row>
    <row r="1607" spans="1:6" x14ac:dyDescent="0.25">
      <c r="A1607">
        <v>18133</v>
      </c>
      <c r="B1607" t="s">
        <v>72</v>
      </c>
      <c r="C1607">
        <v>21</v>
      </c>
      <c r="D1607">
        <v>58.4927075215248</v>
      </c>
      <c r="E1607">
        <v>6.0373923993795202</v>
      </c>
      <c r="F1607">
        <v>90</v>
      </c>
    </row>
    <row r="1608" spans="1:6" x14ac:dyDescent="0.25">
      <c r="A1608">
        <v>18133</v>
      </c>
      <c r="B1608" t="s">
        <v>72</v>
      </c>
      <c r="C1608">
        <v>22</v>
      </c>
      <c r="D1608">
        <v>63.873861616623898</v>
      </c>
      <c r="E1608">
        <v>7.2623705673695698</v>
      </c>
      <c r="F1608">
        <v>90</v>
      </c>
    </row>
    <row r="1609" spans="1:6" x14ac:dyDescent="0.25">
      <c r="A1609">
        <v>18133</v>
      </c>
      <c r="B1609" t="s">
        <v>72</v>
      </c>
      <c r="C1609">
        <v>23</v>
      </c>
      <c r="D1609">
        <v>67.636294561164803</v>
      </c>
      <c r="E1609">
        <v>7.7873612107938799</v>
      </c>
      <c r="F1609">
        <v>90</v>
      </c>
    </row>
    <row r="1610" spans="1:6" x14ac:dyDescent="0.25">
      <c r="A1610">
        <v>18135</v>
      </c>
      <c r="B1610" t="s">
        <v>73</v>
      </c>
      <c r="C1610">
        <v>0</v>
      </c>
      <c r="D1610">
        <v>22.177522706304799</v>
      </c>
      <c r="E1610">
        <v>0.38532375358444698</v>
      </c>
      <c r="F1610">
        <v>30</v>
      </c>
    </row>
    <row r="1611" spans="1:6" x14ac:dyDescent="0.25">
      <c r="A1611">
        <v>18135</v>
      </c>
      <c r="B1611" t="s">
        <v>73</v>
      </c>
      <c r="C1611">
        <v>1</v>
      </c>
      <c r="D1611">
        <v>22.091895205508301</v>
      </c>
      <c r="E1611">
        <v>0.34251000318617503</v>
      </c>
      <c r="F1611">
        <v>30</v>
      </c>
    </row>
    <row r="1612" spans="1:6" x14ac:dyDescent="0.25">
      <c r="A1612">
        <v>18135</v>
      </c>
      <c r="B1612" t="s">
        <v>73</v>
      </c>
      <c r="C1612">
        <v>2</v>
      </c>
      <c r="D1612">
        <v>22.1347089559066</v>
      </c>
      <c r="E1612">
        <v>0.34251000318617503</v>
      </c>
      <c r="F1612">
        <v>30</v>
      </c>
    </row>
    <row r="1613" spans="1:6" x14ac:dyDescent="0.25">
      <c r="A1613">
        <v>18135</v>
      </c>
      <c r="B1613" t="s">
        <v>73</v>
      </c>
      <c r="C1613">
        <v>3</v>
      </c>
      <c r="D1613">
        <v>22.091895205508301</v>
      </c>
      <c r="E1613">
        <v>0.34251000318617503</v>
      </c>
      <c r="F1613">
        <v>30</v>
      </c>
    </row>
    <row r="1614" spans="1:6" x14ac:dyDescent="0.25">
      <c r="A1614">
        <v>18135</v>
      </c>
      <c r="B1614" t="s">
        <v>73</v>
      </c>
      <c r="C1614">
        <v>4</v>
      </c>
      <c r="D1614">
        <v>22.091895205508301</v>
      </c>
      <c r="E1614">
        <v>0.64220625597407899</v>
      </c>
      <c r="F1614">
        <v>30</v>
      </c>
    </row>
    <row r="1615" spans="1:6" x14ac:dyDescent="0.25">
      <c r="A1615">
        <v>18135</v>
      </c>
      <c r="B1615" t="s">
        <v>73</v>
      </c>
      <c r="C1615">
        <v>5</v>
      </c>
      <c r="D1615">
        <v>21.663757701525601</v>
      </c>
      <c r="E1615">
        <v>0.81346125756716703</v>
      </c>
      <c r="F1615">
        <v>30</v>
      </c>
    </row>
    <row r="1616" spans="1:6" x14ac:dyDescent="0.25">
      <c r="A1616">
        <v>18135</v>
      </c>
      <c r="B1616" t="s">
        <v>73</v>
      </c>
      <c r="C1616">
        <v>6</v>
      </c>
      <c r="D1616">
        <v>22.4344052086945</v>
      </c>
      <c r="E1616">
        <v>0.64220625597407899</v>
      </c>
      <c r="F1616">
        <v>30</v>
      </c>
    </row>
    <row r="1617" spans="1:6" x14ac:dyDescent="0.25">
      <c r="A1617">
        <v>18135</v>
      </c>
      <c r="B1617" t="s">
        <v>73</v>
      </c>
      <c r="C1617">
        <v>7</v>
      </c>
      <c r="D1617">
        <v>29.284605272417998</v>
      </c>
      <c r="E1617">
        <v>3.3394725310652098</v>
      </c>
      <c r="F1617">
        <v>30</v>
      </c>
    </row>
    <row r="1618" spans="1:6" x14ac:dyDescent="0.25">
      <c r="A1618">
        <v>18135</v>
      </c>
      <c r="B1618" t="s">
        <v>73</v>
      </c>
      <c r="C1618">
        <v>8</v>
      </c>
      <c r="D1618">
        <v>12.886938869879801</v>
      </c>
      <c r="E1618">
        <v>4.5382575422168197</v>
      </c>
      <c r="F1618">
        <v>30</v>
      </c>
    </row>
    <row r="1619" spans="1:6" x14ac:dyDescent="0.25">
      <c r="A1619">
        <v>18135</v>
      </c>
      <c r="B1619" t="s">
        <v>73</v>
      </c>
      <c r="C1619">
        <v>9</v>
      </c>
      <c r="D1619">
        <v>5.3945325501822596</v>
      </c>
      <c r="E1619">
        <v>4.7095125438099101</v>
      </c>
      <c r="F1619">
        <v>30</v>
      </c>
    </row>
    <row r="1620" spans="1:6" x14ac:dyDescent="0.25">
      <c r="A1620">
        <v>18135</v>
      </c>
      <c r="B1620" t="s">
        <v>73</v>
      </c>
      <c r="C1620">
        <v>10</v>
      </c>
      <c r="D1620">
        <v>5.2660912989874502</v>
      </c>
      <c r="E1620">
        <v>4.7951400446064598</v>
      </c>
      <c r="F1620">
        <v>30</v>
      </c>
    </row>
    <row r="1621" spans="1:6" x14ac:dyDescent="0.25">
      <c r="A1621">
        <v>18135</v>
      </c>
      <c r="B1621" t="s">
        <v>73</v>
      </c>
      <c r="C1621">
        <v>11</v>
      </c>
      <c r="D1621">
        <v>6.2508075581476996</v>
      </c>
      <c r="E1621">
        <v>5.7370425533684397</v>
      </c>
      <c r="F1621">
        <v>30</v>
      </c>
    </row>
    <row r="1622" spans="1:6" x14ac:dyDescent="0.25">
      <c r="A1622">
        <v>18135</v>
      </c>
      <c r="B1622" t="s">
        <v>73</v>
      </c>
      <c r="C1622">
        <v>12</v>
      </c>
      <c r="D1622">
        <v>7.1070825661131396</v>
      </c>
      <c r="E1622">
        <v>3.8104237854462002</v>
      </c>
      <c r="F1622">
        <v>30</v>
      </c>
    </row>
    <row r="1623" spans="1:6" x14ac:dyDescent="0.25">
      <c r="A1623">
        <v>18135</v>
      </c>
      <c r="B1623" t="s">
        <v>73</v>
      </c>
      <c r="C1623">
        <v>13</v>
      </c>
      <c r="D1623">
        <v>5.8654838045632598</v>
      </c>
      <c r="E1623">
        <v>2.2691287711084098</v>
      </c>
      <c r="F1623">
        <v>30</v>
      </c>
    </row>
    <row r="1624" spans="1:6" x14ac:dyDescent="0.25">
      <c r="A1624">
        <v>18135</v>
      </c>
      <c r="B1624" t="s">
        <v>73</v>
      </c>
      <c r="C1624">
        <v>14</v>
      </c>
      <c r="D1624">
        <v>4.7523262942081796</v>
      </c>
      <c r="E1624">
        <v>0.98471625916025496</v>
      </c>
      <c r="F1624">
        <v>30</v>
      </c>
    </row>
    <row r="1625" spans="1:6" x14ac:dyDescent="0.25">
      <c r="A1625">
        <v>18135</v>
      </c>
      <c r="B1625" t="s">
        <v>73</v>
      </c>
      <c r="C1625">
        <v>15</v>
      </c>
      <c r="D1625">
        <v>4.7523262942081796</v>
      </c>
      <c r="E1625">
        <v>0.470951254380991</v>
      </c>
      <c r="F1625">
        <v>30</v>
      </c>
    </row>
    <row r="1626" spans="1:6" x14ac:dyDescent="0.25">
      <c r="A1626">
        <v>18135</v>
      </c>
      <c r="B1626" t="s">
        <v>73</v>
      </c>
      <c r="C1626">
        <v>16</v>
      </c>
      <c r="D1626">
        <v>4.7095125438099101</v>
      </c>
      <c r="E1626">
        <v>8.5627500796543896E-2</v>
      </c>
      <c r="F1626">
        <v>30</v>
      </c>
    </row>
    <row r="1627" spans="1:6" x14ac:dyDescent="0.25">
      <c r="A1627">
        <v>18135</v>
      </c>
      <c r="B1627" t="s">
        <v>73</v>
      </c>
      <c r="C1627">
        <v>17</v>
      </c>
      <c r="D1627">
        <v>8.0489850748751302</v>
      </c>
      <c r="E1627">
        <v>0.34251000318617503</v>
      </c>
      <c r="F1627">
        <v>30</v>
      </c>
    </row>
    <row r="1628" spans="1:6" x14ac:dyDescent="0.25">
      <c r="A1628">
        <v>18135</v>
      </c>
      <c r="B1628" t="s">
        <v>73</v>
      </c>
      <c r="C1628">
        <v>18</v>
      </c>
      <c r="D1628">
        <v>16.055156399351901</v>
      </c>
      <c r="E1628">
        <v>0.128441251194815</v>
      </c>
      <c r="F1628">
        <v>30</v>
      </c>
    </row>
    <row r="1629" spans="1:6" x14ac:dyDescent="0.25">
      <c r="A1629">
        <v>18135</v>
      </c>
      <c r="B1629" t="s">
        <v>73</v>
      </c>
      <c r="C1629">
        <v>19</v>
      </c>
      <c r="D1629">
        <v>20.893110194356701</v>
      </c>
      <c r="E1629">
        <v>0.214068751991359</v>
      </c>
      <c r="F1629">
        <v>30</v>
      </c>
    </row>
    <row r="1630" spans="1:6" x14ac:dyDescent="0.25">
      <c r="A1630">
        <v>18135</v>
      </c>
      <c r="B1630" t="s">
        <v>73</v>
      </c>
      <c r="C1630">
        <v>20</v>
      </c>
      <c r="D1630">
        <v>21.364061448737701</v>
      </c>
      <c r="E1630">
        <v>0.17125500159308699</v>
      </c>
      <c r="F1630">
        <v>30</v>
      </c>
    </row>
    <row r="1631" spans="1:6" x14ac:dyDescent="0.25">
      <c r="A1631">
        <v>18135</v>
      </c>
      <c r="B1631" t="s">
        <v>73</v>
      </c>
      <c r="C1631">
        <v>21</v>
      </c>
      <c r="D1631">
        <v>21.620943951127298</v>
      </c>
      <c r="E1631">
        <v>0.29969625278790302</v>
      </c>
      <c r="F1631">
        <v>30</v>
      </c>
    </row>
    <row r="1632" spans="1:6" x14ac:dyDescent="0.25">
      <c r="A1632">
        <v>18135</v>
      </c>
      <c r="B1632" t="s">
        <v>73</v>
      </c>
      <c r="C1632">
        <v>22</v>
      </c>
      <c r="D1632">
        <v>21.7065714519238</v>
      </c>
      <c r="E1632">
        <v>0.38532375358444698</v>
      </c>
      <c r="F1632">
        <v>30</v>
      </c>
    </row>
    <row r="1633" spans="1:6" x14ac:dyDescent="0.25">
      <c r="A1633">
        <v>18135</v>
      </c>
      <c r="B1633" t="s">
        <v>73</v>
      </c>
      <c r="C1633">
        <v>23</v>
      </c>
      <c r="D1633">
        <v>21.963453954313501</v>
      </c>
      <c r="E1633">
        <v>0.38532375358444698</v>
      </c>
      <c r="F1633">
        <v>30</v>
      </c>
    </row>
    <row r="1634" spans="1:6" x14ac:dyDescent="0.25">
      <c r="A1634">
        <v>18137</v>
      </c>
      <c r="B1634" t="s">
        <v>74</v>
      </c>
      <c r="C1634">
        <v>0</v>
      </c>
      <c r="D1634">
        <v>109.337612342108</v>
      </c>
      <c r="E1634">
        <v>12.8697189577732</v>
      </c>
      <c r="F1634">
        <v>80</v>
      </c>
    </row>
    <row r="1635" spans="1:6" x14ac:dyDescent="0.25">
      <c r="A1635">
        <v>18137</v>
      </c>
      <c r="B1635" t="s">
        <v>74</v>
      </c>
      <c r="C1635">
        <v>1</v>
      </c>
      <c r="D1635">
        <v>112.197549888279</v>
      </c>
      <c r="E1635">
        <v>14.079692534999801</v>
      </c>
      <c r="F1635">
        <v>80</v>
      </c>
    </row>
    <row r="1636" spans="1:6" x14ac:dyDescent="0.25">
      <c r="A1636">
        <v>18137</v>
      </c>
      <c r="B1636" t="s">
        <v>74</v>
      </c>
      <c r="C1636">
        <v>2</v>
      </c>
      <c r="D1636">
        <v>112.85753547585701</v>
      </c>
      <c r="E1636">
        <v>16.279644493593501</v>
      </c>
      <c r="F1636">
        <v>80</v>
      </c>
    </row>
    <row r="1637" spans="1:6" x14ac:dyDescent="0.25">
      <c r="A1637">
        <v>18137</v>
      </c>
      <c r="B1637" t="s">
        <v>74</v>
      </c>
      <c r="C1637">
        <v>3</v>
      </c>
      <c r="D1637">
        <v>112.307547486209</v>
      </c>
      <c r="E1637">
        <v>17.599615668749699</v>
      </c>
      <c r="F1637">
        <v>80</v>
      </c>
    </row>
    <row r="1638" spans="1:6" x14ac:dyDescent="0.25">
      <c r="A1638">
        <v>18137</v>
      </c>
      <c r="B1638" t="s">
        <v>74</v>
      </c>
      <c r="C1638">
        <v>4</v>
      </c>
      <c r="D1638">
        <v>112.747537877928</v>
      </c>
      <c r="E1638">
        <v>18.809589245976301</v>
      </c>
      <c r="F1638">
        <v>80</v>
      </c>
    </row>
    <row r="1639" spans="1:6" x14ac:dyDescent="0.25">
      <c r="A1639">
        <v>18137</v>
      </c>
      <c r="B1639" t="s">
        <v>74</v>
      </c>
      <c r="C1639">
        <v>5</v>
      </c>
      <c r="D1639">
        <v>117.477434588904</v>
      </c>
      <c r="E1639">
        <v>20.3495556169919</v>
      </c>
      <c r="F1639">
        <v>80</v>
      </c>
    </row>
    <row r="1640" spans="1:6" x14ac:dyDescent="0.25">
      <c r="A1640">
        <v>18137</v>
      </c>
      <c r="B1640" t="s">
        <v>74</v>
      </c>
      <c r="C1640">
        <v>6</v>
      </c>
      <c r="D1640">
        <v>108.677626754529</v>
      </c>
      <c r="E1640">
        <v>22.549507575585601</v>
      </c>
      <c r="F1640">
        <v>80</v>
      </c>
    </row>
    <row r="1641" spans="1:6" x14ac:dyDescent="0.25">
      <c r="A1641">
        <v>18137</v>
      </c>
      <c r="B1641" t="s">
        <v>74</v>
      </c>
      <c r="C1641">
        <v>7</v>
      </c>
      <c r="D1641">
        <v>89.208051920975393</v>
      </c>
      <c r="E1641">
        <v>27.719394678280899</v>
      </c>
      <c r="F1641">
        <v>80</v>
      </c>
    </row>
    <row r="1642" spans="1:6" x14ac:dyDescent="0.25">
      <c r="A1642">
        <v>18137</v>
      </c>
      <c r="B1642" t="s">
        <v>74</v>
      </c>
      <c r="C1642">
        <v>8</v>
      </c>
      <c r="D1642">
        <v>70.288465077069404</v>
      </c>
      <c r="E1642">
        <v>23.979476348671501</v>
      </c>
      <c r="F1642">
        <v>80</v>
      </c>
    </row>
    <row r="1643" spans="1:6" x14ac:dyDescent="0.25">
      <c r="A1643">
        <v>18137</v>
      </c>
      <c r="B1643" t="s">
        <v>74</v>
      </c>
      <c r="C1643">
        <v>9</v>
      </c>
      <c r="D1643">
        <v>62.368638026131997</v>
      </c>
      <c r="E1643">
        <v>18.699591648046599</v>
      </c>
      <c r="F1643">
        <v>80</v>
      </c>
    </row>
    <row r="1644" spans="1:6" x14ac:dyDescent="0.25">
      <c r="A1644">
        <v>18137</v>
      </c>
      <c r="B1644" t="s">
        <v>74</v>
      </c>
      <c r="C1644">
        <v>10</v>
      </c>
      <c r="D1644">
        <v>57.308748521366397</v>
      </c>
      <c r="E1644">
        <v>9.459793421953</v>
      </c>
      <c r="F1644">
        <v>80</v>
      </c>
    </row>
    <row r="1645" spans="1:6" x14ac:dyDescent="0.25">
      <c r="A1645">
        <v>18137</v>
      </c>
      <c r="B1645" t="s">
        <v>74</v>
      </c>
      <c r="C1645">
        <v>11</v>
      </c>
      <c r="D1645">
        <v>52.688849408319598</v>
      </c>
      <c r="E1645">
        <v>7.5898342571483397</v>
      </c>
      <c r="F1645">
        <v>80</v>
      </c>
    </row>
    <row r="1646" spans="1:6" x14ac:dyDescent="0.25">
      <c r="A1646">
        <v>18137</v>
      </c>
      <c r="B1646" t="s">
        <v>74</v>
      </c>
      <c r="C1646">
        <v>12</v>
      </c>
      <c r="D1646">
        <v>52.358856614530602</v>
      </c>
      <c r="E1646">
        <v>7.47983665921865</v>
      </c>
      <c r="F1646">
        <v>80</v>
      </c>
    </row>
    <row r="1647" spans="1:6" x14ac:dyDescent="0.25">
      <c r="A1647">
        <v>18137</v>
      </c>
      <c r="B1647" t="s">
        <v>74</v>
      </c>
      <c r="C1647">
        <v>13</v>
      </c>
      <c r="D1647">
        <v>50.8188902435149</v>
      </c>
      <c r="E1647">
        <v>4.0699111233983798</v>
      </c>
      <c r="F1647">
        <v>80</v>
      </c>
    </row>
    <row r="1648" spans="1:6" x14ac:dyDescent="0.25">
      <c r="A1648">
        <v>18137</v>
      </c>
      <c r="B1648" t="s">
        <v>74</v>
      </c>
      <c r="C1648">
        <v>14</v>
      </c>
      <c r="D1648">
        <v>51.258880635233702</v>
      </c>
      <c r="E1648">
        <v>3.6299207316796398</v>
      </c>
      <c r="F1648">
        <v>80</v>
      </c>
    </row>
    <row r="1649" spans="1:6" x14ac:dyDescent="0.25">
      <c r="A1649">
        <v>18137</v>
      </c>
      <c r="B1649" t="s">
        <v>74</v>
      </c>
      <c r="C1649">
        <v>15</v>
      </c>
      <c r="D1649">
        <v>48.178947893202498</v>
      </c>
      <c r="E1649">
        <v>1.97995676273435</v>
      </c>
      <c r="F1649">
        <v>80</v>
      </c>
    </row>
    <row r="1650" spans="1:6" x14ac:dyDescent="0.25">
      <c r="A1650">
        <v>18137</v>
      </c>
      <c r="B1650" t="s">
        <v>74</v>
      </c>
      <c r="C1650">
        <v>16</v>
      </c>
      <c r="D1650">
        <v>45.099015151171301</v>
      </c>
      <c r="E1650">
        <v>1.5399663710156</v>
      </c>
      <c r="F1650">
        <v>80</v>
      </c>
    </row>
    <row r="1651" spans="1:6" x14ac:dyDescent="0.25">
      <c r="A1651">
        <v>18137</v>
      </c>
      <c r="B1651" t="s">
        <v>74</v>
      </c>
      <c r="C1651">
        <v>17</v>
      </c>
      <c r="D1651">
        <v>48.288945491132203</v>
      </c>
      <c r="E1651">
        <v>1.4299687730859101</v>
      </c>
      <c r="F1651">
        <v>80</v>
      </c>
    </row>
    <row r="1652" spans="1:6" x14ac:dyDescent="0.25">
      <c r="A1652">
        <v>18137</v>
      </c>
      <c r="B1652" t="s">
        <v>74</v>
      </c>
      <c r="C1652">
        <v>18</v>
      </c>
      <c r="D1652">
        <v>56.868758129647702</v>
      </c>
      <c r="E1652">
        <v>1.97995676273435</v>
      </c>
      <c r="F1652">
        <v>80</v>
      </c>
    </row>
    <row r="1653" spans="1:6" x14ac:dyDescent="0.25">
      <c r="A1653">
        <v>18137</v>
      </c>
      <c r="B1653" t="s">
        <v>74</v>
      </c>
      <c r="C1653">
        <v>19</v>
      </c>
      <c r="D1653">
        <v>73.918385808749093</v>
      </c>
      <c r="E1653">
        <v>6.5998558757811603</v>
      </c>
      <c r="F1653">
        <v>80</v>
      </c>
    </row>
    <row r="1654" spans="1:6" x14ac:dyDescent="0.25">
      <c r="A1654">
        <v>18137</v>
      </c>
      <c r="B1654" t="s">
        <v>74</v>
      </c>
      <c r="C1654">
        <v>20</v>
      </c>
      <c r="D1654">
        <v>86.3481143748036</v>
      </c>
      <c r="E1654">
        <v>5.16988710269524</v>
      </c>
      <c r="F1654">
        <v>80</v>
      </c>
    </row>
    <row r="1655" spans="1:6" x14ac:dyDescent="0.25">
      <c r="A1655">
        <v>18137</v>
      </c>
      <c r="B1655" t="s">
        <v>74</v>
      </c>
      <c r="C1655">
        <v>21</v>
      </c>
      <c r="D1655">
        <v>92.727975054725405</v>
      </c>
      <c r="E1655">
        <v>7.1498438654295899</v>
      </c>
      <c r="F1655">
        <v>80</v>
      </c>
    </row>
    <row r="1656" spans="1:6" x14ac:dyDescent="0.25">
      <c r="A1656">
        <v>18137</v>
      </c>
      <c r="B1656" t="s">
        <v>74</v>
      </c>
      <c r="C1656">
        <v>22</v>
      </c>
      <c r="D1656">
        <v>98.667845342928402</v>
      </c>
      <c r="E1656">
        <v>7.5898342571483397</v>
      </c>
      <c r="F1656">
        <v>80</v>
      </c>
    </row>
    <row r="1657" spans="1:6" x14ac:dyDescent="0.25">
      <c r="A1657">
        <v>18137</v>
      </c>
      <c r="B1657" t="s">
        <v>74</v>
      </c>
      <c r="C1657">
        <v>23</v>
      </c>
      <c r="D1657">
        <v>105.487696414569</v>
      </c>
      <c r="E1657">
        <v>9.6797886178123793</v>
      </c>
      <c r="F1657">
        <v>80</v>
      </c>
    </row>
    <row r="1658" spans="1:6" x14ac:dyDescent="0.25">
      <c r="A1658">
        <v>18139</v>
      </c>
      <c r="B1658" t="s">
        <v>75</v>
      </c>
      <c r="C1658">
        <v>0</v>
      </c>
      <c r="D1658">
        <v>0</v>
      </c>
      <c r="E1658">
        <v>1.46783149462722</v>
      </c>
      <c r="F1658">
        <v>15</v>
      </c>
    </row>
    <row r="1659" spans="1:6" x14ac:dyDescent="0.25">
      <c r="A1659">
        <v>18139</v>
      </c>
      <c r="B1659" t="s">
        <v>75</v>
      </c>
      <c r="C1659">
        <v>1</v>
      </c>
      <c r="D1659">
        <v>0</v>
      </c>
      <c r="E1659">
        <v>1.46783149462722</v>
      </c>
      <c r="F1659">
        <v>15</v>
      </c>
    </row>
    <row r="1660" spans="1:6" x14ac:dyDescent="0.25">
      <c r="A1660">
        <v>18139</v>
      </c>
      <c r="B1660" t="s">
        <v>75</v>
      </c>
      <c r="C1660">
        <v>2</v>
      </c>
      <c r="D1660">
        <v>0.41938042703634798</v>
      </c>
      <c r="E1660">
        <v>0.90865759191208795</v>
      </c>
      <c r="F1660">
        <v>15</v>
      </c>
    </row>
    <row r="1661" spans="1:6" x14ac:dyDescent="0.25">
      <c r="A1661">
        <v>18139</v>
      </c>
      <c r="B1661" t="s">
        <v>75</v>
      </c>
      <c r="C1661">
        <v>3</v>
      </c>
      <c r="D1661">
        <v>0.83876085407269696</v>
      </c>
      <c r="E1661">
        <v>1.25814128110904</v>
      </c>
      <c r="F1661">
        <v>15</v>
      </c>
    </row>
    <row r="1662" spans="1:6" x14ac:dyDescent="0.25">
      <c r="A1662">
        <v>18139</v>
      </c>
      <c r="B1662" t="s">
        <v>75</v>
      </c>
      <c r="C1662">
        <v>4</v>
      </c>
      <c r="D1662">
        <v>1.32803801894843</v>
      </c>
      <c r="E1662">
        <v>1.39793475678782</v>
      </c>
      <c r="F1662">
        <v>15</v>
      </c>
    </row>
    <row r="1663" spans="1:6" x14ac:dyDescent="0.25">
      <c r="A1663">
        <v>18139</v>
      </c>
      <c r="B1663" t="s">
        <v>75</v>
      </c>
      <c r="C1663">
        <v>5</v>
      </c>
      <c r="D1663">
        <v>4.0540107946847002</v>
      </c>
      <c r="E1663">
        <v>1.25814128110904</v>
      </c>
      <c r="F1663">
        <v>15</v>
      </c>
    </row>
    <row r="1664" spans="1:6" x14ac:dyDescent="0.25">
      <c r="A1664">
        <v>18139</v>
      </c>
      <c r="B1664" t="s">
        <v>75</v>
      </c>
      <c r="C1664">
        <v>6</v>
      </c>
      <c r="D1664">
        <v>9.5758530839966198</v>
      </c>
      <c r="E1664">
        <v>1.7474184459847799</v>
      </c>
      <c r="F1664">
        <v>15</v>
      </c>
    </row>
    <row r="1665" spans="1:6" x14ac:dyDescent="0.25">
      <c r="A1665">
        <v>18139</v>
      </c>
      <c r="B1665" t="s">
        <v>75</v>
      </c>
      <c r="C1665">
        <v>7</v>
      </c>
      <c r="D1665">
        <v>4.96266838659679</v>
      </c>
      <c r="E1665">
        <v>2.3764890865393</v>
      </c>
      <c r="F1665">
        <v>15</v>
      </c>
    </row>
    <row r="1666" spans="1:6" x14ac:dyDescent="0.25">
      <c r="A1666">
        <v>18139</v>
      </c>
      <c r="B1666" t="s">
        <v>75</v>
      </c>
      <c r="C1666">
        <v>8</v>
      </c>
      <c r="D1666">
        <v>1.8173151838241699</v>
      </c>
      <c r="E1666">
        <v>2.1667988730211301</v>
      </c>
      <c r="F1666">
        <v>15</v>
      </c>
    </row>
    <row r="1667" spans="1:6" x14ac:dyDescent="0.25">
      <c r="A1667">
        <v>18139</v>
      </c>
      <c r="B1667" t="s">
        <v>75</v>
      </c>
      <c r="C1667">
        <v>9</v>
      </c>
      <c r="D1667">
        <v>1.04845106759087</v>
      </c>
      <c r="E1667">
        <v>1.8872119216635601</v>
      </c>
      <c r="F1667">
        <v>15</v>
      </c>
    </row>
    <row r="1668" spans="1:6" x14ac:dyDescent="0.25">
      <c r="A1668">
        <v>18139</v>
      </c>
      <c r="B1668" t="s">
        <v>75</v>
      </c>
      <c r="C1668">
        <v>10</v>
      </c>
      <c r="D1668">
        <v>0.629070640554522</v>
      </c>
      <c r="E1668">
        <v>3.0055597270938299</v>
      </c>
      <c r="F1668">
        <v>15</v>
      </c>
    </row>
    <row r="1669" spans="1:6" x14ac:dyDescent="0.25">
      <c r="A1669">
        <v>18139</v>
      </c>
      <c r="B1669" t="s">
        <v>75</v>
      </c>
      <c r="C1669">
        <v>11</v>
      </c>
      <c r="D1669">
        <v>0.55917390271513101</v>
      </c>
      <c r="E1669">
        <v>3.49483689196957</v>
      </c>
      <c r="F1669">
        <v>15</v>
      </c>
    </row>
    <row r="1670" spans="1:6" x14ac:dyDescent="0.25">
      <c r="A1670">
        <v>18139</v>
      </c>
      <c r="B1670" t="s">
        <v>75</v>
      </c>
      <c r="C1670">
        <v>12</v>
      </c>
      <c r="D1670">
        <v>0.629070640554522</v>
      </c>
      <c r="E1670">
        <v>2.0270053973423501</v>
      </c>
      <c r="F1670">
        <v>15</v>
      </c>
    </row>
    <row r="1671" spans="1:6" x14ac:dyDescent="0.25">
      <c r="A1671">
        <v>18139</v>
      </c>
      <c r="B1671" t="s">
        <v>75</v>
      </c>
      <c r="C1671">
        <v>13</v>
      </c>
      <c r="D1671">
        <v>0.41938042703634798</v>
      </c>
      <c r="E1671">
        <v>1.6076249703059999</v>
      </c>
      <c r="F1671">
        <v>15</v>
      </c>
    </row>
    <row r="1672" spans="1:6" x14ac:dyDescent="0.25">
      <c r="A1672">
        <v>18139</v>
      </c>
      <c r="B1672" t="s">
        <v>75</v>
      </c>
      <c r="C1672">
        <v>14</v>
      </c>
      <c r="D1672">
        <v>0</v>
      </c>
      <c r="E1672">
        <v>0.83876085407269696</v>
      </c>
      <c r="F1672">
        <v>15</v>
      </c>
    </row>
    <row r="1673" spans="1:6" x14ac:dyDescent="0.25">
      <c r="A1673">
        <v>18139</v>
      </c>
      <c r="B1673" t="s">
        <v>75</v>
      </c>
      <c r="C1673">
        <v>15</v>
      </c>
      <c r="D1673">
        <v>0</v>
      </c>
      <c r="E1673">
        <v>0.629070640554522</v>
      </c>
      <c r="F1673">
        <v>15</v>
      </c>
    </row>
    <row r="1674" spans="1:6" x14ac:dyDescent="0.25">
      <c r="A1674">
        <v>18139</v>
      </c>
      <c r="B1674" t="s">
        <v>75</v>
      </c>
      <c r="C1674">
        <v>16</v>
      </c>
      <c r="D1674">
        <v>0</v>
      </c>
      <c r="E1674">
        <v>0.55917390271513101</v>
      </c>
      <c r="F1674">
        <v>15</v>
      </c>
    </row>
    <row r="1675" spans="1:6" x14ac:dyDescent="0.25">
      <c r="A1675">
        <v>18139</v>
      </c>
      <c r="B1675" t="s">
        <v>75</v>
      </c>
      <c r="C1675">
        <v>17</v>
      </c>
      <c r="D1675">
        <v>0.34948368919695699</v>
      </c>
      <c r="E1675">
        <v>0.90865759191208795</v>
      </c>
      <c r="F1675">
        <v>15</v>
      </c>
    </row>
    <row r="1676" spans="1:6" x14ac:dyDescent="0.25">
      <c r="A1676">
        <v>18139</v>
      </c>
      <c r="B1676" t="s">
        <v>75</v>
      </c>
      <c r="C1676">
        <v>18</v>
      </c>
      <c r="D1676">
        <v>0</v>
      </c>
      <c r="E1676">
        <v>0.55917390271513101</v>
      </c>
      <c r="F1676">
        <v>15</v>
      </c>
    </row>
    <row r="1677" spans="1:6" x14ac:dyDescent="0.25">
      <c r="A1677">
        <v>18139</v>
      </c>
      <c r="B1677" t="s">
        <v>75</v>
      </c>
      <c r="C1677">
        <v>19</v>
      </c>
      <c r="D1677">
        <v>0</v>
      </c>
      <c r="E1677">
        <v>0.83876085407269696</v>
      </c>
      <c r="F1677">
        <v>15</v>
      </c>
    </row>
    <row r="1678" spans="1:6" x14ac:dyDescent="0.25">
      <c r="A1678">
        <v>18139</v>
      </c>
      <c r="B1678" t="s">
        <v>75</v>
      </c>
      <c r="C1678">
        <v>20</v>
      </c>
      <c r="D1678">
        <v>0</v>
      </c>
      <c r="E1678">
        <v>0.83876085407269696</v>
      </c>
      <c r="F1678">
        <v>15</v>
      </c>
    </row>
    <row r="1679" spans="1:6" x14ac:dyDescent="0.25">
      <c r="A1679">
        <v>18139</v>
      </c>
      <c r="B1679" t="s">
        <v>75</v>
      </c>
      <c r="C1679">
        <v>21</v>
      </c>
      <c r="D1679">
        <v>0.34948368919695699</v>
      </c>
      <c r="E1679">
        <v>1.32803801894843</v>
      </c>
      <c r="F1679">
        <v>15</v>
      </c>
    </row>
    <row r="1680" spans="1:6" x14ac:dyDescent="0.25">
      <c r="A1680">
        <v>18139</v>
      </c>
      <c r="B1680" t="s">
        <v>75</v>
      </c>
      <c r="C1680">
        <v>22</v>
      </c>
      <c r="D1680">
        <v>0.27958695135756501</v>
      </c>
      <c r="E1680">
        <v>1.32803801894843</v>
      </c>
      <c r="F1680">
        <v>15</v>
      </c>
    </row>
    <row r="1681" spans="1:6" x14ac:dyDescent="0.25">
      <c r="A1681">
        <v>18139</v>
      </c>
      <c r="B1681" t="s">
        <v>75</v>
      </c>
      <c r="C1681">
        <v>23</v>
      </c>
      <c r="D1681">
        <v>0</v>
      </c>
      <c r="E1681">
        <v>1.39793475678782</v>
      </c>
      <c r="F1681">
        <v>15</v>
      </c>
    </row>
    <row r="1682" spans="1:6" x14ac:dyDescent="0.25">
      <c r="A1682">
        <v>18141</v>
      </c>
      <c r="B1682" t="s">
        <v>76</v>
      </c>
      <c r="C1682">
        <v>0</v>
      </c>
      <c r="D1682">
        <v>77.843281263717202</v>
      </c>
      <c r="E1682">
        <v>10.8115668421829</v>
      </c>
      <c r="F1682">
        <v>70</v>
      </c>
    </row>
    <row r="1683" spans="1:6" x14ac:dyDescent="0.25">
      <c r="A1683">
        <v>18141</v>
      </c>
      <c r="B1683" t="s">
        <v>76</v>
      </c>
      <c r="C1683">
        <v>1</v>
      </c>
      <c r="D1683">
        <v>77.966842027627905</v>
      </c>
      <c r="E1683">
        <v>10.8115668421829</v>
      </c>
      <c r="F1683">
        <v>70</v>
      </c>
    </row>
    <row r="1684" spans="1:6" x14ac:dyDescent="0.25">
      <c r="A1684">
        <v>18141</v>
      </c>
      <c r="B1684" t="s">
        <v>76</v>
      </c>
      <c r="C1684">
        <v>2</v>
      </c>
      <c r="D1684">
        <v>75.866309041146593</v>
      </c>
      <c r="E1684">
        <v>10.3173237865403</v>
      </c>
      <c r="F1684">
        <v>70</v>
      </c>
    </row>
    <row r="1685" spans="1:6" x14ac:dyDescent="0.25">
      <c r="A1685">
        <v>18141</v>
      </c>
      <c r="B1685" t="s">
        <v>76</v>
      </c>
      <c r="C1685">
        <v>3</v>
      </c>
      <c r="D1685">
        <v>73.271532999022696</v>
      </c>
      <c r="E1685">
        <v>11.923613717378901</v>
      </c>
      <c r="F1685">
        <v>70</v>
      </c>
    </row>
    <row r="1686" spans="1:6" x14ac:dyDescent="0.25">
      <c r="A1686">
        <v>18141</v>
      </c>
      <c r="B1686" t="s">
        <v>76</v>
      </c>
      <c r="C1686">
        <v>4</v>
      </c>
      <c r="D1686">
        <v>71.603462686228795</v>
      </c>
      <c r="E1686">
        <v>15.7539973986094</v>
      </c>
      <c r="F1686">
        <v>70</v>
      </c>
    </row>
    <row r="1687" spans="1:6" x14ac:dyDescent="0.25">
      <c r="A1687">
        <v>18141</v>
      </c>
      <c r="B1687" t="s">
        <v>76</v>
      </c>
      <c r="C1687">
        <v>5</v>
      </c>
      <c r="D1687">
        <v>67.340616331310898</v>
      </c>
      <c r="E1687">
        <v>18.843016496375999</v>
      </c>
      <c r="F1687">
        <v>70</v>
      </c>
    </row>
    <row r="1688" spans="1:6" x14ac:dyDescent="0.25">
      <c r="A1688">
        <v>18141</v>
      </c>
      <c r="B1688" t="s">
        <v>76</v>
      </c>
      <c r="C1688">
        <v>6</v>
      </c>
      <c r="D1688">
        <v>64.992961817008293</v>
      </c>
      <c r="E1688">
        <v>31.013751741576201</v>
      </c>
      <c r="F1688">
        <v>70</v>
      </c>
    </row>
    <row r="1689" spans="1:6" x14ac:dyDescent="0.25">
      <c r="A1689">
        <v>18141</v>
      </c>
      <c r="B1689" t="s">
        <v>76</v>
      </c>
      <c r="C1689">
        <v>7</v>
      </c>
      <c r="D1689">
        <v>57.0850729267259</v>
      </c>
      <c r="E1689">
        <v>50.0421093838182</v>
      </c>
      <c r="F1689">
        <v>70</v>
      </c>
    </row>
    <row r="1690" spans="1:6" x14ac:dyDescent="0.25">
      <c r="A1690">
        <v>18141</v>
      </c>
      <c r="B1690" t="s">
        <v>76</v>
      </c>
      <c r="C1690">
        <v>8</v>
      </c>
      <c r="D1690">
        <v>48.806501744711603</v>
      </c>
      <c r="E1690">
        <v>48.991842890577601</v>
      </c>
      <c r="F1690">
        <v>70</v>
      </c>
    </row>
    <row r="1691" spans="1:6" x14ac:dyDescent="0.25">
      <c r="A1691">
        <v>18141</v>
      </c>
      <c r="B1691" t="s">
        <v>76</v>
      </c>
      <c r="C1691">
        <v>9</v>
      </c>
      <c r="D1691">
        <v>45.099678827391699</v>
      </c>
      <c r="E1691">
        <v>49.300744800354202</v>
      </c>
      <c r="F1691">
        <v>70</v>
      </c>
    </row>
    <row r="1692" spans="1:6" x14ac:dyDescent="0.25">
      <c r="A1692">
        <v>18141</v>
      </c>
      <c r="B1692" t="s">
        <v>76</v>
      </c>
      <c r="C1692">
        <v>10</v>
      </c>
      <c r="D1692">
        <v>42.504902785267802</v>
      </c>
      <c r="E1692">
        <v>54.243175356780696</v>
      </c>
      <c r="F1692">
        <v>70</v>
      </c>
    </row>
    <row r="1693" spans="1:6" x14ac:dyDescent="0.25">
      <c r="A1693">
        <v>18141</v>
      </c>
      <c r="B1693" t="s">
        <v>76</v>
      </c>
      <c r="C1693">
        <v>11</v>
      </c>
      <c r="D1693">
        <v>38.859860249903299</v>
      </c>
      <c r="E1693">
        <v>52.451544280076099</v>
      </c>
      <c r="F1693">
        <v>70</v>
      </c>
    </row>
    <row r="1694" spans="1:6" x14ac:dyDescent="0.25">
      <c r="A1694">
        <v>18141</v>
      </c>
      <c r="B1694" t="s">
        <v>76</v>
      </c>
      <c r="C1694">
        <v>12</v>
      </c>
      <c r="D1694">
        <v>37.2535703190646</v>
      </c>
      <c r="E1694">
        <v>52.080861988344097</v>
      </c>
      <c r="F1694">
        <v>70</v>
      </c>
    </row>
    <row r="1695" spans="1:6" x14ac:dyDescent="0.25">
      <c r="A1695">
        <v>18141</v>
      </c>
      <c r="B1695" t="s">
        <v>76</v>
      </c>
      <c r="C1695">
        <v>13</v>
      </c>
      <c r="D1695">
        <v>40.157248270965198</v>
      </c>
      <c r="E1695">
        <v>36.079743061913398</v>
      </c>
      <c r="F1695">
        <v>70</v>
      </c>
    </row>
    <row r="1696" spans="1:6" x14ac:dyDescent="0.25">
      <c r="A1696">
        <v>18141</v>
      </c>
      <c r="B1696" t="s">
        <v>76</v>
      </c>
      <c r="C1696">
        <v>14</v>
      </c>
      <c r="D1696">
        <v>43.616949660463803</v>
      </c>
      <c r="E1696">
        <v>26.936246532524301</v>
      </c>
      <c r="F1696">
        <v>70</v>
      </c>
    </row>
    <row r="1697" spans="1:6" x14ac:dyDescent="0.25">
      <c r="A1697">
        <v>18141</v>
      </c>
      <c r="B1697" t="s">
        <v>76</v>
      </c>
      <c r="C1697">
        <v>15</v>
      </c>
      <c r="D1697">
        <v>49.300744800354202</v>
      </c>
      <c r="E1697">
        <v>22.611619795651201</v>
      </c>
      <c r="F1697">
        <v>70</v>
      </c>
    </row>
    <row r="1698" spans="1:6" x14ac:dyDescent="0.25">
      <c r="A1698">
        <v>18141</v>
      </c>
      <c r="B1698" t="s">
        <v>76</v>
      </c>
      <c r="C1698">
        <v>16</v>
      </c>
      <c r="D1698">
        <v>56.776171016949299</v>
      </c>
      <c r="E1698">
        <v>16.124679690341399</v>
      </c>
      <c r="F1698">
        <v>70</v>
      </c>
    </row>
    <row r="1699" spans="1:6" x14ac:dyDescent="0.25">
      <c r="A1699">
        <v>18141</v>
      </c>
      <c r="B1699" t="s">
        <v>76</v>
      </c>
      <c r="C1699">
        <v>17</v>
      </c>
      <c r="D1699">
        <v>64.066256087678397</v>
      </c>
      <c r="E1699">
        <v>13.468123266262101</v>
      </c>
      <c r="F1699">
        <v>70</v>
      </c>
    </row>
    <row r="1700" spans="1:6" x14ac:dyDescent="0.25">
      <c r="A1700">
        <v>18141</v>
      </c>
      <c r="B1700" t="s">
        <v>76</v>
      </c>
      <c r="C1700">
        <v>18</v>
      </c>
      <c r="D1700">
        <v>68.946906262149497</v>
      </c>
      <c r="E1700">
        <v>6.6722812511757601</v>
      </c>
      <c r="F1700">
        <v>70</v>
      </c>
    </row>
    <row r="1701" spans="1:6" x14ac:dyDescent="0.25">
      <c r="A1701">
        <v>18141</v>
      </c>
      <c r="B1701" t="s">
        <v>76</v>
      </c>
      <c r="C1701">
        <v>19</v>
      </c>
      <c r="D1701">
        <v>73.024411471201404</v>
      </c>
      <c r="E1701">
        <v>6.98118316095242</v>
      </c>
      <c r="F1701">
        <v>70</v>
      </c>
    </row>
    <row r="1702" spans="1:6" x14ac:dyDescent="0.25">
      <c r="A1702">
        <v>18141</v>
      </c>
      <c r="B1702" t="s">
        <v>76</v>
      </c>
      <c r="C1702">
        <v>20</v>
      </c>
      <c r="D1702">
        <v>76.422332478744593</v>
      </c>
      <c r="E1702">
        <v>12.541417536932199</v>
      </c>
      <c r="F1702">
        <v>70</v>
      </c>
    </row>
    <row r="1703" spans="1:6" x14ac:dyDescent="0.25">
      <c r="A1703">
        <v>18141</v>
      </c>
      <c r="B1703" t="s">
        <v>76</v>
      </c>
      <c r="C1703">
        <v>21</v>
      </c>
      <c r="D1703">
        <v>77.843281263717202</v>
      </c>
      <c r="E1703">
        <v>13.6534644121281</v>
      </c>
      <c r="F1703">
        <v>70</v>
      </c>
    </row>
    <row r="1704" spans="1:6" x14ac:dyDescent="0.25">
      <c r="A1704">
        <v>18141</v>
      </c>
      <c r="B1704" t="s">
        <v>76</v>
      </c>
      <c r="C1704">
        <v>22</v>
      </c>
      <c r="D1704">
        <v>79.696692722377193</v>
      </c>
      <c r="E1704">
        <v>8.2167908000590408</v>
      </c>
      <c r="F1704">
        <v>70</v>
      </c>
    </row>
    <row r="1705" spans="1:6" x14ac:dyDescent="0.25">
      <c r="A1705">
        <v>18141</v>
      </c>
      <c r="B1705" t="s">
        <v>76</v>
      </c>
      <c r="C1705">
        <v>23</v>
      </c>
      <c r="D1705">
        <v>80.314496541930495</v>
      </c>
      <c r="E1705">
        <v>9.6995199669869905</v>
      </c>
      <c r="F1705">
        <v>70</v>
      </c>
    </row>
    <row r="1706" spans="1:6" x14ac:dyDescent="0.25">
      <c r="A1706">
        <v>18143</v>
      </c>
      <c r="B1706" t="s">
        <v>77</v>
      </c>
      <c r="C1706">
        <v>0</v>
      </c>
      <c r="D1706">
        <v>10.747800967883499</v>
      </c>
      <c r="E1706">
        <v>1.31791216942335</v>
      </c>
      <c r="F1706">
        <v>20</v>
      </c>
    </row>
    <row r="1707" spans="1:6" x14ac:dyDescent="0.25">
      <c r="A1707">
        <v>18143</v>
      </c>
      <c r="B1707" t="s">
        <v>77</v>
      </c>
      <c r="C1707">
        <v>1</v>
      </c>
      <c r="D1707">
        <v>10.8386914623265</v>
      </c>
      <c r="E1707">
        <v>1.09068593331587</v>
      </c>
      <c r="F1707">
        <v>20</v>
      </c>
    </row>
    <row r="1708" spans="1:6" x14ac:dyDescent="0.25">
      <c r="A1708">
        <v>18143</v>
      </c>
      <c r="B1708" t="s">
        <v>77</v>
      </c>
      <c r="C1708">
        <v>2</v>
      </c>
      <c r="D1708">
        <v>10.8614140859372</v>
      </c>
      <c r="E1708">
        <v>1.31791216942335</v>
      </c>
      <c r="F1708">
        <v>20</v>
      </c>
    </row>
    <row r="1709" spans="1:6" x14ac:dyDescent="0.25">
      <c r="A1709">
        <v>18143</v>
      </c>
      <c r="B1709" t="s">
        <v>77</v>
      </c>
      <c r="C1709">
        <v>3</v>
      </c>
      <c r="D1709">
        <v>11.1795308164877</v>
      </c>
      <c r="E1709">
        <v>1.3406347930340901</v>
      </c>
      <c r="F1709">
        <v>20</v>
      </c>
    </row>
    <row r="1710" spans="1:6" x14ac:dyDescent="0.25">
      <c r="A1710">
        <v>18143</v>
      </c>
      <c r="B1710" t="s">
        <v>77</v>
      </c>
      <c r="C1710">
        <v>4</v>
      </c>
      <c r="D1710">
        <v>11.3840344289844</v>
      </c>
      <c r="E1710">
        <v>1.7041967708060499</v>
      </c>
      <c r="F1710">
        <v>20</v>
      </c>
    </row>
    <row r="1711" spans="1:6" x14ac:dyDescent="0.25">
      <c r="A1711">
        <v>18143</v>
      </c>
      <c r="B1711" t="s">
        <v>77</v>
      </c>
      <c r="C1711">
        <v>5</v>
      </c>
      <c r="D1711">
        <v>11.3158665581522</v>
      </c>
      <c r="E1711">
        <v>1.6814741471953001</v>
      </c>
      <c r="F1711">
        <v>20</v>
      </c>
    </row>
    <row r="1712" spans="1:6" x14ac:dyDescent="0.25">
      <c r="A1712">
        <v>18143</v>
      </c>
      <c r="B1712" t="s">
        <v>77</v>
      </c>
      <c r="C1712">
        <v>6</v>
      </c>
      <c r="D1712">
        <v>9.9297865178966198</v>
      </c>
      <c r="E1712">
        <v>1.5451384055308199</v>
      </c>
      <c r="F1712">
        <v>20</v>
      </c>
    </row>
    <row r="1713" spans="1:6" x14ac:dyDescent="0.25">
      <c r="A1713">
        <v>18143</v>
      </c>
      <c r="B1713" t="s">
        <v>77</v>
      </c>
      <c r="C1713">
        <v>7</v>
      </c>
      <c r="D1713">
        <v>7.2712395554391698</v>
      </c>
      <c r="E1713">
        <v>2.4540433499607199</v>
      </c>
      <c r="F1713">
        <v>20</v>
      </c>
    </row>
    <row r="1714" spans="1:6" x14ac:dyDescent="0.25">
      <c r="A1714">
        <v>18143</v>
      </c>
      <c r="B1714" t="s">
        <v>77</v>
      </c>
      <c r="C1714">
        <v>8</v>
      </c>
      <c r="D1714">
        <v>6.20327624573404</v>
      </c>
      <c r="E1714">
        <v>3.22661255272613</v>
      </c>
      <c r="F1714">
        <v>20</v>
      </c>
    </row>
    <row r="1715" spans="1:6" x14ac:dyDescent="0.25">
      <c r="A1715">
        <v>18143</v>
      </c>
      <c r="B1715" t="s">
        <v>77</v>
      </c>
      <c r="C1715">
        <v>9</v>
      </c>
      <c r="D1715">
        <v>4.3400211096527501</v>
      </c>
      <c r="E1715">
        <v>3.2720577999476199</v>
      </c>
      <c r="F1715">
        <v>20</v>
      </c>
    </row>
    <row r="1716" spans="1:6" x14ac:dyDescent="0.25">
      <c r="A1716">
        <v>18143</v>
      </c>
      <c r="B1716" t="s">
        <v>77</v>
      </c>
      <c r="C1716">
        <v>10</v>
      </c>
      <c r="D1716">
        <v>3.4311161652228601</v>
      </c>
      <c r="E1716">
        <v>2.97666369300791</v>
      </c>
      <c r="F1716">
        <v>20</v>
      </c>
    </row>
    <row r="1717" spans="1:6" x14ac:dyDescent="0.25">
      <c r="A1717">
        <v>18143</v>
      </c>
      <c r="B1717" t="s">
        <v>77</v>
      </c>
      <c r="C1717">
        <v>11</v>
      </c>
      <c r="D1717">
        <v>2.81760532773268</v>
      </c>
      <c r="E1717">
        <v>2.88577319856492</v>
      </c>
      <c r="F1717">
        <v>20</v>
      </c>
    </row>
    <row r="1718" spans="1:6" x14ac:dyDescent="0.25">
      <c r="A1718">
        <v>18143</v>
      </c>
      <c r="B1718" t="s">
        <v>77</v>
      </c>
      <c r="C1718">
        <v>12</v>
      </c>
      <c r="D1718">
        <v>3.1811673055046299</v>
      </c>
      <c r="E1718">
        <v>2.2495397374639898</v>
      </c>
      <c r="F1718">
        <v>20</v>
      </c>
    </row>
    <row r="1719" spans="1:6" x14ac:dyDescent="0.25">
      <c r="A1719">
        <v>18143</v>
      </c>
      <c r="B1719" t="s">
        <v>77</v>
      </c>
      <c r="C1719">
        <v>13</v>
      </c>
      <c r="D1719">
        <v>2.9539410693971599</v>
      </c>
      <c r="E1719">
        <v>1.40880266386634</v>
      </c>
      <c r="F1719">
        <v>20</v>
      </c>
    </row>
    <row r="1720" spans="1:6" x14ac:dyDescent="0.25">
      <c r="A1720">
        <v>18143</v>
      </c>
      <c r="B1720" t="s">
        <v>77</v>
      </c>
      <c r="C1720">
        <v>14</v>
      </c>
      <c r="D1720">
        <v>2.4313207263499699</v>
      </c>
      <c r="E1720">
        <v>1.65875152358456</v>
      </c>
      <c r="F1720">
        <v>20</v>
      </c>
    </row>
    <row r="1721" spans="1:6" x14ac:dyDescent="0.25">
      <c r="A1721">
        <v>18143</v>
      </c>
      <c r="B1721" t="s">
        <v>77</v>
      </c>
      <c r="C1721">
        <v>15</v>
      </c>
      <c r="D1721">
        <v>2.4767659735714602</v>
      </c>
      <c r="E1721">
        <v>1.38608004025559</v>
      </c>
      <c r="F1721">
        <v>20</v>
      </c>
    </row>
    <row r="1722" spans="1:6" x14ac:dyDescent="0.25">
      <c r="A1722">
        <v>18143</v>
      </c>
      <c r="B1722" t="s">
        <v>77</v>
      </c>
      <c r="C1722">
        <v>16</v>
      </c>
      <c r="D1722">
        <v>2.72671483328969</v>
      </c>
      <c r="E1722">
        <v>0.65895608471167499</v>
      </c>
      <c r="F1722">
        <v>20</v>
      </c>
    </row>
    <row r="1723" spans="1:6" x14ac:dyDescent="0.25">
      <c r="A1723">
        <v>18143</v>
      </c>
      <c r="B1723" t="s">
        <v>77</v>
      </c>
      <c r="C1723">
        <v>17</v>
      </c>
      <c r="D1723">
        <v>2.9539410693971599</v>
      </c>
      <c r="E1723">
        <v>0.18178098888597899</v>
      </c>
      <c r="F1723">
        <v>20</v>
      </c>
    </row>
    <row r="1724" spans="1:6" x14ac:dyDescent="0.25">
      <c r="A1724">
        <v>18143</v>
      </c>
      <c r="B1724" t="s">
        <v>77</v>
      </c>
      <c r="C1724">
        <v>18</v>
      </c>
      <c r="D1724">
        <v>4.0900722499345301</v>
      </c>
      <c r="E1724">
        <v>0.40900722499345299</v>
      </c>
      <c r="F1724">
        <v>20</v>
      </c>
    </row>
    <row r="1725" spans="1:6" x14ac:dyDescent="0.25">
      <c r="A1725">
        <v>18143</v>
      </c>
      <c r="B1725" t="s">
        <v>77</v>
      </c>
      <c r="C1725">
        <v>19</v>
      </c>
      <c r="D1725">
        <v>6.27144411656628</v>
      </c>
      <c r="E1725">
        <v>0.20450361249672599</v>
      </c>
      <c r="F1725">
        <v>20</v>
      </c>
    </row>
    <row r="1726" spans="1:6" x14ac:dyDescent="0.25">
      <c r="A1726">
        <v>18143</v>
      </c>
      <c r="B1726" t="s">
        <v>77</v>
      </c>
      <c r="C1726">
        <v>20</v>
      </c>
      <c r="D1726">
        <v>8.0892540054260795</v>
      </c>
      <c r="E1726">
        <v>0.31811673055046302</v>
      </c>
      <c r="F1726">
        <v>20</v>
      </c>
    </row>
    <row r="1727" spans="1:6" x14ac:dyDescent="0.25">
      <c r="A1727">
        <v>18143</v>
      </c>
      <c r="B1727" t="s">
        <v>77</v>
      </c>
      <c r="C1727">
        <v>21</v>
      </c>
      <c r="D1727">
        <v>9.3162756804064397</v>
      </c>
      <c r="E1727">
        <v>0.63623346110092704</v>
      </c>
      <c r="F1727">
        <v>20</v>
      </c>
    </row>
    <row r="1728" spans="1:6" x14ac:dyDescent="0.25">
      <c r="A1728">
        <v>18143</v>
      </c>
      <c r="B1728" t="s">
        <v>77</v>
      </c>
      <c r="C1728">
        <v>22</v>
      </c>
      <c r="D1728">
        <v>9.9070638942858693</v>
      </c>
      <c r="E1728">
        <v>1.0452406860943799</v>
      </c>
      <c r="F1728">
        <v>20</v>
      </c>
    </row>
    <row r="1729" spans="1:6" x14ac:dyDescent="0.25">
      <c r="A1729">
        <v>18143</v>
      </c>
      <c r="B1729" t="s">
        <v>77</v>
      </c>
      <c r="C1729">
        <v>23</v>
      </c>
      <c r="D1729">
        <v>10.566019978997501</v>
      </c>
      <c r="E1729">
        <v>1.2951895458125999</v>
      </c>
      <c r="F1729">
        <v>20</v>
      </c>
    </row>
    <row r="1730" spans="1:6" x14ac:dyDescent="0.25">
      <c r="A1730">
        <v>18145</v>
      </c>
      <c r="B1730" t="s">
        <v>78</v>
      </c>
      <c r="C1730">
        <v>0</v>
      </c>
      <c r="D1730">
        <v>153.044151770779</v>
      </c>
      <c r="E1730">
        <v>27.173296419872301</v>
      </c>
      <c r="F1730">
        <v>84</v>
      </c>
    </row>
    <row r="1731" spans="1:6" x14ac:dyDescent="0.25">
      <c r="A1731">
        <v>18145</v>
      </c>
      <c r="B1731" t="s">
        <v>78</v>
      </c>
      <c r="C1731">
        <v>1</v>
      </c>
      <c r="D1731">
        <v>152.15565161536099</v>
      </c>
      <c r="E1731">
        <v>31.615797196963101</v>
      </c>
      <c r="F1731">
        <v>84</v>
      </c>
    </row>
    <row r="1732" spans="1:6" x14ac:dyDescent="0.25">
      <c r="A1732">
        <v>18145</v>
      </c>
      <c r="B1732" t="s">
        <v>78</v>
      </c>
      <c r="C1732">
        <v>2</v>
      </c>
      <c r="D1732">
        <v>147.19485908094299</v>
      </c>
      <c r="E1732">
        <v>32.356213993144898</v>
      </c>
      <c r="F1732">
        <v>84</v>
      </c>
    </row>
    <row r="1733" spans="1:6" x14ac:dyDescent="0.25">
      <c r="A1733">
        <v>18145</v>
      </c>
      <c r="B1733" t="s">
        <v>78</v>
      </c>
      <c r="C1733">
        <v>3</v>
      </c>
      <c r="D1733">
        <v>142.900441663088</v>
      </c>
      <c r="E1733">
        <v>31.245588798872198</v>
      </c>
      <c r="F1733">
        <v>84</v>
      </c>
    </row>
    <row r="1734" spans="1:6" x14ac:dyDescent="0.25">
      <c r="A1734">
        <v>18145</v>
      </c>
      <c r="B1734" t="s">
        <v>78</v>
      </c>
      <c r="C1734">
        <v>4</v>
      </c>
      <c r="D1734">
        <v>134.68181522546999</v>
      </c>
      <c r="E1734">
        <v>33.244714148563098</v>
      </c>
      <c r="F1734">
        <v>84</v>
      </c>
    </row>
    <row r="1735" spans="1:6" x14ac:dyDescent="0.25">
      <c r="A1735">
        <v>18145</v>
      </c>
      <c r="B1735" t="s">
        <v>78</v>
      </c>
      <c r="C1735">
        <v>5</v>
      </c>
      <c r="D1735">
        <v>126.685313826707</v>
      </c>
      <c r="E1735">
        <v>39.316131877253902</v>
      </c>
      <c r="F1735">
        <v>84</v>
      </c>
    </row>
    <row r="1736" spans="1:6" x14ac:dyDescent="0.25">
      <c r="A1736">
        <v>18145</v>
      </c>
      <c r="B1736" t="s">
        <v>78</v>
      </c>
      <c r="C1736">
        <v>6</v>
      </c>
      <c r="D1736">
        <v>120.243687699925</v>
      </c>
      <c r="E1736">
        <v>40.945048828853899</v>
      </c>
      <c r="F1736">
        <v>84</v>
      </c>
    </row>
    <row r="1737" spans="1:6" x14ac:dyDescent="0.25">
      <c r="A1737">
        <v>18145</v>
      </c>
      <c r="B1737" t="s">
        <v>78</v>
      </c>
      <c r="C1737">
        <v>7</v>
      </c>
      <c r="D1737">
        <v>116.24543700054301</v>
      </c>
      <c r="E1737">
        <v>33.022589109708498</v>
      </c>
      <c r="F1737">
        <v>84</v>
      </c>
    </row>
    <row r="1738" spans="1:6" x14ac:dyDescent="0.25">
      <c r="A1738">
        <v>18145</v>
      </c>
      <c r="B1738" t="s">
        <v>78</v>
      </c>
      <c r="C1738">
        <v>8</v>
      </c>
      <c r="D1738">
        <v>106.842143689034</v>
      </c>
      <c r="E1738">
        <v>22.212503885454101</v>
      </c>
      <c r="F1738">
        <v>84</v>
      </c>
    </row>
    <row r="1739" spans="1:6" x14ac:dyDescent="0.25">
      <c r="A1739">
        <v>18145</v>
      </c>
      <c r="B1739" t="s">
        <v>78</v>
      </c>
      <c r="C1739">
        <v>9</v>
      </c>
      <c r="D1739">
        <v>100.770725960343</v>
      </c>
      <c r="E1739">
        <v>15.3266276809633</v>
      </c>
      <c r="F1739">
        <v>84</v>
      </c>
    </row>
    <row r="1740" spans="1:6" x14ac:dyDescent="0.25">
      <c r="A1740">
        <v>18145</v>
      </c>
      <c r="B1740" t="s">
        <v>78</v>
      </c>
      <c r="C1740">
        <v>10</v>
      </c>
      <c r="D1740">
        <v>99.363934047598406</v>
      </c>
      <c r="E1740">
        <v>11.698585379672499</v>
      </c>
      <c r="F1740">
        <v>84</v>
      </c>
    </row>
    <row r="1741" spans="1:6" x14ac:dyDescent="0.25">
      <c r="A1741">
        <v>18145</v>
      </c>
      <c r="B1741" t="s">
        <v>78</v>
      </c>
      <c r="C1741">
        <v>11</v>
      </c>
      <c r="D1741">
        <v>99.363934047598406</v>
      </c>
      <c r="E1741">
        <v>9.1811682726543999</v>
      </c>
      <c r="F1741">
        <v>84</v>
      </c>
    </row>
    <row r="1742" spans="1:6" x14ac:dyDescent="0.25">
      <c r="A1742">
        <v>18145</v>
      </c>
      <c r="B1742" t="s">
        <v>78</v>
      </c>
      <c r="C1742">
        <v>12</v>
      </c>
      <c r="D1742">
        <v>102.91793466927101</v>
      </c>
      <c r="E1742">
        <v>8.8109598745634994</v>
      </c>
      <c r="F1742">
        <v>84</v>
      </c>
    </row>
    <row r="1743" spans="1:6" x14ac:dyDescent="0.25">
      <c r="A1743">
        <v>18145</v>
      </c>
      <c r="B1743" t="s">
        <v>78</v>
      </c>
      <c r="C1743">
        <v>13</v>
      </c>
      <c r="D1743">
        <v>106.24981025208901</v>
      </c>
      <c r="E1743">
        <v>7.6262930006726002</v>
      </c>
      <c r="F1743">
        <v>84</v>
      </c>
    </row>
    <row r="1744" spans="1:6" x14ac:dyDescent="0.25">
      <c r="A1744">
        <v>18145</v>
      </c>
      <c r="B1744" t="s">
        <v>78</v>
      </c>
      <c r="C1744">
        <v>14</v>
      </c>
      <c r="D1744">
        <v>112.987603097343</v>
      </c>
      <c r="E1744">
        <v>6.2195010879271697</v>
      </c>
      <c r="F1744">
        <v>84</v>
      </c>
    </row>
    <row r="1745" spans="1:6" x14ac:dyDescent="0.25">
      <c r="A1745">
        <v>18145</v>
      </c>
      <c r="B1745" t="s">
        <v>78</v>
      </c>
      <c r="C1745">
        <v>15</v>
      </c>
      <c r="D1745">
        <v>124.76023015663399</v>
      </c>
      <c r="E1745">
        <v>4.36845909747265</v>
      </c>
      <c r="F1745">
        <v>84</v>
      </c>
    </row>
    <row r="1746" spans="1:6" x14ac:dyDescent="0.25">
      <c r="A1746">
        <v>18145</v>
      </c>
      <c r="B1746" t="s">
        <v>78</v>
      </c>
      <c r="C1746">
        <v>16</v>
      </c>
      <c r="D1746">
        <v>130.97973124456101</v>
      </c>
      <c r="E1746">
        <v>3.4799589420544899</v>
      </c>
      <c r="F1746">
        <v>84</v>
      </c>
    </row>
    <row r="1747" spans="1:6" x14ac:dyDescent="0.25">
      <c r="A1747">
        <v>18145</v>
      </c>
      <c r="B1747" t="s">
        <v>78</v>
      </c>
      <c r="C1747">
        <v>17</v>
      </c>
      <c r="D1747">
        <v>138.75410760446999</v>
      </c>
      <c r="E1747">
        <v>3.10975054396358</v>
      </c>
      <c r="F1747">
        <v>84</v>
      </c>
    </row>
    <row r="1748" spans="1:6" x14ac:dyDescent="0.25">
      <c r="A1748">
        <v>18145</v>
      </c>
      <c r="B1748" t="s">
        <v>78</v>
      </c>
      <c r="C1748">
        <v>18</v>
      </c>
      <c r="D1748">
        <v>145.71402548857901</v>
      </c>
      <c r="E1748">
        <v>3.70208398090903</v>
      </c>
      <c r="F1748">
        <v>84</v>
      </c>
    </row>
    <row r="1749" spans="1:6" x14ac:dyDescent="0.25">
      <c r="A1749">
        <v>18145</v>
      </c>
      <c r="B1749" t="s">
        <v>78</v>
      </c>
      <c r="C1749">
        <v>19</v>
      </c>
      <c r="D1749">
        <v>153.118193450397</v>
      </c>
      <c r="E1749">
        <v>5.7012093305999096</v>
      </c>
      <c r="F1749">
        <v>84</v>
      </c>
    </row>
    <row r="1750" spans="1:6" x14ac:dyDescent="0.25">
      <c r="A1750">
        <v>18145</v>
      </c>
      <c r="B1750" t="s">
        <v>78</v>
      </c>
      <c r="C1750">
        <v>20</v>
      </c>
      <c r="D1750">
        <v>154.895193761233</v>
      </c>
      <c r="E1750">
        <v>7.8484180395271403</v>
      </c>
      <c r="F1750">
        <v>84</v>
      </c>
    </row>
    <row r="1751" spans="1:6" x14ac:dyDescent="0.25">
      <c r="A1751">
        <v>18145</v>
      </c>
      <c r="B1751" t="s">
        <v>78</v>
      </c>
      <c r="C1751">
        <v>21</v>
      </c>
      <c r="D1751">
        <v>154.59902704276101</v>
      </c>
      <c r="E1751">
        <v>12.809210573945199</v>
      </c>
      <c r="F1751">
        <v>84</v>
      </c>
    </row>
    <row r="1752" spans="1:6" x14ac:dyDescent="0.25">
      <c r="A1752">
        <v>18145</v>
      </c>
      <c r="B1752" t="s">
        <v>78</v>
      </c>
      <c r="C1752">
        <v>22</v>
      </c>
      <c r="D1752">
        <v>156.227943994361</v>
      </c>
      <c r="E1752">
        <v>17.325753030654202</v>
      </c>
      <c r="F1752">
        <v>84</v>
      </c>
    </row>
    <row r="1753" spans="1:6" x14ac:dyDescent="0.25">
      <c r="A1753">
        <v>18145</v>
      </c>
      <c r="B1753" t="s">
        <v>78</v>
      </c>
      <c r="C1753">
        <v>23</v>
      </c>
      <c r="D1753">
        <v>155.85773559627</v>
      </c>
      <c r="E1753">
        <v>21.175920370799599</v>
      </c>
      <c r="F1753">
        <v>84</v>
      </c>
    </row>
    <row r="1754" spans="1:6" x14ac:dyDescent="0.25">
      <c r="A1754">
        <v>18147</v>
      </c>
      <c r="B1754" t="s">
        <v>79</v>
      </c>
      <c r="C1754">
        <v>0</v>
      </c>
      <c r="D1754">
        <v>10.809398272860101</v>
      </c>
      <c r="E1754">
        <v>11.8994216281065</v>
      </c>
      <c r="F1754">
        <v>14</v>
      </c>
    </row>
    <row r="1755" spans="1:6" x14ac:dyDescent="0.25">
      <c r="A1755">
        <v>18147</v>
      </c>
      <c r="B1755" t="s">
        <v>79</v>
      </c>
      <c r="C1755">
        <v>1</v>
      </c>
      <c r="D1755">
        <v>10.355221874840799</v>
      </c>
      <c r="E1755">
        <v>12.262762746522</v>
      </c>
      <c r="F1755">
        <v>14</v>
      </c>
    </row>
    <row r="1756" spans="1:6" x14ac:dyDescent="0.25">
      <c r="A1756">
        <v>18147</v>
      </c>
      <c r="B1756" t="s">
        <v>79</v>
      </c>
      <c r="C1756">
        <v>2</v>
      </c>
      <c r="D1756">
        <v>10.355221874840799</v>
      </c>
      <c r="E1756">
        <v>12.4898509455316</v>
      </c>
      <c r="F1756">
        <v>14</v>
      </c>
    </row>
    <row r="1757" spans="1:6" x14ac:dyDescent="0.25">
      <c r="A1757">
        <v>18147</v>
      </c>
      <c r="B1757" t="s">
        <v>79</v>
      </c>
      <c r="C1757">
        <v>3</v>
      </c>
      <c r="D1757">
        <v>10.718562993256199</v>
      </c>
      <c r="E1757">
        <v>13.579874300778</v>
      </c>
      <c r="F1757">
        <v>14</v>
      </c>
    </row>
    <row r="1758" spans="1:6" x14ac:dyDescent="0.25">
      <c r="A1758">
        <v>18147</v>
      </c>
      <c r="B1758" t="s">
        <v>79</v>
      </c>
      <c r="C1758">
        <v>4</v>
      </c>
      <c r="D1758">
        <v>10.355221874840799</v>
      </c>
      <c r="E1758">
        <v>15.8053386510728</v>
      </c>
      <c r="F1758">
        <v>14</v>
      </c>
    </row>
    <row r="1759" spans="1:6" x14ac:dyDescent="0.25">
      <c r="A1759">
        <v>18147</v>
      </c>
      <c r="B1759" t="s">
        <v>79</v>
      </c>
      <c r="C1759">
        <v>5</v>
      </c>
      <c r="D1759">
        <v>10.6277277136524</v>
      </c>
      <c r="E1759">
        <v>16.622856167507599</v>
      </c>
      <c r="F1759">
        <v>14</v>
      </c>
    </row>
    <row r="1760" spans="1:6" x14ac:dyDescent="0.25">
      <c r="A1760">
        <v>18147</v>
      </c>
      <c r="B1760" t="s">
        <v>79</v>
      </c>
      <c r="C1760">
        <v>6</v>
      </c>
      <c r="D1760">
        <v>10.082716036029201</v>
      </c>
      <c r="E1760">
        <v>17.939967721763701</v>
      </c>
      <c r="F1760">
        <v>14</v>
      </c>
    </row>
    <row r="1761" spans="1:6" x14ac:dyDescent="0.25">
      <c r="A1761">
        <v>18147</v>
      </c>
      <c r="B1761" t="s">
        <v>79</v>
      </c>
      <c r="C1761">
        <v>7</v>
      </c>
      <c r="D1761">
        <v>9.3560337991982792</v>
      </c>
      <c r="E1761">
        <v>18.212473560575301</v>
      </c>
      <c r="F1761">
        <v>14</v>
      </c>
    </row>
    <row r="1762" spans="1:6" x14ac:dyDescent="0.25">
      <c r="A1762">
        <v>18147</v>
      </c>
      <c r="B1762" t="s">
        <v>79</v>
      </c>
      <c r="C1762">
        <v>8</v>
      </c>
      <c r="D1762">
        <v>6.9488988896958102</v>
      </c>
      <c r="E1762">
        <v>15.4419975326573</v>
      </c>
      <c r="F1762">
        <v>14</v>
      </c>
    </row>
    <row r="1763" spans="1:6" x14ac:dyDescent="0.25">
      <c r="A1763">
        <v>18147</v>
      </c>
      <c r="B1763" t="s">
        <v>79</v>
      </c>
      <c r="C1763">
        <v>9</v>
      </c>
      <c r="D1763">
        <v>5.9497108140532697</v>
      </c>
      <c r="E1763">
        <v>13.261950822164501</v>
      </c>
      <c r="F1763">
        <v>14</v>
      </c>
    </row>
    <row r="1764" spans="1:6" x14ac:dyDescent="0.25">
      <c r="A1764">
        <v>18147</v>
      </c>
      <c r="B1764" t="s">
        <v>79</v>
      </c>
      <c r="C1764">
        <v>10</v>
      </c>
      <c r="D1764">
        <v>7.0397341692996802</v>
      </c>
      <c r="E1764">
        <v>9.6285396380098796</v>
      </c>
      <c r="F1764">
        <v>14</v>
      </c>
    </row>
    <row r="1765" spans="1:6" x14ac:dyDescent="0.25">
      <c r="A1765">
        <v>18147</v>
      </c>
      <c r="B1765" t="s">
        <v>79</v>
      </c>
      <c r="C1765">
        <v>11</v>
      </c>
      <c r="D1765">
        <v>8.3114280837538104</v>
      </c>
      <c r="E1765">
        <v>7.1759870887054804</v>
      </c>
      <c r="F1765">
        <v>14</v>
      </c>
    </row>
    <row r="1766" spans="1:6" x14ac:dyDescent="0.25">
      <c r="A1766">
        <v>18147</v>
      </c>
      <c r="B1766" t="s">
        <v>79</v>
      </c>
      <c r="C1766">
        <v>12</v>
      </c>
      <c r="D1766">
        <v>7.8572516857344796</v>
      </c>
      <c r="E1766">
        <v>4.2238405015798</v>
      </c>
      <c r="F1766">
        <v>14</v>
      </c>
    </row>
    <row r="1767" spans="1:6" x14ac:dyDescent="0.25">
      <c r="A1767">
        <v>18147</v>
      </c>
      <c r="B1767" t="s">
        <v>79</v>
      </c>
      <c r="C1767">
        <v>13</v>
      </c>
      <c r="D1767">
        <v>9.4468690788021501</v>
      </c>
      <c r="E1767">
        <v>3.72424646375854</v>
      </c>
      <c r="F1767">
        <v>14</v>
      </c>
    </row>
    <row r="1768" spans="1:6" x14ac:dyDescent="0.25">
      <c r="A1768">
        <v>18147</v>
      </c>
      <c r="B1768" t="s">
        <v>79</v>
      </c>
      <c r="C1768">
        <v>14</v>
      </c>
      <c r="D1768">
        <v>8.3114280837538104</v>
      </c>
      <c r="E1768">
        <v>3.08839950653147</v>
      </c>
      <c r="F1768">
        <v>14</v>
      </c>
    </row>
    <row r="1769" spans="1:6" x14ac:dyDescent="0.25">
      <c r="A1769">
        <v>18147</v>
      </c>
      <c r="B1769" t="s">
        <v>79</v>
      </c>
      <c r="C1769">
        <v>15</v>
      </c>
      <c r="D1769">
        <v>6.90348124989388</v>
      </c>
      <c r="E1769">
        <v>3.9059170229662699</v>
      </c>
      <c r="F1769">
        <v>14</v>
      </c>
    </row>
    <row r="1770" spans="1:6" x14ac:dyDescent="0.25">
      <c r="A1770">
        <v>18147</v>
      </c>
      <c r="B1770" t="s">
        <v>79</v>
      </c>
      <c r="C1770">
        <v>16</v>
      </c>
      <c r="D1770">
        <v>6.7218106906861399</v>
      </c>
      <c r="E1770">
        <v>3.1338171463334001</v>
      </c>
      <c r="F1770">
        <v>14</v>
      </c>
    </row>
    <row r="1771" spans="1:6" x14ac:dyDescent="0.25">
      <c r="A1771">
        <v>18147</v>
      </c>
      <c r="B1771" t="s">
        <v>79</v>
      </c>
      <c r="C1771">
        <v>17</v>
      </c>
      <c r="D1771">
        <v>6.6309754110822796</v>
      </c>
      <c r="E1771">
        <v>2.4525525493044</v>
      </c>
      <c r="F1771">
        <v>14</v>
      </c>
    </row>
    <row r="1772" spans="1:6" x14ac:dyDescent="0.25">
      <c r="A1772">
        <v>18147</v>
      </c>
      <c r="B1772" t="s">
        <v>79</v>
      </c>
      <c r="C1772">
        <v>18</v>
      </c>
      <c r="D1772">
        <v>6.9943165294977403</v>
      </c>
      <c r="E1772">
        <v>3.72424646375854</v>
      </c>
      <c r="F1772">
        <v>14</v>
      </c>
    </row>
    <row r="1773" spans="1:6" x14ac:dyDescent="0.25">
      <c r="A1773">
        <v>18147</v>
      </c>
      <c r="B1773" t="s">
        <v>79</v>
      </c>
      <c r="C1773">
        <v>19</v>
      </c>
      <c r="D1773">
        <v>8.5839339225654108</v>
      </c>
      <c r="E1773">
        <v>5.1321932976184703</v>
      </c>
      <c r="F1773">
        <v>14</v>
      </c>
    </row>
    <row r="1774" spans="1:6" x14ac:dyDescent="0.25">
      <c r="A1774">
        <v>18147</v>
      </c>
      <c r="B1774" t="s">
        <v>79</v>
      </c>
      <c r="C1774">
        <v>20</v>
      </c>
      <c r="D1774">
        <v>9.4014514390002102</v>
      </c>
      <c r="E1774">
        <v>7.0397341692996802</v>
      </c>
      <c r="F1774">
        <v>14</v>
      </c>
    </row>
    <row r="1775" spans="1:6" x14ac:dyDescent="0.25">
      <c r="A1775">
        <v>18147</v>
      </c>
      <c r="B1775" t="s">
        <v>79</v>
      </c>
      <c r="C1775">
        <v>21</v>
      </c>
      <c r="D1775">
        <v>9.8556278370195507</v>
      </c>
      <c r="E1775">
        <v>8.3568457235557503</v>
      </c>
      <c r="F1775">
        <v>14</v>
      </c>
    </row>
    <row r="1776" spans="1:6" x14ac:dyDescent="0.25">
      <c r="A1776">
        <v>18147</v>
      </c>
      <c r="B1776" t="s">
        <v>79</v>
      </c>
      <c r="C1776">
        <v>22</v>
      </c>
      <c r="D1776">
        <v>10.854815912662</v>
      </c>
      <c r="E1776">
        <v>9.26519851959441</v>
      </c>
      <c r="F1776">
        <v>14</v>
      </c>
    </row>
    <row r="1777" spans="1:6" x14ac:dyDescent="0.25">
      <c r="A1777">
        <v>18147</v>
      </c>
      <c r="B1777" t="s">
        <v>79</v>
      </c>
      <c r="C1777">
        <v>23</v>
      </c>
      <c r="D1777">
        <v>11.1273217514736</v>
      </c>
      <c r="E1777">
        <v>10.7639806330582</v>
      </c>
      <c r="F1777">
        <v>14</v>
      </c>
    </row>
    <row r="1778" spans="1:6" x14ac:dyDescent="0.25">
      <c r="A1778">
        <v>18149</v>
      </c>
      <c r="B1778" t="s">
        <v>80</v>
      </c>
      <c r="C1778">
        <v>0</v>
      </c>
      <c r="D1778">
        <v>93.376729694818195</v>
      </c>
      <c r="E1778">
        <v>0</v>
      </c>
      <c r="F1778">
        <v>65</v>
      </c>
    </row>
    <row r="1779" spans="1:6" x14ac:dyDescent="0.25">
      <c r="A1779">
        <v>18149</v>
      </c>
      <c r="B1779" t="s">
        <v>80</v>
      </c>
      <c r="C1779">
        <v>1</v>
      </c>
      <c r="D1779">
        <v>93.220319762331101</v>
      </c>
      <c r="E1779">
        <v>0</v>
      </c>
      <c r="F1779">
        <v>65</v>
      </c>
    </row>
    <row r="1780" spans="1:6" x14ac:dyDescent="0.25">
      <c r="A1780">
        <v>18149</v>
      </c>
      <c r="B1780" t="s">
        <v>80</v>
      </c>
      <c r="C1780">
        <v>2</v>
      </c>
      <c r="D1780">
        <v>91.812630369946902</v>
      </c>
      <c r="E1780">
        <v>0</v>
      </c>
      <c r="F1780">
        <v>65</v>
      </c>
    </row>
    <row r="1781" spans="1:6" x14ac:dyDescent="0.25">
      <c r="A1781">
        <v>18149</v>
      </c>
      <c r="B1781" t="s">
        <v>80</v>
      </c>
      <c r="C1781">
        <v>3</v>
      </c>
      <c r="D1781">
        <v>89.231866483909201</v>
      </c>
      <c r="E1781">
        <v>0</v>
      </c>
      <c r="F1781">
        <v>65</v>
      </c>
    </row>
    <row r="1782" spans="1:6" x14ac:dyDescent="0.25">
      <c r="A1782">
        <v>18149</v>
      </c>
      <c r="B1782" t="s">
        <v>80</v>
      </c>
      <c r="C1782">
        <v>4</v>
      </c>
      <c r="D1782">
        <v>88.37161185523</v>
      </c>
      <c r="E1782">
        <v>0</v>
      </c>
      <c r="F1782">
        <v>65</v>
      </c>
    </row>
    <row r="1783" spans="1:6" x14ac:dyDescent="0.25">
      <c r="A1783">
        <v>18149</v>
      </c>
      <c r="B1783" t="s">
        <v>80</v>
      </c>
      <c r="C1783">
        <v>5</v>
      </c>
      <c r="D1783">
        <v>80.472910264629704</v>
      </c>
      <c r="E1783">
        <v>0</v>
      </c>
      <c r="F1783">
        <v>65</v>
      </c>
    </row>
    <row r="1784" spans="1:6" x14ac:dyDescent="0.25">
      <c r="A1784">
        <v>18149</v>
      </c>
      <c r="B1784" t="s">
        <v>80</v>
      </c>
      <c r="C1784">
        <v>6</v>
      </c>
      <c r="D1784">
        <v>58.731929648918303</v>
      </c>
      <c r="E1784">
        <v>0.31281986497426501</v>
      </c>
      <c r="F1784">
        <v>65</v>
      </c>
    </row>
    <row r="1785" spans="1:6" x14ac:dyDescent="0.25">
      <c r="A1785">
        <v>18149</v>
      </c>
      <c r="B1785" t="s">
        <v>80</v>
      </c>
      <c r="C1785">
        <v>7</v>
      </c>
      <c r="D1785">
        <v>40.275557615436597</v>
      </c>
      <c r="E1785">
        <v>1.7987142236020199</v>
      </c>
      <c r="F1785">
        <v>65</v>
      </c>
    </row>
    <row r="1786" spans="1:6" x14ac:dyDescent="0.25">
      <c r="A1786">
        <v>18149</v>
      </c>
      <c r="B1786" t="s">
        <v>80</v>
      </c>
      <c r="C1786">
        <v>8</v>
      </c>
      <c r="D1786">
        <v>28.6230176451452</v>
      </c>
      <c r="E1786">
        <v>2.7371738185248198</v>
      </c>
      <c r="F1786">
        <v>65</v>
      </c>
    </row>
    <row r="1787" spans="1:6" x14ac:dyDescent="0.25">
      <c r="A1787">
        <v>18149</v>
      </c>
      <c r="B1787" t="s">
        <v>80</v>
      </c>
      <c r="C1787">
        <v>9</v>
      </c>
      <c r="D1787">
        <v>19.3166266621608</v>
      </c>
      <c r="E1787">
        <v>3.0499936834990802</v>
      </c>
      <c r="F1787">
        <v>65</v>
      </c>
    </row>
    <row r="1788" spans="1:6" x14ac:dyDescent="0.25">
      <c r="A1788">
        <v>18149</v>
      </c>
      <c r="B1788" t="s">
        <v>80</v>
      </c>
      <c r="C1788">
        <v>10</v>
      </c>
      <c r="D1788">
        <v>17.987142236020201</v>
      </c>
      <c r="E1788">
        <v>3.1281986497426502</v>
      </c>
      <c r="F1788">
        <v>65</v>
      </c>
    </row>
    <row r="1789" spans="1:6" x14ac:dyDescent="0.25">
      <c r="A1789">
        <v>18149</v>
      </c>
      <c r="B1789" t="s">
        <v>80</v>
      </c>
      <c r="C1789">
        <v>11</v>
      </c>
      <c r="D1789">
        <v>15.328173383738999</v>
      </c>
      <c r="E1789">
        <v>1.7987142236020199</v>
      </c>
      <c r="F1789">
        <v>65</v>
      </c>
    </row>
    <row r="1790" spans="1:6" x14ac:dyDescent="0.25">
      <c r="A1790">
        <v>18149</v>
      </c>
      <c r="B1790" t="s">
        <v>80</v>
      </c>
      <c r="C1790">
        <v>12</v>
      </c>
      <c r="D1790">
        <v>14.3115088225726</v>
      </c>
      <c r="E1790">
        <v>0.86025462867922997</v>
      </c>
      <c r="F1790">
        <v>65</v>
      </c>
    </row>
    <row r="1791" spans="1:6" x14ac:dyDescent="0.25">
      <c r="A1791">
        <v>18149</v>
      </c>
      <c r="B1791" t="s">
        <v>80</v>
      </c>
      <c r="C1791">
        <v>13</v>
      </c>
      <c r="D1791">
        <v>15.719198214956799</v>
      </c>
      <c r="E1791">
        <v>0.703844696192097</v>
      </c>
      <c r="F1791">
        <v>65</v>
      </c>
    </row>
    <row r="1792" spans="1:6" x14ac:dyDescent="0.25">
      <c r="A1792">
        <v>18149</v>
      </c>
      <c r="B1792" t="s">
        <v>80</v>
      </c>
      <c r="C1792">
        <v>14</v>
      </c>
      <c r="D1792">
        <v>20.724316054545</v>
      </c>
      <c r="E1792">
        <v>0.31281986497426501</v>
      </c>
      <c r="F1792">
        <v>65</v>
      </c>
    </row>
    <row r="1793" spans="1:6" x14ac:dyDescent="0.25">
      <c r="A1793">
        <v>18149</v>
      </c>
      <c r="B1793" t="s">
        <v>80</v>
      </c>
      <c r="C1793">
        <v>15</v>
      </c>
      <c r="D1793">
        <v>26.824303421543199</v>
      </c>
      <c r="E1793">
        <v>0</v>
      </c>
      <c r="F1793">
        <v>65</v>
      </c>
    </row>
    <row r="1794" spans="1:6" x14ac:dyDescent="0.25">
      <c r="A1794">
        <v>18149</v>
      </c>
      <c r="B1794" t="s">
        <v>80</v>
      </c>
      <c r="C1794">
        <v>16</v>
      </c>
      <c r="D1794">
        <v>32.846085822297802</v>
      </c>
      <c r="E1794">
        <v>0.23461489873069899</v>
      </c>
      <c r="F1794">
        <v>65</v>
      </c>
    </row>
    <row r="1795" spans="1:6" x14ac:dyDescent="0.25">
      <c r="A1795">
        <v>18149</v>
      </c>
      <c r="B1795" t="s">
        <v>80</v>
      </c>
      <c r="C1795">
        <v>17</v>
      </c>
      <c r="D1795">
        <v>40.119147682949503</v>
      </c>
      <c r="E1795">
        <v>0.156409932487132</v>
      </c>
      <c r="F1795">
        <v>65</v>
      </c>
    </row>
    <row r="1796" spans="1:6" x14ac:dyDescent="0.25">
      <c r="A1796">
        <v>18149</v>
      </c>
      <c r="B1796" t="s">
        <v>80</v>
      </c>
      <c r="C1796">
        <v>18</v>
      </c>
      <c r="D1796">
        <v>48.487079071011102</v>
      </c>
      <c r="E1796">
        <v>0.156409932487132</v>
      </c>
      <c r="F1796">
        <v>65</v>
      </c>
    </row>
    <row r="1797" spans="1:6" x14ac:dyDescent="0.25">
      <c r="A1797">
        <v>18149</v>
      </c>
      <c r="B1797" t="s">
        <v>80</v>
      </c>
      <c r="C1797">
        <v>19</v>
      </c>
      <c r="D1797">
        <v>63.815252454750102</v>
      </c>
      <c r="E1797">
        <v>0</v>
      </c>
      <c r="F1797">
        <v>65</v>
      </c>
    </row>
    <row r="1798" spans="1:6" x14ac:dyDescent="0.25">
      <c r="A1798">
        <v>18149</v>
      </c>
      <c r="B1798" t="s">
        <v>80</v>
      </c>
      <c r="C1798">
        <v>20</v>
      </c>
      <c r="D1798">
        <v>74.138307998900899</v>
      </c>
      <c r="E1798">
        <v>0</v>
      </c>
      <c r="F1798">
        <v>65</v>
      </c>
    </row>
    <row r="1799" spans="1:6" x14ac:dyDescent="0.25">
      <c r="A1799">
        <v>18149</v>
      </c>
      <c r="B1799" t="s">
        <v>80</v>
      </c>
      <c r="C1799">
        <v>21</v>
      </c>
      <c r="D1799">
        <v>81.958804623257507</v>
      </c>
      <c r="E1799">
        <v>0</v>
      </c>
      <c r="F1799">
        <v>65</v>
      </c>
    </row>
    <row r="1800" spans="1:6" x14ac:dyDescent="0.25">
      <c r="A1800">
        <v>18149</v>
      </c>
      <c r="B1800" t="s">
        <v>80</v>
      </c>
      <c r="C1800">
        <v>22</v>
      </c>
      <c r="D1800">
        <v>86.885717496602197</v>
      </c>
      <c r="E1800">
        <v>0</v>
      </c>
      <c r="F1800">
        <v>65</v>
      </c>
    </row>
    <row r="1801" spans="1:6" x14ac:dyDescent="0.25">
      <c r="A1801">
        <v>18149</v>
      </c>
      <c r="B1801" t="s">
        <v>80</v>
      </c>
      <c r="C1801">
        <v>23</v>
      </c>
      <c r="D1801">
        <v>91.578015471216204</v>
      </c>
      <c r="E1801">
        <v>0</v>
      </c>
      <c r="F1801">
        <v>65</v>
      </c>
    </row>
    <row r="1802" spans="1:6" x14ac:dyDescent="0.25">
      <c r="A1802">
        <v>18151</v>
      </c>
      <c r="B1802" t="s">
        <v>81</v>
      </c>
      <c r="C1802">
        <v>0</v>
      </c>
      <c r="D1802">
        <v>434.191472956317</v>
      </c>
      <c r="E1802">
        <v>17.860535006229401</v>
      </c>
      <c r="F1802">
        <v>640</v>
      </c>
    </row>
    <row r="1803" spans="1:6" x14ac:dyDescent="0.25">
      <c r="A1803">
        <v>18151</v>
      </c>
      <c r="B1803" t="s">
        <v>81</v>
      </c>
      <c r="C1803">
        <v>1</v>
      </c>
      <c r="D1803">
        <v>433.69361832199701</v>
      </c>
      <c r="E1803">
        <v>19.1051715920294</v>
      </c>
      <c r="F1803">
        <v>640</v>
      </c>
    </row>
    <row r="1804" spans="1:6" x14ac:dyDescent="0.25">
      <c r="A1804">
        <v>18151</v>
      </c>
      <c r="B1804" t="s">
        <v>81</v>
      </c>
      <c r="C1804">
        <v>2</v>
      </c>
      <c r="D1804">
        <v>430.582026857497</v>
      </c>
      <c r="E1804">
        <v>21.532212934339299</v>
      </c>
      <c r="F1804">
        <v>640</v>
      </c>
    </row>
    <row r="1805" spans="1:6" x14ac:dyDescent="0.25">
      <c r="A1805">
        <v>18151</v>
      </c>
      <c r="B1805" t="s">
        <v>81</v>
      </c>
      <c r="C1805">
        <v>3</v>
      </c>
      <c r="D1805">
        <v>423.79875746488801</v>
      </c>
      <c r="E1805">
        <v>22.216763056529299</v>
      </c>
      <c r="F1805">
        <v>640</v>
      </c>
    </row>
    <row r="1806" spans="1:6" x14ac:dyDescent="0.25">
      <c r="A1806">
        <v>18151</v>
      </c>
      <c r="B1806" t="s">
        <v>81</v>
      </c>
      <c r="C1806">
        <v>4</v>
      </c>
      <c r="D1806">
        <v>410.66784148469799</v>
      </c>
      <c r="E1806">
        <v>20.9721264707294</v>
      </c>
      <c r="F1806">
        <v>640</v>
      </c>
    </row>
    <row r="1807" spans="1:6" x14ac:dyDescent="0.25">
      <c r="A1807">
        <v>18151</v>
      </c>
      <c r="B1807" t="s">
        <v>81</v>
      </c>
      <c r="C1807">
        <v>5</v>
      </c>
      <c r="D1807">
        <v>395.358811479358</v>
      </c>
      <c r="E1807">
        <v>23.150240495879299</v>
      </c>
      <c r="F1807">
        <v>640</v>
      </c>
    </row>
    <row r="1808" spans="1:6" x14ac:dyDescent="0.25">
      <c r="A1808">
        <v>18151</v>
      </c>
      <c r="B1808" t="s">
        <v>81</v>
      </c>
      <c r="C1808">
        <v>6</v>
      </c>
      <c r="D1808">
        <v>363.184955736429</v>
      </c>
      <c r="E1808">
        <v>25.452818179609199</v>
      </c>
      <c r="F1808">
        <v>640</v>
      </c>
    </row>
    <row r="1809" spans="1:6" x14ac:dyDescent="0.25">
      <c r="A1809">
        <v>18151</v>
      </c>
      <c r="B1809" t="s">
        <v>81</v>
      </c>
      <c r="C1809">
        <v>7</v>
      </c>
      <c r="D1809">
        <v>325.41023535739998</v>
      </c>
      <c r="E1809">
        <v>25.452818179609199</v>
      </c>
      <c r="F1809">
        <v>640</v>
      </c>
    </row>
    <row r="1810" spans="1:6" x14ac:dyDescent="0.25">
      <c r="A1810">
        <v>18151</v>
      </c>
      <c r="B1810" t="s">
        <v>81</v>
      </c>
      <c r="C1810">
        <v>8</v>
      </c>
      <c r="D1810">
        <v>300.39303998282099</v>
      </c>
      <c r="E1810">
        <v>29.684582571329098</v>
      </c>
      <c r="F1810">
        <v>640</v>
      </c>
    </row>
    <row r="1811" spans="1:6" x14ac:dyDescent="0.25">
      <c r="A1811">
        <v>18151</v>
      </c>
      <c r="B1811" t="s">
        <v>81</v>
      </c>
      <c r="C1811">
        <v>9</v>
      </c>
      <c r="D1811">
        <v>262.24492862805198</v>
      </c>
      <c r="E1811">
        <v>29.000032449139098</v>
      </c>
      <c r="F1811">
        <v>640</v>
      </c>
    </row>
    <row r="1812" spans="1:6" x14ac:dyDescent="0.25">
      <c r="A1812">
        <v>18151</v>
      </c>
      <c r="B1812" t="s">
        <v>81</v>
      </c>
      <c r="C1812">
        <v>10</v>
      </c>
      <c r="D1812">
        <v>238.596833497853</v>
      </c>
      <c r="E1812">
        <v>26.510759277539201</v>
      </c>
      <c r="F1812">
        <v>640</v>
      </c>
    </row>
    <row r="1813" spans="1:6" x14ac:dyDescent="0.25">
      <c r="A1813">
        <v>18151</v>
      </c>
      <c r="B1813" t="s">
        <v>81</v>
      </c>
      <c r="C1813">
        <v>11</v>
      </c>
      <c r="D1813">
        <v>233.058200691043</v>
      </c>
      <c r="E1813">
        <v>23.336935983749299</v>
      </c>
      <c r="F1813">
        <v>640</v>
      </c>
    </row>
    <row r="1814" spans="1:6" x14ac:dyDescent="0.25">
      <c r="A1814">
        <v>18151</v>
      </c>
      <c r="B1814" t="s">
        <v>81</v>
      </c>
      <c r="C1814">
        <v>12</v>
      </c>
      <c r="D1814">
        <v>226.02600398127299</v>
      </c>
      <c r="E1814">
        <v>20.349808177829399</v>
      </c>
      <c r="F1814">
        <v>640</v>
      </c>
    </row>
    <row r="1815" spans="1:6" x14ac:dyDescent="0.25">
      <c r="A1815">
        <v>18151</v>
      </c>
      <c r="B1815" t="s">
        <v>81</v>
      </c>
      <c r="C1815">
        <v>13</v>
      </c>
      <c r="D1815">
        <v>231.44017312950299</v>
      </c>
      <c r="E1815">
        <v>16.491434761849501</v>
      </c>
      <c r="F1815">
        <v>640</v>
      </c>
    </row>
    <row r="1816" spans="1:6" x14ac:dyDescent="0.25">
      <c r="A1816">
        <v>18151</v>
      </c>
      <c r="B1816" t="s">
        <v>81</v>
      </c>
      <c r="C1816">
        <v>14</v>
      </c>
      <c r="D1816">
        <v>252.16337228307199</v>
      </c>
      <c r="E1816">
        <v>14.126625248829599</v>
      </c>
      <c r="F1816">
        <v>640</v>
      </c>
    </row>
    <row r="1817" spans="1:6" x14ac:dyDescent="0.25">
      <c r="A1817">
        <v>18151</v>
      </c>
      <c r="B1817" t="s">
        <v>81</v>
      </c>
      <c r="C1817">
        <v>15</v>
      </c>
      <c r="D1817">
        <v>271.766398509422</v>
      </c>
      <c r="E1817">
        <v>12.3841340287096</v>
      </c>
      <c r="F1817">
        <v>640</v>
      </c>
    </row>
    <row r="1818" spans="1:6" x14ac:dyDescent="0.25">
      <c r="A1818">
        <v>18151</v>
      </c>
      <c r="B1818" t="s">
        <v>81</v>
      </c>
      <c r="C1818">
        <v>16</v>
      </c>
      <c r="D1818">
        <v>289.62693351565099</v>
      </c>
      <c r="E1818">
        <v>10.641642808589699</v>
      </c>
      <c r="F1818">
        <v>640</v>
      </c>
    </row>
    <row r="1819" spans="1:6" x14ac:dyDescent="0.25">
      <c r="A1819">
        <v>18151</v>
      </c>
      <c r="B1819" t="s">
        <v>81</v>
      </c>
      <c r="C1819">
        <v>17</v>
      </c>
      <c r="D1819">
        <v>304.62480437454099</v>
      </c>
      <c r="E1819">
        <v>11.948511223679599</v>
      </c>
      <c r="F1819">
        <v>640</v>
      </c>
    </row>
    <row r="1820" spans="1:6" x14ac:dyDescent="0.25">
      <c r="A1820">
        <v>18151</v>
      </c>
      <c r="B1820" t="s">
        <v>81</v>
      </c>
      <c r="C1820">
        <v>18</v>
      </c>
      <c r="D1820">
        <v>330.51324535918002</v>
      </c>
      <c r="E1820">
        <v>12.633061345869599</v>
      </c>
      <c r="F1820">
        <v>640</v>
      </c>
    </row>
    <row r="1821" spans="1:6" x14ac:dyDescent="0.25">
      <c r="A1821">
        <v>18151</v>
      </c>
      <c r="B1821" t="s">
        <v>81</v>
      </c>
      <c r="C1821">
        <v>19</v>
      </c>
      <c r="D1821">
        <v>359.513277808319</v>
      </c>
      <c r="E1821">
        <v>11.948511223679599</v>
      </c>
      <c r="F1821">
        <v>640</v>
      </c>
    </row>
    <row r="1822" spans="1:6" x14ac:dyDescent="0.25">
      <c r="A1822">
        <v>18151</v>
      </c>
      <c r="B1822" t="s">
        <v>81</v>
      </c>
      <c r="C1822">
        <v>20</v>
      </c>
      <c r="D1822">
        <v>384.53047318289902</v>
      </c>
      <c r="E1822">
        <v>14.3755525659895</v>
      </c>
      <c r="F1822">
        <v>640</v>
      </c>
    </row>
    <row r="1823" spans="1:6" x14ac:dyDescent="0.25">
      <c r="A1823">
        <v>18151</v>
      </c>
      <c r="B1823" t="s">
        <v>81</v>
      </c>
      <c r="C1823">
        <v>21</v>
      </c>
      <c r="D1823">
        <v>412.97041916842801</v>
      </c>
      <c r="E1823">
        <v>14.500016224569499</v>
      </c>
      <c r="F1823">
        <v>640</v>
      </c>
    </row>
    <row r="1824" spans="1:6" x14ac:dyDescent="0.25">
      <c r="A1824">
        <v>18151</v>
      </c>
      <c r="B1824" t="s">
        <v>81</v>
      </c>
      <c r="C1824">
        <v>22</v>
      </c>
      <c r="D1824">
        <v>429.89747673530701</v>
      </c>
      <c r="E1824">
        <v>15.3712618346295</v>
      </c>
      <c r="F1824">
        <v>640</v>
      </c>
    </row>
    <row r="1825" spans="1:6" x14ac:dyDescent="0.25">
      <c r="A1825">
        <v>18151</v>
      </c>
      <c r="B1825" t="s">
        <v>81</v>
      </c>
      <c r="C1825">
        <v>23</v>
      </c>
      <c r="D1825">
        <v>434.81379124921699</v>
      </c>
      <c r="E1825">
        <v>15.9935801275295</v>
      </c>
      <c r="F1825">
        <v>640</v>
      </c>
    </row>
    <row r="1826" spans="1:6" x14ac:dyDescent="0.25">
      <c r="A1826">
        <v>18153</v>
      </c>
      <c r="B1826" t="s">
        <v>82</v>
      </c>
      <c r="C1826">
        <v>0</v>
      </c>
      <c r="D1826">
        <v>20.9350286547213</v>
      </c>
      <c r="E1826">
        <v>0</v>
      </c>
      <c r="F1826">
        <v>122</v>
      </c>
    </row>
    <row r="1827" spans="1:6" x14ac:dyDescent="0.25">
      <c r="A1827">
        <v>18153</v>
      </c>
      <c r="B1827" t="s">
        <v>82</v>
      </c>
      <c r="C1827">
        <v>1</v>
      </c>
      <c r="D1827">
        <v>21.8045346371858</v>
      </c>
      <c r="E1827">
        <v>0</v>
      </c>
      <c r="F1827">
        <v>122</v>
      </c>
    </row>
    <row r="1828" spans="1:6" x14ac:dyDescent="0.25">
      <c r="A1828">
        <v>18153</v>
      </c>
      <c r="B1828" t="s">
        <v>82</v>
      </c>
      <c r="C1828">
        <v>2</v>
      </c>
      <c r="D1828">
        <v>21.737649561611601</v>
      </c>
      <c r="E1828">
        <v>0</v>
      </c>
      <c r="F1828">
        <v>122</v>
      </c>
    </row>
    <row r="1829" spans="1:6" x14ac:dyDescent="0.25">
      <c r="A1829">
        <v>18153</v>
      </c>
      <c r="B1829" t="s">
        <v>82</v>
      </c>
      <c r="C1829">
        <v>3</v>
      </c>
      <c r="D1829">
        <v>21.470109259314899</v>
      </c>
      <c r="E1829">
        <v>0</v>
      </c>
      <c r="F1829">
        <v>122</v>
      </c>
    </row>
    <row r="1830" spans="1:6" x14ac:dyDescent="0.25">
      <c r="A1830">
        <v>18153</v>
      </c>
      <c r="B1830" t="s">
        <v>82</v>
      </c>
      <c r="C1830">
        <v>4</v>
      </c>
      <c r="D1830">
        <v>21.001913730295499</v>
      </c>
      <c r="E1830">
        <v>0</v>
      </c>
      <c r="F1830">
        <v>122</v>
      </c>
    </row>
    <row r="1831" spans="1:6" x14ac:dyDescent="0.25">
      <c r="A1831">
        <v>18153</v>
      </c>
      <c r="B1831" t="s">
        <v>82</v>
      </c>
      <c r="C1831">
        <v>5</v>
      </c>
      <c r="D1831">
        <v>20.0655226722569</v>
      </c>
      <c r="E1831">
        <v>0</v>
      </c>
      <c r="F1831">
        <v>122</v>
      </c>
    </row>
    <row r="1832" spans="1:6" x14ac:dyDescent="0.25">
      <c r="A1832">
        <v>18153</v>
      </c>
      <c r="B1832" t="s">
        <v>82</v>
      </c>
      <c r="C1832">
        <v>6</v>
      </c>
      <c r="D1832">
        <v>18.861591311921501</v>
      </c>
      <c r="E1832">
        <v>0</v>
      </c>
      <c r="F1832">
        <v>122</v>
      </c>
    </row>
    <row r="1833" spans="1:6" x14ac:dyDescent="0.25">
      <c r="A1833">
        <v>18153</v>
      </c>
      <c r="B1833" t="s">
        <v>82</v>
      </c>
      <c r="C1833">
        <v>7</v>
      </c>
      <c r="D1833">
        <v>15.584222608786201</v>
      </c>
      <c r="E1833">
        <v>0.26754030229675801</v>
      </c>
      <c r="F1833">
        <v>122</v>
      </c>
    </row>
    <row r="1834" spans="1:6" x14ac:dyDescent="0.25">
      <c r="A1834">
        <v>18153</v>
      </c>
      <c r="B1834" t="s">
        <v>82</v>
      </c>
      <c r="C1834">
        <v>8</v>
      </c>
      <c r="D1834">
        <v>11.704888225483099</v>
      </c>
      <c r="E1834">
        <v>0.40131045344513799</v>
      </c>
      <c r="F1834">
        <v>122</v>
      </c>
    </row>
    <row r="1835" spans="1:6" x14ac:dyDescent="0.25">
      <c r="A1835">
        <v>18153</v>
      </c>
      <c r="B1835" t="s">
        <v>82</v>
      </c>
      <c r="C1835">
        <v>9</v>
      </c>
      <c r="D1835">
        <v>7.0898180108641</v>
      </c>
      <c r="E1835">
        <v>1.47147166263217</v>
      </c>
      <c r="F1835">
        <v>122</v>
      </c>
    </row>
    <row r="1836" spans="1:6" x14ac:dyDescent="0.25">
      <c r="A1836">
        <v>18153</v>
      </c>
      <c r="B1836" t="s">
        <v>82</v>
      </c>
      <c r="C1836">
        <v>10</v>
      </c>
      <c r="D1836">
        <v>6.35408217954802</v>
      </c>
      <c r="E1836">
        <v>1.9396671916515</v>
      </c>
      <c r="F1836">
        <v>122</v>
      </c>
    </row>
    <row r="1837" spans="1:6" x14ac:dyDescent="0.25">
      <c r="A1837">
        <v>18153</v>
      </c>
      <c r="B1837" t="s">
        <v>82</v>
      </c>
      <c r="C1837">
        <v>11</v>
      </c>
      <c r="D1837">
        <v>6.2203120283996398</v>
      </c>
      <c r="E1837">
        <v>2.4747477962450102</v>
      </c>
      <c r="F1837">
        <v>122</v>
      </c>
    </row>
    <row r="1838" spans="1:6" x14ac:dyDescent="0.25">
      <c r="A1838">
        <v>18153</v>
      </c>
      <c r="B1838" t="s">
        <v>82</v>
      </c>
      <c r="C1838">
        <v>12</v>
      </c>
      <c r="D1838">
        <v>5.2839209703609802</v>
      </c>
      <c r="E1838">
        <v>2.2740925695224501</v>
      </c>
      <c r="F1838">
        <v>122</v>
      </c>
    </row>
    <row r="1839" spans="1:6" x14ac:dyDescent="0.25">
      <c r="A1839">
        <v>18153</v>
      </c>
      <c r="B1839" t="s">
        <v>82</v>
      </c>
      <c r="C1839">
        <v>13</v>
      </c>
      <c r="D1839">
        <v>4.3475299123223303</v>
      </c>
      <c r="E1839">
        <v>2.0065522672256901</v>
      </c>
      <c r="F1839">
        <v>122</v>
      </c>
    </row>
    <row r="1840" spans="1:6" x14ac:dyDescent="0.25">
      <c r="A1840">
        <v>18153</v>
      </c>
      <c r="B1840" t="s">
        <v>82</v>
      </c>
      <c r="C1840">
        <v>14</v>
      </c>
      <c r="D1840">
        <v>4.0131045344513803</v>
      </c>
      <c r="E1840">
        <v>1.2708164359095999</v>
      </c>
      <c r="F1840">
        <v>122</v>
      </c>
    </row>
    <row r="1841" spans="1:6" x14ac:dyDescent="0.25">
      <c r="A1841">
        <v>18153</v>
      </c>
      <c r="B1841" t="s">
        <v>82</v>
      </c>
      <c r="C1841">
        <v>15</v>
      </c>
      <c r="D1841">
        <v>5.2170358947867896</v>
      </c>
      <c r="E1841">
        <v>0.46819552901932798</v>
      </c>
      <c r="F1841">
        <v>122</v>
      </c>
    </row>
    <row r="1842" spans="1:6" x14ac:dyDescent="0.25">
      <c r="A1842">
        <v>18153</v>
      </c>
      <c r="B1842" t="s">
        <v>82</v>
      </c>
      <c r="C1842">
        <v>16</v>
      </c>
      <c r="D1842">
        <v>6.6216224818447804</v>
      </c>
      <c r="E1842">
        <v>0</v>
      </c>
      <c r="F1842">
        <v>122</v>
      </c>
    </row>
    <row r="1843" spans="1:6" x14ac:dyDescent="0.25">
      <c r="A1843">
        <v>18153</v>
      </c>
      <c r="B1843" t="s">
        <v>82</v>
      </c>
      <c r="C1843">
        <v>17</v>
      </c>
      <c r="D1843">
        <v>8.1599792200511398</v>
      </c>
      <c r="E1843">
        <v>0</v>
      </c>
      <c r="F1843">
        <v>122</v>
      </c>
    </row>
    <row r="1844" spans="1:6" x14ac:dyDescent="0.25">
      <c r="A1844">
        <v>18153</v>
      </c>
      <c r="B1844" t="s">
        <v>82</v>
      </c>
      <c r="C1844">
        <v>18</v>
      </c>
      <c r="D1844">
        <v>9.8989911849800691</v>
      </c>
      <c r="E1844">
        <v>0.26754030229675801</v>
      </c>
      <c r="F1844">
        <v>122</v>
      </c>
    </row>
    <row r="1845" spans="1:6" x14ac:dyDescent="0.25">
      <c r="A1845">
        <v>18153</v>
      </c>
      <c r="B1845" t="s">
        <v>82</v>
      </c>
      <c r="C1845">
        <v>19</v>
      </c>
      <c r="D1845">
        <v>12.3068539056509</v>
      </c>
      <c r="E1845">
        <v>0.53508060459351703</v>
      </c>
      <c r="F1845">
        <v>122</v>
      </c>
    </row>
    <row r="1846" spans="1:6" x14ac:dyDescent="0.25">
      <c r="A1846">
        <v>18153</v>
      </c>
      <c r="B1846" t="s">
        <v>82</v>
      </c>
      <c r="C1846">
        <v>20</v>
      </c>
      <c r="D1846">
        <v>14.580946475173301</v>
      </c>
      <c r="E1846">
        <v>0</v>
      </c>
      <c r="F1846">
        <v>122</v>
      </c>
    </row>
    <row r="1847" spans="1:6" x14ac:dyDescent="0.25">
      <c r="A1847">
        <v>18153</v>
      </c>
      <c r="B1847" t="s">
        <v>82</v>
      </c>
      <c r="C1847">
        <v>21</v>
      </c>
      <c r="D1847">
        <v>17.122579346992499</v>
      </c>
      <c r="E1847">
        <v>0</v>
      </c>
      <c r="F1847">
        <v>122</v>
      </c>
    </row>
    <row r="1848" spans="1:6" x14ac:dyDescent="0.25">
      <c r="A1848">
        <v>18153</v>
      </c>
      <c r="B1848" t="s">
        <v>82</v>
      </c>
      <c r="C1848">
        <v>22</v>
      </c>
      <c r="D1848">
        <v>18.9284763874956</v>
      </c>
      <c r="E1848">
        <v>0</v>
      </c>
      <c r="F1848">
        <v>122</v>
      </c>
    </row>
    <row r="1849" spans="1:6" x14ac:dyDescent="0.25">
      <c r="A1849">
        <v>18153</v>
      </c>
      <c r="B1849" t="s">
        <v>82</v>
      </c>
      <c r="C1849">
        <v>23</v>
      </c>
      <c r="D1849">
        <v>19.797982369960099</v>
      </c>
      <c r="E1849">
        <v>0</v>
      </c>
      <c r="F1849">
        <v>122</v>
      </c>
    </row>
    <row r="1850" spans="1:6" x14ac:dyDescent="0.25">
      <c r="A1850">
        <v>18155</v>
      </c>
      <c r="B1850" t="s">
        <v>83</v>
      </c>
      <c r="C1850">
        <v>0</v>
      </c>
      <c r="D1850">
        <v>0</v>
      </c>
      <c r="E1850">
        <v>0</v>
      </c>
      <c r="F1850">
        <v>0</v>
      </c>
    </row>
    <row r="1851" spans="1:6" x14ac:dyDescent="0.25">
      <c r="A1851">
        <v>18155</v>
      </c>
      <c r="B1851" t="s">
        <v>83</v>
      </c>
      <c r="C1851">
        <v>1</v>
      </c>
      <c r="D1851">
        <v>0</v>
      </c>
      <c r="E1851">
        <v>0</v>
      </c>
      <c r="F1851">
        <v>0</v>
      </c>
    </row>
    <row r="1852" spans="1:6" x14ac:dyDescent="0.25">
      <c r="A1852">
        <v>18155</v>
      </c>
      <c r="B1852" t="s">
        <v>83</v>
      </c>
      <c r="C1852">
        <v>2</v>
      </c>
      <c r="D1852">
        <v>0</v>
      </c>
      <c r="E1852">
        <v>0</v>
      </c>
      <c r="F1852">
        <v>0</v>
      </c>
    </row>
    <row r="1853" spans="1:6" x14ac:dyDescent="0.25">
      <c r="A1853">
        <v>18155</v>
      </c>
      <c r="B1853" t="s">
        <v>83</v>
      </c>
      <c r="C1853">
        <v>3</v>
      </c>
      <c r="D1853">
        <v>0</v>
      </c>
      <c r="E1853">
        <v>0</v>
      </c>
      <c r="F1853">
        <v>0</v>
      </c>
    </row>
    <row r="1854" spans="1:6" x14ac:dyDescent="0.25">
      <c r="A1854">
        <v>18155</v>
      </c>
      <c r="B1854" t="s">
        <v>83</v>
      </c>
      <c r="C1854">
        <v>4</v>
      </c>
      <c r="D1854">
        <v>0</v>
      </c>
      <c r="E1854">
        <v>0</v>
      </c>
      <c r="F1854">
        <v>0</v>
      </c>
    </row>
    <row r="1855" spans="1:6" x14ac:dyDescent="0.25">
      <c r="A1855">
        <v>18155</v>
      </c>
      <c r="B1855" t="s">
        <v>83</v>
      </c>
      <c r="C1855">
        <v>5</v>
      </c>
      <c r="D1855">
        <v>0</v>
      </c>
      <c r="E1855">
        <v>0</v>
      </c>
      <c r="F1855">
        <v>0</v>
      </c>
    </row>
    <row r="1856" spans="1:6" x14ac:dyDescent="0.25">
      <c r="A1856">
        <v>18155</v>
      </c>
      <c r="B1856" t="s">
        <v>83</v>
      </c>
      <c r="C1856">
        <v>6</v>
      </c>
      <c r="D1856">
        <v>0</v>
      </c>
      <c r="E1856">
        <v>0</v>
      </c>
      <c r="F1856">
        <v>0</v>
      </c>
    </row>
    <row r="1857" spans="1:6" x14ac:dyDescent="0.25">
      <c r="A1857">
        <v>18155</v>
      </c>
      <c r="B1857" t="s">
        <v>83</v>
      </c>
      <c r="C1857">
        <v>7</v>
      </c>
      <c r="D1857">
        <v>0</v>
      </c>
      <c r="E1857">
        <v>0</v>
      </c>
      <c r="F1857">
        <v>0</v>
      </c>
    </row>
    <row r="1858" spans="1:6" x14ac:dyDescent="0.25">
      <c r="A1858">
        <v>18155</v>
      </c>
      <c r="B1858" t="s">
        <v>83</v>
      </c>
      <c r="C1858">
        <v>8</v>
      </c>
      <c r="D1858">
        <v>0</v>
      </c>
      <c r="E1858">
        <v>0</v>
      </c>
      <c r="F1858">
        <v>0</v>
      </c>
    </row>
    <row r="1859" spans="1:6" x14ac:dyDescent="0.25">
      <c r="A1859">
        <v>18155</v>
      </c>
      <c r="B1859" t="s">
        <v>83</v>
      </c>
      <c r="C1859">
        <v>9</v>
      </c>
      <c r="D1859">
        <v>0</v>
      </c>
      <c r="E1859">
        <v>0</v>
      </c>
      <c r="F1859">
        <v>0</v>
      </c>
    </row>
    <row r="1860" spans="1:6" x14ac:dyDescent="0.25">
      <c r="A1860">
        <v>18155</v>
      </c>
      <c r="B1860" t="s">
        <v>83</v>
      </c>
      <c r="C1860">
        <v>10</v>
      </c>
      <c r="D1860">
        <v>0</v>
      </c>
      <c r="E1860">
        <v>0</v>
      </c>
      <c r="F1860">
        <v>0</v>
      </c>
    </row>
    <row r="1861" spans="1:6" x14ac:dyDescent="0.25">
      <c r="A1861">
        <v>18155</v>
      </c>
      <c r="B1861" t="s">
        <v>83</v>
      </c>
      <c r="C1861">
        <v>11</v>
      </c>
      <c r="D1861">
        <v>0</v>
      </c>
      <c r="E1861">
        <v>0</v>
      </c>
      <c r="F1861">
        <v>0</v>
      </c>
    </row>
    <row r="1862" spans="1:6" x14ac:dyDescent="0.25">
      <c r="A1862">
        <v>18155</v>
      </c>
      <c r="B1862" t="s">
        <v>83</v>
      </c>
      <c r="C1862">
        <v>12</v>
      </c>
      <c r="D1862">
        <v>0</v>
      </c>
      <c r="E1862">
        <v>0</v>
      </c>
      <c r="F1862">
        <v>0</v>
      </c>
    </row>
    <row r="1863" spans="1:6" x14ac:dyDescent="0.25">
      <c r="A1863">
        <v>18155</v>
      </c>
      <c r="B1863" t="s">
        <v>83</v>
      </c>
      <c r="C1863">
        <v>13</v>
      </c>
      <c r="D1863">
        <v>0</v>
      </c>
      <c r="E1863">
        <v>0</v>
      </c>
      <c r="F1863">
        <v>0</v>
      </c>
    </row>
    <row r="1864" spans="1:6" x14ac:dyDescent="0.25">
      <c r="A1864">
        <v>18155</v>
      </c>
      <c r="B1864" t="s">
        <v>83</v>
      </c>
      <c r="C1864">
        <v>14</v>
      </c>
      <c r="D1864">
        <v>0</v>
      </c>
      <c r="E1864">
        <v>0</v>
      </c>
      <c r="F1864">
        <v>0</v>
      </c>
    </row>
    <row r="1865" spans="1:6" x14ac:dyDescent="0.25">
      <c r="A1865">
        <v>18155</v>
      </c>
      <c r="B1865" t="s">
        <v>83</v>
      </c>
      <c r="C1865">
        <v>15</v>
      </c>
      <c r="D1865">
        <v>0</v>
      </c>
      <c r="E1865">
        <v>0</v>
      </c>
      <c r="F1865">
        <v>0</v>
      </c>
    </row>
    <row r="1866" spans="1:6" x14ac:dyDescent="0.25">
      <c r="A1866">
        <v>18155</v>
      </c>
      <c r="B1866" t="s">
        <v>83</v>
      </c>
      <c r="C1866">
        <v>16</v>
      </c>
      <c r="D1866">
        <v>0</v>
      </c>
      <c r="E1866">
        <v>0</v>
      </c>
      <c r="F1866">
        <v>0</v>
      </c>
    </row>
    <row r="1867" spans="1:6" x14ac:dyDescent="0.25">
      <c r="A1867">
        <v>18155</v>
      </c>
      <c r="B1867" t="s">
        <v>83</v>
      </c>
      <c r="C1867">
        <v>17</v>
      </c>
      <c r="D1867">
        <v>0</v>
      </c>
      <c r="E1867">
        <v>0</v>
      </c>
      <c r="F1867">
        <v>0</v>
      </c>
    </row>
    <row r="1868" spans="1:6" x14ac:dyDescent="0.25">
      <c r="A1868">
        <v>18155</v>
      </c>
      <c r="B1868" t="s">
        <v>83</v>
      </c>
      <c r="C1868">
        <v>18</v>
      </c>
      <c r="D1868">
        <v>0</v>
      </c>
      <c r="E1868">
        <v>0</v>
      </c>
      <c r="F1868">
        <v>0</v>
      </c>
    </row>
    <row r="1869" spans="1:6" x14ac:dyDescent="0.25">
      <c r="A1869">
        <v>18155</v>
      </c>
      <c r="B1869" t="s">
        <v>83</v>
      </c>
      <c r="C1869">
        <v>19</v>
      </c>
      <c r="D1869">
        <v>0</v>
      </c>
      <c r="E1869">
        <v>0</v>
      </c>
      <c r="F1869">
        <v>0</v>
      </c>
    </row>
    <row r="1870" spans="1:6" x14ac:dyDescent="0.25">
      <c r="A1870">
        <v>18155</v>
      </c>
      <c r="B1870" t="s">
        <v>83</v>
      </c>
      <c r="C1870">
        <v>20</v>
      </c>
      <c r="D1870">
        <v>0</v>
      </c>
      <c r="E1870">
        <v>0</v>
      </c>
      <c r="F1870">
        <v>0</v>
      </c>
    </row>
    <row r="1871" spans="1:6" x14ac:dyDescent="0.25">
      <c r="A1871">
        <v>18155</v>
      </c>
      <c r="B1871" t="s">
        <v>83</v>
      </c>
      <c r="C1871">
        <v>21</v>
      </c>
      <c r="D1871">
        <v>0</v>
      </c>
      <c r="E1871">
        <v>0</v>
      </c>
      <c r="F1871">
        <v>0</v>
      </c>
    </row>
    <row r="1872" spans="1:6" x14ac:dyDescent="0.25">
      <c r="A1872">
        <v>18155</v>
      </c>
      <c r="B1872" t="s">
        <v>83</v>
      </c>
      <c r="C1872">
        <v>22</v>
      </c>
      <c r="D1872">
        <v>0</v>
      </c>
      <c r="E1872">
        <v>0</v>
      </c>
      <c r="F1872">
        <v>0</v>
      </c>
    </row>
    <row r="1873" spans="1:6" x14ac:dyDescent="0.25">
      <c r="A1873">
        <v>18155</v>
      </c>
      <c r="B1873" t="s">
        <v>83</v>
      </c>
      <c r="C1873">
        <v>23</v>
      </c>
      <c r="D1873">
        <v>0</v>
      </c>
      <c r="E1873">
        <v>0</v>
      </c>
      <c r="F1873">
        <v>0</v>
      </c>
    </row>
    <row r="1874" spans="1:6" x14ac:dyDescent="0.25">
      <c r="A1874">
        <v>18157</v>
      </c>
      <c r="B1874" t="s">
        <v>84</v>
      </c>
      <c r="C1874">
        <v>0</v>
      </c>
      <c r="D1874">
        <v>118.790559572719</v>
      </c>
      <c r="E1874">
        <v>12.5834905984279</v>
      </c>
      <c r="F1874">
        <v>92</v>
      </c>
    </row>
    <row r="1875" spans="1:6" x14ac:dyDescent="0.25">
      <c r="A1875">
        <v>18157</v>
      </c>
      <c r="B1875" t="s">
        <v>84</v>
      </c>
      <c r="C1875">
        <v>1</v>
      </c>
      <c r="D1875">
        <v>117.767022059928</v>
      </c>
      <c r="E1875">
        <v>15.2326465138865</v>
      </c>
      <c r="F1875">
        <v>92</v>
      </c>
    </row>
    <row r="1876" spans="1:6" x14ac:dyDescent="0.25">
      <c r="A1876">
        <v>18157</v>
      </c>
      <c r="B1876" t="s">
        <v>84</v>
      </c>
      <c r="C1876">
        <v>2</v>
      </c>
      <c r="D1876">
        <v>116.38223601321199</v>
      </c>
      <c r="E1876">
        <v>15.894935492751101</v>
      </c>
      <c r="F1876">
        <v>92</v>
      </c>
    </row>
    <row r="1877" spans="1:6" x14ac:dyDescent="0.25">
      <c r="A1877">
        <v>18157</v>
      </c>
      <c r="B1877" t="s">
        <v>84</v>
      </c>
      <c r="C1877">
        <v>3</v>
      </c>
      <c r="D1877">
        <v>112.34829405103601</v>
      </c>
      <c r="E1877">
        <v>16.316392115665</v>
      </c>
      <c r="F1877">
        <v>92</v>
      </c>
    </row>
    <row r="1878" spans="1:6" x14ac:dyDescent="0.25">
      <c r="A1878">
        <v>18157</v>
      </c>
      <c r="B1878" t="s">
        <v>84</v>
      </c>
      <c r="C1878">
        <v>4</v>
      </c>
      <c r="D1878">
        <v>107.471438843033</v>
      </c>
      <c r="E1878">
        <v>17.7011781623819</v>
      </c>
      <c r="F1878">
        <v>92</v>
      </c>
    </row>
    <row r="1879" spans="1:6" x14ac:dyDescent="0.25">
      <c r="A1879">
        <v>18157</v>
      </c>
      <c r="B1879" t="s">
        <v>84</v>
      </c>
      <c r="C1879">
        <v>5</v>
      </c>
      <c r="D1879">
        <v>99.584179185645397</v>
      </c>
      <c r="E1879">
        <v>19.085964209098901</v>
      </c>
      <c r="F1879">
        <v>92</v>
      </c>
    </row>
    <row r="1880" spans="1:6" x14ac:dyDescent="0.25">
      <c r="A1880">
        <v>18157</v>
      </c>
      <c r="B1880" t="s">
        <v>84</v>
      </c>
      <c r="C1880">
        <v>6</v>
      </c>
      <c r="D1880">
        <v>95.128780600556098</v>
      </c>
      <c r="E1880">
        <v>20.892206878729699</v>
      </c>
      <c r="F1880">
        <v>92</v>
      </c>
    </row>
    <row r="1881" spans="1:6" x14ac:dyDescent="0.25">
      <c r="A1881">
        <v>18157</v>
      </c>
      <c r="B1881" t="s">
        <v>84</v>
      </c>
      <c r="C1881">
        <v>7</v>
      </c>
      <c r="D1881">
        <v>89.529428324700604</v>
      </c>
      <c r="E1881">
        <v>18.363467141246598</v>
      </c>
      <c r="F1881">
        <v>92</v>
      </c>
    </row>
    <row r="1882" spans="1:6" x14ac:dyDescent="0.25">
      <c r="A1882">
        <v>18157</v>
      </c>
      <c r="B1882" t="s">
        <v>84</v>
      </c>
      <c r="C1882">
        <v>8</v>
      </c>
      <c r="D1882">
        <v>77.186770082223404</v>
      </c>
      <c r="E1882">
        <v>15.413270780849601</v>
      </c>
      <c r="F1882">
        <v>92</v>
      </c>
    </row>
    <row r="1883" spans="1:6" x14ac:dyDescent="0.25">
      <c r="A1883">
        <v>18157</v>
      </c>
      <c r="B1883" t="s">
        <v>84</v>
      </c>
      <c r="C1883">
        <v>9</v>
      </c>
      <c r="D1883">
        <v>65.024736106709199</v>
      </c>
      <c r="E1883">
        <v>13.968276645144901</v>
      </c>
      <c r="F1883">
        <v>92</v>
      </c>
    </row>
    <row r="1884" spans="1:6" x14ac:dyDescent="0.25">
      <c r="A1884">
        <v>18157</v>
      </c>
      <c r="B1884" t="s">
        <v>84</v>
      </c>
      <c r="C1884">
        <v>10</v>
      </c>
      <c r="D1884">
        <v>62.9776610811276</v>
      </c>
      <c r="E1884">
        <v>12.764114865391001</v>
      </c>
      <c r="F1884">
        <v>92</v>
      </c>
    </row>
    <row r="1885" spans="1:6" x14ac:dyDescent="0.25">
      <c r="A1885">
        <v>18157</v>
      </c>
      <c r="B1885" t="s">
        <v>84</v>
      </c>
      <c r="C1885">
        <v>11</v>
      </c>
      <c r="D1885">
        <v>60.4489213436445</v>
      </c>
      <c r="E1885">
        <v>14.510149446034101</v>
      </c>
      <c r="F1885">
        <v>92</v>
      </c>
    </row>
    <row r="1886" spans="1:6" x14ac:dyDescent="0.25">
      <c r="A1886">
        <v>18157</v>
      </c>
      <c r="B1886" t="s">
        <v>84</v>
      </c>
      <c r="C1886">
        <v>12</v>
      </c>
      <c r="D1886">
        <v>61.592875034410703</v>
      </c>
      <c r="E1886">
        <v>13.9080685561572</v>
      </c>
      <c r="F1886">
        <v>92</v>
      </c>
    </row>
    <row r="1887" spans="1:6" x14ac:dyDescent="0.25">
      <c r="A1887">
        <v>18157</v>
      </c>
      <c r="B1887" t="s">
        <v>84</v>
      </c>
      <c r="C1887">
        <v>13</v>
      </c>
      <c r="D1887">
        <v>62.8572449031522</v>
      </c>
      <c r="E1887">
        <v>11.559953085637201</v>
      </c>
      <c r="F1887">
        <v>92</v>
      </c>
    </row>
    <row r="1888" spans="1:6" x14ac:dyDescent="0.25">
      <c r="A1888">
        <v>18157</v>
      </c>
      <c r="B1888" t="s">
        <v>84</v>
      </c>
      <c r="C1888">
        <v>14</v>
      </c>
      <c r="D1888">
        <v>65.988065530512301</v>
      </c>
      <c r="E1888">
        <v>7.6464273014371003</v>
      </c>
      <c r="F1888">
        <v>92</v>
      </c>
    </row>
    <row r="1889" spans="1:6" x14ac:dyDescent="0.25">
      <c r="A1889">
        <v>18157</v>
      </c>
      <c r="B1889" t="s">
        <v>84</v>
      </c>
      <c r="C1889">
        <v>15</v>
      </c>
      <c r="D1889">
        <v>73.213036209035593</v>
      </c>
      <c r="E1889">
        <v>4.7564390300278001</v>
      </c>
      <c r="F1889">
        <v>92</v>
      </c>
    </row>
    <row r="1890" spans="1:6" x14ac:dyDescent="0.25">
      <c r="A1890">
        <v>18157</v>
      </c>
      <c r="B1890" t="s">
        <v>84</v>
      </c>
      <c r="C1890">
        <v>16</v>
      </c>
      <c r="D1890">
        <v>82.786122358078899</v>
      </c>
      <c r="E1890">
        <v>3.7931096062247001</v>
      </c>
      <c r="F1890">
        <v>92</v>
      </c>
    </row>
    <row r="1891" spans="1:6" x14ac:dyDescent="0.25">
      <c r="A1891">
        <v>18157</v>
      </c>
      <c r="B1891" t="s">
        <v>84</v>
      </c>
      <c r="C1891">
        <v>17</v>
      </c>
      <c r="D1891">
        <v>91.155046727368301</v>
      </c>
      <c r="E1891">
        <v>3.7931096062247001</v>
      </c>
      <c r="F1891">
        <v>92</v>
      </c>
    </row>
    <row r="1892" spans="1:6" x14ac:dyDescent="0.25">
      <c r="A1892">
        <v>18157</v>
      </c>
      <c r="B1892" t="s">
        <v>84</v>
      </c>
      <c r="C1892">
        <v>18</v>
      </c>
      <c r="D1892">
        <v>99.403554918682403</v>
      </c>
      <c r="E1892">
        <v>4.5758147630647201</v>
      </c>
      <c r="F1892">
        <v>92</v>
      </c>
    </row>
    <row r="1893" spans="1:6" x14ac:dyDescent="0.25">
      <c r="A1893">
        <v>18157</v>
      </c>
      <c r="B1893" t="s">
        <v>84</v>
      </c>
      <c r="C1893">
        <v>19</v>
      </c>
      <c r="D1893">
        <v>104.46103439364801</v>
      </c>
      <c r="E1893">
        <v>5.2983118309170498</v>
      </c>
      <c r="F1893">
        <v>92</v>
      </c>
    </row>
    <row r="1894" spans="1:6" x14ac:dyDescent="0.25">
      <c r="A1894">
        <v>18157</v>
      </c>
      <c r="B1894" t="s">
        <v>84</v>
      </c>
      <c r="C1894">
        <v>20</v>
      </c>
      <c r="D1894">
        <v>111.384964627233</v>
      </c>
      <c r="E1894">
        <v>8.0678839243509604</v>
      </c>
      <c r="F1894">
        <v>92</v>
      </c>
    </row>
    <row r="1895" spans="1:6" x14ac:dyDescent="0.25">
      <c r="A1895">
        <v>18157</v>
      </c>
      <c r="B1895" t="s">
        <v>84</v>
      </c>
      <c r="C1895">
        <v>21</v>
      </c>
      <c r="D1895">
        <v>114.45557716560501</v>
      </c>
      <c r="E1895">
        <v>10.0547508609448</v>
      </c>
      <c r="F1895">
        <v>92</v>
      </c>
    </row>
    <row r="1896" spans="1:6" x14ac:dyDescent="0.25">
      <c r="A1896">
        <v>18157</v>
      </c>
      <c r="B1896" t="s">
        <v>84</v>
      </c>
      <c r="C1896">
        <v>22</v>
      </c>
      <c r="D1896">
        <v>118.73035148373199</v>
      </c>
      <c r="E1896">
        <v>10.0547508609448</v>
      </c>
      <c r="F1896">
        <v>92</v>
      </c>
    </row>
    <row r="1897" spans="1:6" x14ac:dyDescent="0.25">
      <c r="A1897">
        <v>18157</v>
      </c>
      <c r="B1897" t="s">
        <v>84</v>
      </c>
      <c r="C1897">
        <v>23</v>
      </c>
      <c r="D1897">
        <v>120.47638606437501</v>
      </c>
      <c r="E1897">
        <v>10.476207483858699</v>
      </c>
      <c r="F1897">
        <v>92</v>
      </c>
    </row>
    <row r="1898" spans="1:6" x14ac:dyDescent="0.25">
      <c r="A1898">
        <v>18159</v>
      </c>
      <c r="B1898" t="s">
        <v>85</v>
      </c>
      <c r="C1898">
        <v>0</v>
      </c>
      <c r="D1898">
        <v>0</v>
      </c>
      <c r="E1898">
        <v>0</v>
      </c>
      <c r="F1898">
        <v>0</v>
      </c>
    </row>
    <row r="1899" spans="1:6" x14ac:dyDescent="0.25">
      <c r="A1899">
        <v>18159</v>
      </c>
      <c r="B1899" t="s">
        <v>85</v>
      </c>
      <c r="C1899">
        <v>1</v>
      </c>
      <c r="D1899">
        <v>0</v>
      </c>
      <c r="E1899">
        <v>0</v>
      </c>
      <c r="F1899">
        <v>0</v>
      </c>
    </row>
    <row r="1900" spans="1:6" x14ac:dyDescent="0.25">
      <c r="A1900">
        <v>18159</v>
      </c>
      <c r="B1900" t="s">
        <v>85</v>
      </c>
      <c r="C1900">
        <v>2</v>
      </c>
      <c r="D1900">
        <v>0</v>
      </c>
      <c r="E1900">
        <v>0</v>
      </c>
      <c r="F1900">
        <v>0</v>
      </c>
    </row>
    <row r="1901" spans="1:6" x14ac:dyDescent="0.25">
      <c r="A1901">
        <v>18159</v>
      </c>
      <c r="B1901" t="s">
        <v>85</v>
      </c>
      <c r="C1901">
        <v>3</v>
      </c>
      <c r="D1901">
        <v>0</v>
      </c>
      <c r="E1901">
        <v>0</v>
      </c>
      <c r="F1901">
        <v>0</v>
      </c>
    </row>
    <row r="1902" spans="1:6" x14ac:dyDescent="0.25">
      <c r="A1902">
        <v>18159</v>
      </c>
      <c r="B1902" t="s">
        <v>85</v>
      </c>
      <c r="C1902">
        <v>4</v>
      </c>
      <c r="D1902">
        <v>0</v>
      </c>
      <c r="E1902">
        <v>0</v>
      </c>
      <c r="F1902">
        <v>0</v>
      </c>
    </row>
    <row r="1903" spans="1:6" x14ac:dyDescent="0.25">
      <c r="A1903">
        <v>18159</v>
      </c>
      <c r="B1903" t="s">
        <v>85</v>
      </c>
      <c r="C1903">
        <v>5</v>
      </c>
      <c r="D1903">
        <v>0</v>
      </c>
      <c r="E1903">
        <v>0</v>
      </c>
      <c r="F1903">
        <v>0</v>
      </c>
    </row>
    <row r="1904" spans="1:6" x14ac:dyDescent="0.25">
      <c r="A1904">
        <v>18159</v>
      </c>
      <c r="B1904" t="s">
        <v>85</v>
      </c>
      <c r="C1904">
        <v>6</v>
      </c>
      <c r="D1904">
        <v>0</v>
      </c>
      <c r="E1904">
        <v>0.219772850869077</v>
      </c>
      <c r="F1904">
        <v>0</v>
      </c>
    </row>
    <row r="1905" spans="1:6" x14ac:dyDescent="0.25">
      <c r="A1905">
        <v>18159</v>
      </c>
      <c r="B1905" t="s">
        <v>85</v>
      </c>
      <c r="C1905">
        <v>7</v>
      </c>
      <c r="D1905">
        <v>0</v>
      </c>
      <c r="E1905">
        <v>0.282565093974527</v>
      </c>
      <c r="F1905">
        <v>0</v>
      </c>
    </row>
    <row r="1906" spans="1:6" x14ac:dyDescent="0.25">
      <c r="A1906">
        <v>18159</v>
      </c>
      <c r="B1906" t="s">
        <v>85</v>
      </c>
      <c r="C1906">
        <v>8</v>
      </c>
      <c r="D1906">
        <v>0</v>
      </c>
      <c r="E1906">
        <v>0.59652630950177998</v>
      </c>
      <c r="F1906">
        <v>0</v>
      </c>
    </row>
    <row r="1907" spans="1:6" x14ac:dyDescent="0.25">
      <c r="A1907">
        <v>18159</v>
      </c>
      <c r="B1907" t="s">
        <v>85</v>
      </c>
      <c r="C1907">
        <v>9</v>
      </c>
      <c r="D1907">
        <v>0</v>
      </c>
      <c r="E1907">
        <v>1.0674681327926501</v>
      </c>
      <c r="F1907">
        <v>0</v>
      </c>
    </row>
    <row r="1908" spans="1:6" x14ac:dyDescent="0.25">
      <c r="A1908">
        <v>18159</v>
      </c>
      <c r="B1908" t="s">
        <v>85</v>
      </c>
      <c r="C1908">
        <v>10</v>
      </c>
      <c r="D1908">
        <v>0</v>
      </c>
      <c r="E1908">
        <v>0.59652630950177998</v>
      </c>
      <c r="F1908">
        <v>0</v>
      </c>
    </row>
    <row r="1909" spans="1:6" x14ac:dyDescent="0.25">
      <c r="A1909">
        <v>18159</v>
      </c>
      <c r="B1909" t="s">
        <v>85</v>
      </c>
      <c r="C1909">
        <v>11</v>
      </c>
      <c r="D1909">
        <v>0</v>
      </c>
      <c r="E1909">
        <v>0.62792243105450496</v>
      </c>
      <c r="F1909">
        <v>0</v>
      </c>
    </row>
    <row r="1910" spans="1:6" x14ac:dyDescent="0.25">
      <c r="A1910">
        <v>18159</v>
      </c>
      <c r="B1910" t="s">
        <v>85</v>
      </c>
      <c r="C1910">
        <v>12</v>
      </c>
      <c r="D1910">
        <v>0</v>
      </c>
      <c r="E1910">
        <v>0.75350691726540597</v>
      </c>
      <c r="F1910">
        <v>0</v>
      </c>
    </row>
    <row r="1911" spans="1:6" x14ac:dyDescent="0.25">
      <c r="A1911">
        <v>18159</v>
      </c>
      <c r="B1911" t="s">
        <v>85</v>
      </c>
      <c r="C1911">
        <v>13</v>
      </c>
      <c r="D1911">
        <v>0</v>
      </c>
      <c r="E1911">
        <v>0.62792243105450496</v>
      </c>
      <c r="F1911">
        <v>0</v>
      </c>
    </row>
    <row r="1912" spans="1:6" x14ac:dyDescent="0.25">
      <c r="A1912">
        <v>18159</v>
      </c>
      <c r="B1912" t="s">
        <v>85</v>
      </c>
      <c r="C1912">
        <v>14</v>
      </c>
      <c r="D1912">
        <v>0</v>
      </c>
      <c r="E1912">
        <v>0.12558448621090099</v>
      </c>
      <c r="F1912">
        <v>0</v>
      </c>
    </row>
    <row r="1913" spans="1:6" x14ac:dyDescent="0.25">
      <c r="A1913">
        <v>18159</v>
      </c>
      <c r="B1913" t="s">
        <v>85</v>
      </c>
      <c r="C1913">
        <v>15</v>
      </c>
      <c r="D1913">
        <v>0</v>
      </c>
      <c r="E1913">
        <v>0.25116897242180197</v>
      </c>
      <c r="F1913">
        <v>0</v>
      </c>
    </row>
    <row r="1914" spans="1:6" x14ac:dyDescent="0.25">
      <c r="A1914">
        <v>18159</v>
      </c>
      <c r="B1914" t="s">
        <v>85</v>
      </c>
      <c r="C1914">
        <v>16</v>
      </c>
      <c r="D1914">
        <v>0</v>
      </c>
      <c r="E1914">
        <v>6.2792243105450493E-2</v>
      </c>
      <c r="F1914">
        <v>0</v>
      </c>
    </row>
    <row r="1915" spans="1:6" x14ac:dyDescent="0.25">
      <c r="A1915">
        <v>18159</v>
      </c>
      <c r="B1915" t="s">
        <v>85</v>
      </c>
      <c r="C1915">
        <v>17</v>
      </c>
      <c r="D1915">
        <v>0</v>
      </c>
      <c r="E1915">
        <v>0</v>
      </c>
      <c r="F1915">
        <v>0</v>
      </c>
    </row>
    <row r="1916" spans="1:6" x14ac:dyDescent="0.25">
      <c r="A1916">
        <v>18159</v>
      </c>
      <c r="B1916" t="s">
        <v>85</v>
      </c>
      <c r="C1916">
        <v>18</v>
      </c>
      <c r="D1916">
        <v>0</v>
      </c>
      <c r="E1916">
        <v>0</v>
      </c>
      <c r="F1916">
        <v>0</v>
      </c>
    </row>
    <row r="1917" spans="1:6" x14ac:dyDescent="0.25">
      <c r="A1917">
        <v>18159</v>
      </c>
      <c r="B1917" t="s">
        <v>85</v>
      </c>
      <c r="C1917">
        <v>19</v>
      </c>
      <c r="D1917">
        <v>0</v>
      </c>
      <c r="E1917">
        <v>0</v>
      </c>
      <c r="F1917">
        <v>0</v>
      </c>
    </row>
    <row r="1918" spans="1:6" x14ac:dyDescent="0.25">
      <c r="A1918">
        <v>18159</v>
      </c>
      <c r="B1918" t="s">
        <v>85</v>
      </c>
      <c r="C1918">
        <v>20</v>
      </c>
      <c r="D1918">
        <v>0</v>
      </c>
      <c r="E1918">
        <v>0</v>
      </c>
      <c r="F1918">
        <v>0</v>
      </c>
    </row>
    <row r="1919" spans="1:6" x14ac:dyDescent="0.25">
      <c r="A1919">
        <v>18159</v>
      </c>
      <c r="B1919" t="s">
        <v>85</v>
      </c>
      <c r="C1919">
        <v>21</v>
      </c>
      <c r="D1919">
        <v>0</v>
      </c>
      <c r="E1919">
        <v>0</v>
      </c>
      <c r="F1919">
        <v>0</v>
      </c>
    </row>
    <row r="1920" spans="1:6" x14ac:dyDescent="0.25">
      <c r="A1920">
        <v>18159</v>
      </c>
      <c r="B1920" t="s">
        <v>85</v>
      </c>
      <c r="C1920">
        <v>22</v>
      </c>
      <c r="D1920">
        <v>0</v>
      </c>
      <c r="E1920">
        <v>0</v>
      </c>
      <c r="F1920">
        <v>0</v>
      </c>
    </row>
    <row r="1921" spans="1:6" x14ac:dyDescent="0.25">
      <c r="A1921">
        <v>18159</v>
      </c>
      <c r="B1921" t="s">
        <v>85</v>
      </c>
      <c r="C1921">
        <v>23</v>
      </c>
      <c r="D1921">
        <v>0</v>
      </c>
      <c r="E1921">
        <v>0</v>
      </c>
      <c r="F1921">
        <v>0</v>
      </c>
    </row>
    <row r="1922" spans="1:6" x14ac:dyDescent="0.25">
      <c r="A1922">
        <v>18161</v>
      </c>
      <c r="B1922" t="s">
        <v>86</v>
      </c>
      <c r="C1922">
        <v>0</v>
      </c>
      <c r="D1922">
        <v>0</v>
      </c>
      <c r="E1922">
        <v>0</v>
      </c>
      <c r="F1922">
        <v>0</v>
      </c>
    </row>
    <row r="1923" spans="1:6" x14ac:dyDescent="0.25">
      <c r="A1923">
        <v>18161</v>
      </c>
      <c r="B1923" t="s">
        <v>86</v>
      </c>
      <c r="C1923">
        <v>1</v>
      </c>
      <c r="D1923">
        <v>0</v>
      </c>
      <c r="E1923">
        <v>0</v>
      </c>
      <c r="F1923">
        <v>0</v>
      </c>
    </row>
    <row r="1924" spans="1:6" x14ac:dyDescent="0.25">
      <c r="A1924">
        <v>18161</v>
      </c>
      <c r="B1924" t="s">
        <v>86</v>
      </c>
      <c r="C1924">
        <v>2</v>
      </c>
      <c r="D1924">
        <v>0</v>
      </c>
      <c r="E1924">
        <v>0</v>
      </c>
      <c r="F1924">
        <v>0</v>
      </c>
    </row>
    <row r="1925" spans="1:6" x14ac:dyDescent="0.25">
      <c r="A1925">
        <v>18161</v>
      </c>
      <c r="B1925" t="s">
        <v>86</v>
      </c>
      <c r="C1925">
        <v>3</v>
      </c>
      <c r="D1925">
        <v>0</v>
      </c>
      <c r="E1925">
        <v>0</v>
      </c>
      <c r="F1925">
        <v>0</v>
      </c>
    </row>
    <row r="1926" spans="1:6" x14ac:dyDescent="0.25">
      <c r="A1926">
        <v>18161</v>
      </c>
      <c r="B1926" t="s">
        <v>86</v>
      </c>
      <c r="C1926">
        <v>4</v>
      </c>
      <c r="D1926">
        <v>0</v>
      </c>
      <c r="E1926">
        <v>0</v>
      </c>
      <c r="F1926">
        <v>0</v>
      </c>
    </row>
    <row r="1927" spans="1:6" x14ac:dyDescent="0.25">
      <c r="A1927">
        <v>18161</v>
      </c>
      <c r="B1927" t="s">
        <v>86</v>
      </c>
      <c r="C1927">
        <v>5</v>
      </c>
      <c r="D1927">
        <v>0</v>
      </c>
      <c r="E1927">
        <v>0</v>
      </c>
      <c r="F1927">
        <v>0</v>
      </c>
    </row>
    <row r="1928" spans="1:6" x14ac:dyDescent="0.25">
      <c r="A1928">
        <v>18161</v>
      </c>
      <c r="B1928" t="s">
        <v>86</v>
      </c>
      <c r="C1928">
        <v>6</v>
      </c>
      <c r="D1928">
        <v>0</v>
      </c>
      <c r="E1928">
        <v>0</v>
      </c>
      <c r="F1928">
        <v>0</v>
      </c>
    </row>
    <row r="1929" spans="1:6" x14ac:dyDescent="0.25">
      <c r="A1929">
        <v>18161</v>
      </c>
      <c r="B1929" t="s">
        <v>86</v>
      </c>
      <c r="C1929">
        <v>7</v>
      </c>
      <c r="D1929">
        <v>0</v>
      </c>
      <c r="E1929">
        <v>0.212803009158122</v>
      </c>
      <c r="F1929">
        <v>0</v>
      </c>
    </row>
    <row r="1930" spans="1:6" x14ac:dyDescent="0.25">
      <c r="A1930">
        <v>18161</v>
      </c>
      <c r="B1930" t="s">
        <v>86</v>
      </c>
      <c r="C1930">
        <v>8</v>
      </c>
      <c r="D1930">
        <v>0</v>
      </c>
      <c r="E1930">
        <v>0.35467168193020399</v>
      </c>
      <c r="F1930">
        <v>0</v>
      </c>
    </row>
    <row r="1931" spans="1:6" x14ac:dyDescent="0.25">
      <c r="A1931">
        <v>18161</v>
      </c>
      <c r="B1931" t="s">
        <v>86</v>
      </c>
      <c r="C1931">
        <v>9</v>
      </c>
      <c r="D1931">
        <v>0</v>
      </c>
      <c r="E1931">
        <v>0</v>
      </c>
      <c r="F1931">
        <v>0</v>
      </c>
    </row>
    <row r="1932" spans="1:6" x14ac:dyDescent="0.25">
      <c r="A1932">
        <v>18161</v>
      </c>
      <c r="B1932" t="s">
        <v>86</v>
      </c>
      <c r="C1932">
        <v>10</v>
      </c>
      <c r="D1932">
        <v>0</v>
      </c>
      <c r="E1932">
        <v>0</v>
      </c>
      <c r="F1932">
        <v>0</v>
      </c>
    </row>
    <row r="1933" spans="1:6" x14ac:dyDescent="0.25">
      <c r="A1933">
        <v>18161</v>
      </c>
      <c r="B1933" t="s">
        <v>86</v>
      </c>
      <c r="C1933">
        <v>11</v>
      </c>
      <c r="D1933">
        <v>0</v>
      </c>
      <c r="E1933">
        <v>0.14186867277208101</v>
      </c>
      <c r="F1933">
        <v>0</v>
      </c>
    </row>
    <row r="1934" spans="1:6" x14ac:dyDescent="0.25">
      <c r="A1934">
        <v>18161</v>
      </c>
      <c r="B1934" t="s">
        <v>86</v>
      </c>
      <c r="C1934">
        <v>12</v>
      </c>
      <c r="D1934">
        <v>0</v>
      </c>
      <c r="E1934">
        <v>0</v>
      </c>
      <c r="F1934">
        <v>0</v>
      </c>
    </row>
    <row r="1935" spans="1:6" x14ac:dyDescent="0.25">
      <c r="A1935">
        <v>18161</v>
      </c>
      <c r="B1935" t="s">
        <v>86</v>
      </c>
      <c r="C1935">
        <v>13</v>
      </c>
      <c r="D1935">
        <v>0</v>
      </c>
      <c r="E1935">
        <v>0</v>
      </c>
      <c r="F1935">
        <v>0</v>
      </c>
    </row>
    <row r="1936" spans="1:6" x14ac:dyDescent="0.25">
      <c r="A1936">
        <v>18161</v>
      </c>
      <c r="B1936" t="s">
        <v>86</v>
      </c>
      <c r="C1936">
        <v>14</v>
      </c>
      <c r="D1936">
        <v>0</v>
      </c>
      <c r="E1936">
        <v>0</v>
      </c>
      <c r="F1936">
        <v>0</v>
      </c>
    </row>
    <row r="1937" spans="1:6" x14ac:dyDescent="0.25">
      <c r="A1937">
        <v>18161</v>
      </c>
      <c r="B1937" t="s">
        <v>86</v>
      </c>
      <c r="C1937">
        <v>15</v>
      </c>
      <c r="D1937">
        <v>0</v>
      </c>
      <c r="E1937">
        <v>0</v>
      </c>
      <c r="F1937">
        <v>0</v>
      </c>
    </row>
    <row r="1938" spans="1:6" x14ac:dyDescent="0.25">
      <c r="A1938">
        <v>18161</v>
      </c>
      <c r="B1938" t="s">
        <v>86</v>
      </c>
      <c r="C1938">
        <v>16</v>
      </c>
      <c r="D1938">
        <v>0</v>
      </c>
      <c r="E1938">
        <v>0</v>
      </c>
      <c r="F1938">
        <v>0</v>
      </c>
    </row>
    <row r="1939" spans="1:6" x14ac:dyDescent="0.25">
      <c r="A1939">
        <v>18161</v>
      </c>
      <c r="B1939" t="s">
        <v>86</v>
      </c>
      <c r="C1939">
        <v>17</v>
      </c>
      <c r="D1939">
        <v>0</v>
      </c>
      <c r="E1939">
        <v>0</v>
      </c>
      <c r="F1939">
        <v>0</v>
      </c>
    </row>
    <row r="1940" spans="1:6" x14ac:dyDescent="0.25">
      <c r="A1940">
        <v>18161</v>
      </c>
      <c r="B1940" t="s">
        <v>86</v>
      </c>
      <c r="C1940">
        <v>18</v>
      </c>
      <c r="D1940">
        <v>0</v>
      </c>
      <c r="E1940">
        <v>0</v>
      </c>
      <c r="F1940">
        <v>0</v>
      </c>
    </row>
    <row r="1941" spans="1:6" x14ac:dyDescent="0.25">
      <c r="A1941">
        <v>18161</v>
      </c>
      <c r="B1941" t="s">
        <v>86</v>
      </c>
      <c r="C1941">
        <v>19</v>
      </c>
      <c r="D1941">
        <v>0</v>
      </c>
      <c r="E1941">
        <v>0</v>
      </c>
      <c r="F1941">
        <v>0</v>
      </c>
    </row>
    <row r="1942" spans="1:6" x14ac:dyDescent="0.25">
      <c r="A1942">
        <v>18161</v>
      </c>
      <c r="B1942" t="s">
        <v>86</v>
      </c>
      <c r="C1942">
        <v>20</v>
      </c>
      <c r="D1942">
        <v>0</v>
      </c>
      <c r="E1942">
        <v>0</v>
      </c>
      <c r="F1942">
        <v>0</v>
      </c>
    </row>
    <row r="1943" spans="1:6" x14ac:dyDescent="0.25">
      <c r="A1943">
        <v>18161</v>
      </c>
      <c r="B1943" t="s">
        <v>86</v>
      </c>
      <c r="C1943">
        <v>21</v>
      </c>
      <c r="D1943">
        <v>0</v>
      </c>
      <c r="E1943">
        <v>0</v>
      </c>
      <c r="F1943">
        <v>0</v>
      </c>
    </row>
    <row r="1944" spans="1:6" x14ac:dyDescent="0.25">
      <c r="A1944">
        <v>18161</v>
      </c>
      <c r="B1944" t="s">
        <v>86</v>
      </c>
      <c r="C1944">
        <v>22</v>
      </c>
      <c r="D1944">
        <v>0</v>
      </c>
      <c r="E1944">
        <v>0</v>
      </c>
      <c r="F1944">
        <v>0</v>
      </c>
    </row>
    <row r="1945" spans="1:6" x14ac:dyDescent="0.25">
      <c r="A1945">
        <v>18161</v>
      </c>
      <c r="B1945" t="s">
        <v>86</v>
      </c>
      <c r="C1945">
        <v>23</v>
      </c>
      <c r="D1945">
        <v>0</v>
      </c>
      <c r="E1945">
        <v>0</v>
      </c>
      <c r="F1945">
        <v>0</v>
      </c>
    </row>
    <row r="1946" spans="1:6" x14ac:dyDescent="0.25">
      <c r="A1946">
        <v>18163</v>
      </c>
      <c r="B1946" t="s">
        <v>87</v>
      </c>
      <c r="C1946">
        <v>0</v>
      </c>
      <c r="D1946">
        <v>3.1273694659344802</v>
      </c>
      <c r="E1946">
        <v>33.270689619519899</v>
      </c>
      <c r="F1946">
        <v>62</v>
      </c>
    </row>
    <row r="1947" spans="1:6" x14ac:dyDescent="0.25">
      <c r="A1947">
        <v>18163</v>
      </c>
      <c r="B1947" t="s">
        <v>87</v>
      </c>
      <c r="C1947">
        <v>1</v>
      </c>
      <c r="D1947">
        <v>3.0143320153585398</v>
      </c>
      <c r="E1947">
        <v>38.960241298509096</v>
      </c>
      <c r="F1947">
        <v>62</v>
      </c>
    </row>
    <row r="1948" spans="1:6" x14ac:dyDescent="0.25">
      <c r="A1948">
        <v>18163</v>
      </c>
      <c r="B1948" t="s">
        <v>87</v>
      </c>
      <c r="C1948">
        <v>2</v>
      </c>
      <c r="D1948">
        <v>2.8636154145906101</v>
      </c>
      <c r="E1948">
        <v>31.989598512992501</v>
      </c>
      <c r="F1948">
        <v>62</v>
      </c>
    </row>
    <row r="1949" spans="1:6" x14ac:dyDescent="0.25">
      <c r="A1949">
        <v>18163</v>
      </c>
      <c r="B1949" t="s">
        <v>87</v>
      </c>
      <c r="C1949">
        <v>3</v>
      </c>
      <c r="D1949">
        <v>3.2027277663184499</v>
      </c>
      <c r="E1949">
        <v>23.059639917492799</v>
      </c>
      <c r="F1949">
        <v>62</v>
      </c>
    </row>
    <row r="1950" spans="1:6" x14ac:dyDescent="0.25">
      <c r="A1950">
        <v>18163</v>
      </c>
      <c r="B1950" t="s">
        <v>87</v>
      </c>
      <c r="C1950">
        <v>4</v>
      </c>
      <c r="D1950">
        <v>3.54184011804628</v>
      </c>
      <c r="E1950">
        <v>14.2050396223771</v>
      </c>
      <c r="F1950">
        <v>62</v>
      </c>
    </row>
    <row r="1951" spans="1:6" x14ac:dyDescent="0.25">
      <c r="A1951">
        <v>18163</v>
      </c>
      <c r="B1951" t="s">
        <v>87</v>
      </c>
      <c r="C1951">
        <v>5</v>
      </c>
      <c r="D1951">
        <v>4.0693482207340299</v>
      </c>
      <c r="E1951">
        <v>15.2977349779446</v>
      </c>
      <c r="F1951">
        <v>62</v>
      </c>
    </row>
    <row r="1952" spans="1:6" x14ac:dyDescent="0.25">
      <c r="A1952">
        <v>18163</v>
      </c>
      <c r="B1952" t="s">
        <v>87</v>
      </c>
      <c r="C1952">
        <v>6</v>
      </c>
      <c r="D1952">
        <v>5.2374018766854604</v>
      </c>
      <c r="E1952">
        <v>20.874249206357899</v>
      </c>
      <c r="F1952">
        <v>62</v>
      </c>
    </row>
    <row r="1953" spans="1:6" x14ac:dyDescent="0.25">
      <c r="A1953">
        <v>18163</v>
      </c>
      <c r="B1953" t="s">
        <v>87</v>
      </c>
      <c r="C1953">
        <v>7</v>
      </c>
      <c r="D1953">
        <v>6.93296363532464</v>
      </c>
      <c r="E1953">
        <v>21.3263990086616</v>
      </c>
      <c r="F1953">
        <v>62</v>
      </c>
    </row>
    <row r="1954" spans="1:6" x14ac:dyDescent="0.25">
      <c r="A1954">
        <v>18163</v>
      </c>
      <c r="B1954" t="s">
        <v>87</v>
      </c>
      <c r="C1954">
        <v>8</v>
      </c>
      <c r="D1954">
        <v>5.9156265801411303</v>
      </c>
      <c r="E1954">
        <v>29.1259830984019</v>
      </c>
      <c r="F1954">
        <v>62</v>
      </c>
    </row>
    <row r="1955" spans="1:6" x14ac:dyDescent="0.25">
      <c r="A1955">
        <v>18163</v>
      </c>
      <c r="B1955" t="s">
        <v>87</v>
      </c>
      <c r="C1955">
        <v>9</v>
      </c>
      <c r="D1955">
        <v>5.6895516789892397</v>
      </c>
      <c r="E1955">
        <v>37.227000389677897</v>
      </c>
      <c r="F1955">
        <v>62</v>
      </c>
    </row>
    <row r="1956" spans="1:6" x14ac:dyDescent="0.25">
      <c r="A1956">
        <v>18163</v>
      </c>
      <c r="B1956" t="s">
        <v>87</v>
      </c>
      <c r="C1956">
        <v>10</v>
      </c>
      <c r="D1956">
        <v>5.6895516789892397</v>
      </c>
      <c r="E1956">
        <v>36.661813136798202</v>
      </c>
      <c r="F1956">
        <v>62</v>
      </c>
    </row>
    <row r="1957" spans="1:6" x14ac:dyDescent="0.25">
      <c r="A1957">
        <v>18163</v>
      </c>
      <c r="B1957" t="s">
        <v>87</v>
      </c>
      <c r="C1957">
        <v>11</v>
      </c>
      <c r="D1957">
        <v>5.6141933786052798</v>
      </c>
      <c r="E1957">
        <v>36.925567188142097</v>
      </c>
      <c r="F1957">
        <v>62</v>
      </c>
    </row>
    <row r="1958" spans="1:6" x14ac:dyDescent="0.25">
      <c r="A1958">
        <v>18163</v>
      </c>
      <c r="B1958" t="s">
        <v>87</v>
      </c>
      <c r="C1958">
        <v>12</v>
      </c>
      <c r="D1958">
        <v>5.4634767778373501</v>
      </c>
      <c r="E1958">
        <v>39.073278749085098</v>
      </c>
      <c r="F1958">
        <v>62</v>
      </c>
    </row>
    <row r="1959" spans="1:6" x14ac:dyDescent="0.25">
      <c r="A1959">
        <v>18163</v>
      </c>
      <c r="B1959" t="s">
        <v>87</v>
      </c>
      <c r="C1959">
        <v>13</v>
      </c>
      <c r="D1959">
        <v>3.8809524697741198</v>
      </c>
      <c r="E1959">
        <v>29.3520579995538</v>
      </c>
      <c r="F1959">
        <v>62</v>
      </c>
    </row>
    <row r="1960" spans="1:6" x14ac:dyDescent="0.25">
      <c r="A1960">
        <v>18163</v>
      </c>
      <c r="B1960" t="s">
        <v>87</v>
      </c>
      <c r="C1960">
        <v>14</v>
      </c>
      <c r="D1960">
        <v>3.0143320153585398</v>
      </c>
      <c r="E1960">
        <v>19.894591301366301</v>
      </c>
      <c r="F1960">
        <v>62</v>
      </c>
    </row>
    <row r="1961" spans="1:6" x14ac:dyDescent="0.25">
      <c r="A1961">
        <v>18163</v>
      </c>
      <c r="B1961" t="s">
        <v>87</v>
      </c>
      <c r="C1961">
        <v>15</v>
      </c>
      <c r="D1961">
        <v>2.2607490115189002</v>
      </c>
      <c r="E1961">
        <v>18.500462744263</v>
      </c>
      <c r="F1961">
        <v>62</v>
      </c>
    </row>
    <row r="1962" spans="1:6" x14ac:dyDescent="0.25">
      <c r="A1962">
        <v>18163</v>
      </c>
      <c r="B1962" t="s">
        <v>87</v>
      </c>
      <c r="C1962">
        <v>16</v>
      </c>
      <c r="D1962">
        <v>1.9969949601750301</v>
      </c>
      <c r="E1962">
        <v>16.352751183319999</v>
      </c>
      <c r="F1962">
        <v>62</v>
      </c>
    </row>
    <row r="1963" spans="1:6" x14ac:dyDescent="0.25">
      <c r="A1963">
        <v>18163</v>
      </c>
      <c r="B1963" t="s">
        <v>87</v>
      </c>
      <c r="C1963">
        <v>17</v>
      </c>
      <c r="D1963">
        <v>6.4431346828288802</v>
      </c>
      <c r="E1963">
        <v>10.098012251451101</v>
      </c>
      <c r="F1963">
        <v>62</v>
      </c>
    </row>
    <row r="1964" spans="1:6" x14ac:dyDescent="0.25">
      <c r="A1964">
        <v>18163</v>
      </c>
      <c r="B1964" t="s">
        <v>87</v>
      </c>
      <c r="C1964">
        <v>18</v>
      </c>
      <c r="D1964">
        <v>7.7619049395482396</v>
      </c>
      <c r="E1964">
        <v>10.173370551834999</v>
      </c>
      <c r="F1964">
        <v>62</v>
      </c>
    </row>
    <row r="1965" spans="1:6" x14ac:dyDescent="0.25">
      <c r="A1965">
        <v>18163</v>
      </c>
      <c r="B1965" t="s">
        <v>87</v>
      </c>
      <c r="C1965">
        <v>19</v>
      </c>
      <c r="D1965">
        <v>2.4114656122868299</v>
      </c>
      <c r="E1965">
        <v>16.390430333512001</v>
      </c>
      <c r="F1965">
        <v>62</v>
      </c>
    </row>
    <row r="1966" spans="1:6" x14ac:dyDescent="0.25">
      <c r="A1966">
        <v>18163</v>
      </c>
      <c r="B1966" t="s">
        <v>87</v>
      </c>
      <c r="C1966">
        <v>20</v>
      </c>
      <c r="D1966">
        <v>2.56218221305476</v>
      </c>
      <c r="E1966">
        <v>17.596163139655399</v>
      </c>
      <c r="F1966">
        <v>62</v>
      </c>
    </row>
    <row r="1967" spans="1:6" x14ac:dyDescent="0.25">
      <c r="A1967">
        <v>18163</v>
      </c>
      <c r="B1967" t="s">
        <v>87</v>
      </c>
      <c r="C1967">
        <v>21</v>
      </c>
      <c r="D1967">
        <v>2.7128988138226799</v>
      </c>
      <c r="E1967">
        <v>17.5584839894635</v>
      </c>
      <c r="F1967">
        <v>62</v>
      </c>
    </row>
    <row r="1968" spans="1:6" x14ac:dyDescent="0.25">
      <c r="A1968">
        <v>18163</v>
      </c>
      <c r="B1968" t="s">
        <v>87</v>
      </c>
      <c r="C1968">
        <v>22</v>
      </c>
      <c r="D1968">
        <v>2.9012945647825901</v>
      </c>
      <c r="E1968">
        <v>23.021960767300801</v>
      </c>
      <c r="F1968">
        <v>62</v>
      </c>
    </row>
    <row r="1969" spans="1:6" x14ac:dyDescent="0.25">
      <c r="A1969">
        <v>18163</v>
      </c>
      <c r="B1969" t="s">
        <v>87</v>
      </c>
      <c r="C1969">
        <v>23</v>
      </c>
      <c r="D1969">
        <v>2.9766528651665598</v>
      </c>
      <c r="E1969">
        <v>31.876561062416499</v>
      </c>
      <c r="F1969">
        <v>62</v>
      </c>
    </row>
    <row r="1970" spans="1:6" x14ac:dyDescent="0.25">
      <c r="A1970">
        <v>18165</v>
      </c>
      <c r="B1970" t="s">
        <v>88</v>
      </c>
      <c r="C1970">
        <v>0</v>
      </c>
      <c r="D1970">
        <v>105.83806840677801</v>
      </c>
      <c r="E1970">
        <v>1.6298957380080099</v>
      </c>
      <c r="F1970">
        <v>119</v>
      </c>
    </row>
    <row r="1971" spans="1:6" x14ac:dyDescent="0.25">
      <c r="A1971">
        <v>18165</v>
      </c>
      <c r="B1971" t="s">
        <v>88</v>
      </c>
      <c r="C1971">
        <v>1</v>
      </c>
      <c r="D1971">
        <v>107.20507773543</v>
      </c>
      <c r="E1971">
        <v>1.94535942923537</v>
      </c>
      <c r="F1971">
        <v>119</v>
      </c>
    </row>
    <row r="1972" spans="1:6" x14ac:dyDescent="0.25">
      <c r="A1972">
        <v>18165</v>
      </c>
      <c r="B1972" t="s">
        <v>88</v>
      </c>
      <c r="C1972">
        <v>2</v>
      </c>
      <c r="D1972">
        <v>106.206109379876</v>
      </c>
      <c r="E1972">
        <v>2.26082312046272</v>
      </c>
      <c r="F1972">
        <v>119</v>
      </c>
    </row>
    <row r="1973" spans="1:6" x14ac:dyDescent="0.25">
      <c r="A1973">
        <v>18165</v>
      </c>
      <c r="B1973" t="s">
        <v>88</v>
      </c>
      <c r="C1973">
        <v>3</v>
      </c>
      <c r="D1973">
        <v>105.890645688649</v>
      </c>
      <c r="E1973">
        <v>2.5237095298188499</v>
      </c>
      <c r="F1973">
        <v>119</v>
      </c>
    </row>
    <row r="1974" spans="1:6" x14ac:dyDescent="0.25">
      <c r="A1974">
        <v>18165</v>
      </c>
      <c r="B1974" t="s">
        <v>88</v>
      </c>
      <c r="C1974">
        <v>4</v>
      </c>
      <c r="D1974">
        <v>106.62672763484601</v>
      </c>
      <c r="E1974">
        <v>2.4185549660764001</v>
      </c>
      <c r="F1974">
        <v>119</v>
      </c>
    </row>
    <row r="1975" spans="1:6" x14ac:dyDescent="0.25">
      <c r="A1975">
        <v>18165</v>
      </c>
      <c r="B1975" t="s">
        <v>88</v>
      </c>
      <c r="C1975">
        <v>5</v>
      </c>
      <c r="D1975">
        <v>103.419513440701</v>
      </c>
      <c r="E1975">
        <v>2.2082458385915</v>
      </c>
      <c r="F1975">
        <v>119</v>
      </c>
    </row>
    <row r="1976" spans="1:6" x14ac:dyDescent="0.25">
      <c r="A1976">
        <v>18165</v>
      </c>
      <c r="B1976" t="s">
        <v>88</v>
      </c>
      <c r="C1976">
        <v>6</v>
      </c>
      <c r="D1976">
        <v>96.216425824343901</v>
      </c>
      <c r="E1976">
        <v>2.4711322479476299</v>
      </c>
      <c r="F1976">
        <v>119</v>
      </c>
    </row>
    <row r="1977" spans="1:6" x14ac:dyDescent="0.25">
      <c r="A1977">
        <v>18165</v>
      </c>
      <c r="B1977" t="s">
        <v>88</v>
      </c>
      <c r="C1977">
        <v>7</v>
      </c>
      <c r="D1977">
        <v>83.177259920279795</v>
      </c>
      <c r="E1977">
        <v>2.99690506665989</v>
      </c>
      <c r="F1977">
        <v>119</v>
      </c>
    </row>
    <row r="1978" spans="1:6" x14ac:dyDescent="0.25">
      <c r="A1978">
        <v>18165</v>
      </c>
      <c r="B1978" t="s">
        <v>88</v>
      </c>
      <c r="C1978">
        <v>8</v>
      </c>
      <c r="D1978">
        <v>64.302015728509602</v>
      </c>
      <c r="E1978">
        <v>2.7865959391749802</v>
      </c>
      <c r="F1978">
        <v>119</v>
      </c>
    </row>
    <row r="1979" spans="1:6" x14ac:dyDescent="0.25">
      <c r="A1979">
        <v>18165</v>
      </c>
      <c r="B1979" t="s">
        <v>88</v>
      </c>
      <c r="C1979">
        <v>9</v>
      </c>
      <c r="D1979">
        <v>51.630890797544097</v>
      </c>
      <c r="E1979">
        <v>2.10309127484904</v>
      </c>
      <c r="F1979">
        <v>119</v>
      </c>
    </row>
    <row r="1980" spans="1:6" x14ac:dyDescent="0.25">
      <c r="A1980">
        <v>18165</v>
      </c>
      <c r="B1980" t="s">
        <v>88</v>
      </c>
      <c r="C1980">
        <v>10</v>
      </c>
      <c r="D1980">
        <v>45.006153281769599</v>
      </c>
      <c r="E1980">
        <v>1.15670020116697</v>
      </c>
      <c r="F1980">
        <v>119</v>
      </c>
    </row>
    <row r="1981" spans="1:6" x14ac:dyDescent="0.25">
      <c r="A1981">
        <v>18165</v>
      </c>
      <c r="B1981" t="s">
        <v>88</v>
      </c>
      <c r="C1981">
        <v>11</v>
      </c>
      <c r="D1981">
        <v>41.378320832655</v>
      </c>
      <c r="E1981">
        <v>0.89381379181084497</v>
      </c>
      <c r="F1981">
        <v>119</v>
      </c>
    </row>
    <row r="1982" spans="1:6" x14ac:dyDescent="0.25">
      <c r="A1982">
        <v>18165</v>
      </c>
      <c r="B1982" t="s">
        <v>88</v>
      </c>
      <c r="C1982">
        <v>12</v>
      </c>
      <c r="D1982">
        <v>42.377289188208302</v>
      </c>
      <c r="E1982">
        <v>0.78865922806839295</v>
      </c>
      <c r="F1982">
        <v>119</v>
      </c>
    </row>
    <row r="1983" spans="1:6" x14ac:dyDescent="0.25">
      <c r="A1983">
        <v>18165</v>
      </c>
      <c r="B1983" t="s">
        <v>88</v>
      </c>
      <c r="C1983">
        <v>13</v>
      </c>
      <c r="D1983">
        <v>44.059762208087498</v>
      </c>
      <c r="E1983">
        <v>0.99896835555329799</v>
      </c>
      <c r="F1983">
        <v>119</v>
      </c>
    </row>
    <row r="1984" spans="1:6" x14ac:dyDescent="0.25">
      <c r="A1984">
        <v>18165</v>
      </c>
      <c r="B1984" t="s">
        <v>88</v>
      </c>
      <c r="C1984">
        <v>14</v>
      </c>
      <c r="D1984">
        <v>47.056667274747397</v>
      </c>
      <c r="E1984">
        <v>1.4721638923943301</v>
      </c>
      <c r="F1984">
        <v>119</v>
      </c>
    </row>
    <row r="1985" spans="1:6" x14ac:dyDescent="0.25">
      <c r="A1985">
        <v>18165</v>
      </c>
      <c r="B1985" t="s">
        <v>88</v>
      </c>
      <c r="C1985">
        <v>15</v>
      </c>
      <c r="D1985">
        <v>50.369036032634703</v>
      </c>
      <c r="E1985">
        <v>1.5773184561367799</v>
      </c>
      <c r="F1985">
        <v>119</v>
      </c>
    </row>
    <row r="1986" spans="1:6" x14ac:dyDescent="0.25">
      <c r="A1986">
        <v>18165</v>
      </c>
      <c r="B1986" t="s">
        <v>88</v>
      </c>
      <c r="C1986">
        <v>16</v>
      </c>
      <c r="D1986">
        <v>52.3669727437413</v>
      </c>
      <c r="E1986">
        <v>0.78865922806839295</v>
      </c>
      <c r="F1986">
        <v>119</v>
      </c>
    </row>
    <row r="1987" spans="1:6" x14ac:dyDescent="0.25">
      <c r="A1987">
        <v>18165</v>
      </c>
      <c r="B1987" t="s">
        <v>88</v>
      </c>
      <c r="C1987">
        <v>17</v>
      </c>
      <c r="D1987">
        <v>56.362846165954501</v>
      </c>
      <c r="E1987">
        <v>0.105154563742452</v>
      </c>
      <c r="F1987">
        <v>119</v>
      </c>
    </row>
    <row r="1988" spans="1:6" x14ac:dyDescent="0.25">
      <c r="A1988">
        <v>18165</v>
      </c>
      <c r="B1988" t="s">
        <v>88</v>
      </c>
      <c r="C1988">
        <v>18</v>
      </c>
      <c r="D1988">
        <v>65.300984084062904</v>
      </c>
      <c r="E1988">
        <v>0</v>
      </c>
      <c r="F1988">
        <v>119</v>
      </c>
    </row>
    <row r="1989" spans="1:6" x14ac:dyDescent="0.25">
      <c r="A1989">
        <v>18165</v>
      </c>
      <c r="B1989" t="s">
        <v>88</v>
      </c>
      <c r="C1989">
        <v>19</v>
      </c>
      <c r="D1989">
        <v>72.766958109776994</v>
      </c>
      <c r="E1989">
        <v>0</v>
      </c>
      <c r="F1989">
        <v>119</v>
      </c>
    </row>
    <row r="1990" spans="1:6" x14ac:dyDescent="0.25">
      <c r="A1990">
        <v>18165</v>
      </c>
      <c r="B1990" t="s">
        <v>88</v>
      </c>
      <c r="C1990">
        <v>20</v>
      </c>
      <c r="D1990">
        <v>83.124682638408601</v>
      </c>
      <c r="E1990">
        <v>0.262886409356131</v>
      </c>
      <c r="F1990">
        <v>119</v>
      </c>
    </row>
    <row r="1991" spans="1:6" x14ac:dyDescent="0.25">
      <c r="A1991">
        <v>18165</v>
      </c>
      <c r="B1991" t="s">
        <v>88</v>
      </c>
      <c r="C1991">
        <v>21</v>
      </c>
      <c r="D1991">
        <v>92.220552402130707</v>
      </c>
      <c r="E1991">
        <v>0.57835010058348801</v>
      </c>
      <c r="F1991">
        <v>119</v>
      </c>
    </row>
    <row r="1992" spans="1:6" x14ac:dyDescent="0.25">
      <c r="A1992">
        <v>18165</v>
      </c>
      <c r="B1992" t="s">
        <v>88</v>
      </c>
      <c r="C1992">
        <v>22</v>
      </c>
      <c r="D1992">
        <v>98.161785253579296</v>
      </c>
      <c r="E1992">
        <v>0.94639107368207098</v>
      </c>
      <c r="F1992">
        <v>119</v>
      </c>
    </row>
    <row r="1993" spans="1:6" x14ac:dyDescent="0.25">
      <c r="A1993">
        <v>18165</v>
      </c>
      <c r="B1993" t="s">
        <v>88</v>
      </c>
      <c r="C1993">
        <v>23</v>
      </c>
      <c r="D1993">
        <v>101.89477226643599</v>
      </c>
      <c r="E1993">
        <v>1.2092774830382</v>
      </c>
      <c r="F1993">
        <v>119</v>
      </c>
    </row>
    <row r="1994" spans="1:6" x14ac:dyDescent="0.25">
      <c r="A1994">
        <v>18167</v>
      </c>
      <c r="B1994" t="s">
        <v>89</v>
      </c>
      <c r="C1994">
        <v>0</v>
      </c>
      <c r="D1994">
        <v>56.327122738203698</v>
      </c>
      <c r="E1994">
        <v>4.5166215051839904</v>
      </c>
      <c r="F1994">
        <v>135</v>
      </c>
    </row>
    <row r="1995" spans="1:6" x14ac:dyDescent="0.25">
      <c r="A1995">
        <v>18167</v>
      </c>
      <c r="B1995" t="s">
        <v>89</v>
      </c>
      <c r="C1995">
        <v>1</v>
      </c>
      <c r="D1995">
        <v>56.812379594132501</v>
      </c>
      <c r="E1995">
        <v>4.9645509106567802</v>
      </c>
      <c r="F1995">
        <v>135</v>
      </c>
    </row>
    <row r="1996" spans="1:6" x14ac:dyDescent="0.25">
      <c r="A1996">
        <v>18167</v>
      </c>
      <c r="B1996" t="s">
        <v>89</v>
      </c>
      <c r="C1996">
        <v>2</v>
      </c>
      <c r="D1996">
        <v>57.073671747325001</v>
      </c>
      <c r="E1996">
        <v>5.26317051430531</v>
      </c>
      <c r="F1996">
        <v>135</v>
      </c>
    </row>
    <row r="1997" spans="1:6" x14ac:dyDescent="0.25">
      <c r="A1997">
        <v>18167</v>
      </c>
      <c r="B1997" t="s">
        <v>89</v>
      </c>
      <c r="C1997">
        <v>3</v>
      </c>
      <c r="D1997">
        <v>57.110999197781098</v>
      </c>
      <c r="E1997">
        <v>5.7484273702341699</v>
      </c>
      <c r="F1997">
        <v>135</v>
      </c>
    </row>
    <row r="1998" spans="1:6" x14ac:dyDescent="0.25">
      <c r="A1998">
        <v>18167</v>
      </c>
      <c r="B1998" t="s">
        <v>89</v>
      </c>
      <c r="C1998">
        <v>4</v>
      </c>
      <c r="D1998">
        <v>55.991175684099098</v>
      </c>
      <c r="E1998">
        <v>7.5028175416692804</v>
      </c>
      <c r="F1998">
        <v>135</v>
      </c>
    </row>
    <row r="1999" spans="1:6" x14ac:dyDescent="0.25">
      <c r="A1999">
        <v>18167</v>
      </c>
      <c r="B1999" t="s">
        <v>89</v>
      </c>
      <c r="C1999">
        <v>5</v>
      </c>
      <c r="D1999">
        <v>56.476432540027901</v>
      </c>
      <c r="E1999">
        <v>9.40651751492865</v>
      </c>
      <c r="F1999">
        <v>135</v>
      </c>
    </row>
    <row r="2000" spans="1:6" x14ac:dyDescent="0.25">
      <c r="A2000">
        <v>18167</v>
      </c>
      <c r="B2000" t="s">
        <v>89</v>
      </c>
      <c r="C2000">
        <v>6</v>
      </c>
      <c r="D2000">
        <v>53.863511008103302</v>
      </c>
      <c r="E2000">
        <v>12.43004100187</v>
      </c>
      <c r="F2000">
        <v>135</v>
      </c>
    </row>
    <row r="2001" spans="1:6" x14ac:dyDescent="0.25">
      <c r="A2001">
        <v>18167</v>
      </c>
      <c r="B2001" t="s">
        <v>89</v>
      </c>
      <c r="C2001">
        <v>7</v>
      </c>
      <c r="D2001">
        <v>48.451030691973699</v>
      </c>
      <c r="E2001">
        <v>17.6932115161753</v>
      </c>
      <c r="F2001">
        <v>135</v>
      </c>
    </row>
    <row r="2002" spans="1:6" x14ac:dyDescent="0.25">
      <c r="A2002">
        <v>18167</v>
      </c>
      <c r="B2002" t="s">
        <v>89</v>
      </c>
      <c r="C2002">
        <v>8</v>
      </c>
      <c r="D2002">
        <v>39.977699438446699</v>
      </c>
      <c r="E2002">
        <v>16.0508036961084</v>
      </c>
      <c r="F2002">
        <v>135</v>
      </c>
    </row>
    <row r="2003" spans="1:6" x14ac:dyDescent="0.25">
      <c r="A2003">
        <v>18167</v>
      </c>
      <c r="B2003" t="s">
        <v>89</v>
      </c>
      <c r="C2003">
        <v>9</v>
      </c>
      <c r="D2003">
        <v>32.512209347233501</v>
      </c>
      <c r="E2003">
        <v>15.266927236531</v>
      </c>
      <c r="F2003">
        <v>135</v>
      </c>
    </row>
    <row r="2004" spans="1:6" x14ac:dyDescent="0.25">
      <c r="A2004">
        <v>18167</v>
      </c>
      <c r="B2004" t="s">
        <v>89</v>
      </c>
      <c r="C2004">
        <v>10</v>
      </c>
      <c r="D2004">
        <v>28.182225094329802</v>
      </c>
      <c r="E2004">
        <v>13.4752096146398</v>
      </c>
      <c r="F2004">
        <v>135</v>
      </c>
    </row>
    <row r="2005" spans="1:6" x14ac:dyDescent="0.25">
      <c r="A2005">
        <v>18167</v>
      </c>
      <c r="B2005" t="s">
        <v>89</v>
      </c>
      <c r="C2005">
        <v>11</v>
      </c>
      <c r="D2005">
        <v>24.2255153459868</v>
      </c>
      <c r="E2005">
        <v>14.0724488219369</v>
      </c>
      <c r="F2005">
        <v>135</v>
      </c>
    </row>
    <row r="2006" spans="1:6" x14ac:dyDescent="0.25">
      <c r="A2006">
        <v>18167</v>
      </c>
      <c r="B2006" t="s">
        <v>89</v>
      </c>
      <c r="C2006">
        <v>12</v>
      </c>
      <c r="D2006">
        <v>23.628276138689799</v>
      </c>
      <c r="E2006">
        <v>11.310217488188</v>
      </c>
      <c r="F2006">
        <v>135</v>
      </c>
    </row>
    <row r="2007" spans="1:6" x14ac:dyDescent="0.25">
      <c r="A2007">
        <v>18167</v>
      </c>
      <c r="B2007" t="s">
        <v>89</v>
      </c>
      <c r="C2007">
        <v>13</v>
      </c>
      <c r="D2007">
        <v>23.740258490058</v>
      </c>
      <c r="E2007">
        <v>6.94290578482829</v>
      </c>
      <c r="F2007">
        <v>135</v>
      </c>
    </row>
    <row r="2008" spans="1:6" x14ac:dyDescent="0.25">
      <c r="A2008">
        <v>18167</v>
      </c>
      <c r="B2008" t="s">
        <v>89</v>
      </c>
      <c r="C2008">
        <v>14</v>
      </c>
      <c r="D2008">
        <v>23.255001634129101</v>
      </c>
      <c r="E2008">
        <v>5.11386071248105</v>
      </c>
      <c r="F2008">
        <v>135</v>
      </c>
    </row>
    <row r="2009" spans="1:6" x14ac:dyDescent="0.25">
      <c r="A2009">
        <v>18167</v>
      </c>
      <c r="B2009" t="s">
        <v>89</v>
      </c>
      <c r="C2009">
        <v>15</v>
      </c>
      <c r="D2009">
        <v>25.196029057844601</v>
      </c>
      <c r="E2009">
        <v>3.0981783878534799</v>
      </c>
      <c r="F2009">
        <v>135</v>
      </c>
    </row>
    <row r="2010" spans="1:6" x14ac:dyDescent="0.25">
      <c r="A2010">
        <v>18167</v>
      </c>
      <c r="B2010" t="s">
        <v>89</v>
      </c>
      <c r="C2010">
        <v>16</v>
      </c>
      <c r="D2010">
        <v>31.6163505362879</v>
      </c>
      <c r="E2010">
        <v>2.2396470273639602</v>
      </c>
      <c r="F2010">
        <v>135</v>
      </c>
    </row>
    <row r="2011" spans="1:6" x14ac:dyDescent="0.25">
      <c r="A2011">
        <v>18167</v>
      </c>
      <c r="B2011" t="s">
        <v>89</v>
      </c>
      <c r="C2011">
        <v>17</v>
      </c>
      <c r="D2011">
        <v>35.610387735087002</v>
      </c>
      <c r="E2011">
        <v>1.38111566687444</v>
      </c>
      <c r="F2011">
        <v>135</v>
      </c>
    </row>
    <row r="2012" spans="1:6" x14ac:dyDescent="0.25">
      <c r="A2012">
        <v>18167</v>
      </c>
      <c r="B2012" t="s">
        <v>89</v>
      </c>
      <c r="C2012">
        <v>18</v>
      </c>
      <c r="D2012">
        <v>37.999344564275198</v>
      </c>
      <c r="E2012">
        <v>1.4930980182426401</v>
      </c>
      <c r="F2012">
        <v>135</v>
      </c>
    </row>
    <row r="2013" spans="1:6" x14ac:dyDescent="0.25">
      <c r="A2013">
        <v>18167</v>
      </c>
      <c r="B2013" t="s">
        <v>89</v>
      </c>
      <c r="C2013">
        <v>19</v>
      </c>
      <c r="D2013">
        <v>41.620107258513599</v>
      </c>
      <c r="E2013">
        <v>1.23180586505018</v>
      </c>
      <c r="F2013">
        <v>135</v>
      </c>
    </row>
    <row r="2014" spans="1:6" x14ac:dyDescent="0.25">
      <c r="A2014">
        <v>18167</v>
      </c>
      <c r="B2014" t="s">
        <v>89</v>
      </c>
      <c r="C2014">
        <v>20</v>
      </c>
      <c r="D2014">
        <v>45.8381091600491</v>
      </c>
      <c r="E2014">
        <v>1.7170627209790399</v>
      </c>
      <c r="F2014">
        <v>135</v>
      </c>
    </row>
    <row r="2015" spans="1:6" x14ac:dyDescent="0.25">
      <c r="A2015">
        <v>18167</v>
      </c>
      <c r="B2015" t="s">
        <v>89</v>
      </c>
      <c r="C2015">
        <v>21</v>
      </c>
      <c r="D2015">
        <v>50.578695367969502</v>
      </c>
      <c r="E2015">
        <v>1.8663725228032999</v>
      </c>
      <c r="F2015">
        <v>135</v>
      </c>
    </row>
    <row r="2016" spans="1:6" x14ac:dyDescent="0.25">
      <c r="A2016">
        <v>18167</v>
      </c>
      <c r="B2016" t="s">
        <v>89</v>
      </c>
      <c r="C2016">
        <v>22</v>
      </c>
      <c r="D2016">
        <v>53.266271800806201</v>
      </c>
      <c r="E2016">
        <v>2.6502489823806901</v>
      </c>
      <c r="F2016">
        <v>135</v>
      </c>
    </row>
    <row r="2017" spans="1:6" x14ac:dyDescent="0.25">
      <c r="A2017">
        <v>18167</v>
      </c>
      <c r="B2017" t="s">
        <v>89</v>
      </c>
      <c r="C2017">
        <v>23</v>
      </c>
      <c r="D2017">
        <v>55.057989422697403</v>
      </c>
      <c r="E2017">
        <v>3.6207626942384099</v>
      </c>
      <c r="F2017">
        <v>135</v>
      </c>
    </row>
    <row r="2018" spans="1:6" x14ac:dyDescent="0.25">
      <c r="A2018">
        <v>18169</v>
      </c>
      <c r="B2018" t="s">
        <v>90</v>
      </c>
      <c r="C2018">
        <v>0</v>
      </c>
      <c r="D2018">
        <v>8.7696627295095695</v>
      </c>
      <c r="E2018">
        <v>1.2528089613585001</v>
      </c>
      <c r="F2018">
        <v>15</v>
      </c>
    </row>
    <row r="2019" spans="1:6" x14ac:dyDescent="0.25">
      <c r="A2019">
        <v>18169</v>
      </c>
      <c r="B2019" t="s">
        <v>90</v>
      </c>
      <c r="C2019">
        <v>1</v>
      </c>
      <c r="D2019">
        <v>8.7696627295095695</v>
      </c>
      <c r="E2019">
        <v>1.43178167012401</v>
      </c>
      <c r="F2019">
        <v>15</v>
      </c>
    </row>
    <row r="2020" spans="1:6" x14ac:dyDescent="0.25">
      <c r="A2020">
        <v>18169</v>
      </c>
      <c r="B2020" t="s">
        <v>90</v>
      </c>
      <c r="C2020">
        <v>2</v>
      </c>
      <c r="D2020">
        <v>8.8591490838923193</v>
      </c>
      <c r="E2020">
        <v>1.34229531574126</v>
      </c>
      <c r="F2020">
        <v>15</v>
      </c>
    </row>
    <row r="2021" spans="1:6" x14ac:dyDescent="0.25">
      <c r="A2021">
        <v>18169</v>
      </c>
      <c r="B2021" t="s">
        <v>90</v>
      </c>
      <c r="C2021">
        <v>3</v>
      </c>
      <c r="D2021">
        <v>8.8591490838923193</v>
      </c>
      <c r="E2021">
        <v>1.96869979642051</v>
      </c>
      <c r="F2021">
        <v>15</v>
      </c>
    </row>
    <row r="2022" spans="1:6" x14ac:dyDescent="0.25">
      <c r="A2022">
        <v>18169</v>
      </c>
      <c r="B2022" t="s">
        <v>90</v>
      </c>
      <c r="C2022">
        <v>4</v>
      </c>
      <c r="D2022">
        <v>8.8591490838923193</v>
      </c>
      <c r="E2022">
        <v>2.2371588595687601</v>
      </c>
      <c r="F2022">
        <v>15</v>
      </c>
    </row>
    <row r="2023" spans="1:6" x14ac:dyDescent="0.25">
      <c r="A2023">
        <v>18169</v>
      </c>
      <c r="B2023" t="s">
        <v>90</v>
      </c>
      <c r="C2023">
        <v>5</v>
      </c>
      <c r="D2023">
        <v>9.0381217926578206</v>
      </c>
      <c r="E2023">
        <v>2.5056179227170099</v>
      </c>
      <c r="F2023">
        <v>15</v>
      </c>
    </row>
    <row r="2024" spans="1:6" x14ac:dyDescent="0.25">
      <c r="A2024">
        <v>18169</v>
      </c>
      <c r="B2024" t="s">
        <v>90</v>
      </c>
      <c r="C2024">
        <v>6</v>
      </c>
      <c r="D2024">
        <v>8.32223095759581</v>
      </c>
      <c r="E2024">
        <v>3.6689405296927702</v>
      </c>
      <c r="F2024">
        <v>15</v>
      </c>
    </row>
    <row r="2025" spans="1:6" x14ac:dyDescent="0.25">
      <c r="A2025">
        <v>18169</v>
      </c>
      <c r="B2025" t="s">
        <v>90</v>
      </c>
      <c r="C2025">
        <v>7</v>
      </c>
      <c r="D2025">
        <v>7.1589083506200497</v>
      </c>
      <c r="E2025">
        <v>5.4586676173477899</v>
      </c>
      <c r="F2025">
        <v>15</v>
      </c>
    </row>
    <row r="2026" spans="1:6" x14ac:dyDescent="0.25">
      <c r="A2026">
        <v>18169</v>
      </c>
      <c r="B2026" t="s">
        <v>90</v>
      </c>
      <c r="C2026">
        <v>8</v>
      </c>
      <c r="D2026">
        <v>3.7584268840755199</v>
      </c>
      <c r="E2026">
        <v>5.5481539717305397</v>
      </c>
      <c r="F2026">
        <v>15</v>
      </c>
    </row>
    <row r="2027" spans="1:6" x14ac:dyDescent="0.25">
      <c r="A2027">
        <v>18169</v>
      </c>
      <c r="B2027" t="s">
        <v>90</v>
      </c>
      <c r="C2027">
        <v>9</v>
      </c>
      <c r="D2027">
        <v>3.22150875777902</v>
      </c>
      <c r="E2027">
        <v>5.9060993892615397</v>
      </c>
      <c r="F2027">
        <v>15</v>
      </c>
    </row>
    <row r="2028" spans="1:6" x14ac:dyDescent="0.25">
      <c r="A2028">
        <v>18169</v>
      </c>
      <c r="B2028" t="s">
        <v>90</v>
      </c>
      <c r="C2028">
        <v>10</v>
      </c>
      <c r="D2028">
        <v>3.57945417531002</v>
      </c>
      <c r="E2028">
        <v>5.6376403261132904</v>
      </c>
      <c r="F2028">
        <v>15</v>
      </c>
    </row>
    <row r="2029" spans="1:6" x14ac:dyDescent="0.25">
      <c r="A2029">
        <v>18169</v>
      </c>
      <c r="B2029" t="s">
        <v>90</v>
      </c>
      <c r="C2029">
        <v>11</v>
      </c>
      <c r="D2029">
        <v>3.6689405296927702</v>
      </c>
      <c r="E2029">
        <v>7.8747991856820603</v>
      </c>
      <c r="F2029">
        <v>15</v>
      </c>
    </row>
    <row r="2030" spans="1:6" x14ac:dyDescent="0.25">
      <c r="A2030">
        <v>18169</v>
      </c>
      <c r="B2030" t="s">
        <v>90</v>
      </c>
      <c r="C2030">
        <v>12</v>
      </c>
      <c r="D2030">
        <v>3.57945417531002</v>
      </c>
      <c r="E2030">
        <v>7.0694219962372999</v>
      </c>
      <c r="F2030">
        <v>15</v>
      </c>
    </row>
    <row r="2031" spans="1:6" x14ac:dyDescent="0.25">
      <c r="A2031">
        <v>18169</v>
      </c>
      <c r="B2031" t="s">
        <v>90</v>
      </c>
      <c r="C2031">
        <v>13</v>
      </c>
      <c r="D2031">
        <v>3.8479132384582799</v>
      </c>
      <c r="E2031">
        <v>6.0850720980270401</v>
      </c>
      <c r="F2031">
        <v>15</v>
      </c>
    </row>
    <row r="2032" spans="1:6" x14ac:dyDescent="0.25">
      <c r="A2032">
        <v>18169</v>
      </c>
      <c r="B2032" t="s">
        <v>90</v>
      </c>
      <c r="C2032">
        <v>14</v>
      </c>
      <c r="D2032">
        <v>3.1320224033962698</v>
      </c>
      <c r="E2032">
        <v>4.3848313647547803</v>
      </c>
      <c r="F2032">
        <v>15</v>
      </c>
    </row>
    <row r="2033" spans="1:6" x14ac:dyDescent="0.25">
      <c r="A2033">
        <v>18169</v>
      </c>
      <c r="B2033" t="s">
        <v>90</v>
      </c>
      <c r="C2033">
        <v>15</v>
      </c>
      <c r="D2033">
        <v>2.7740769858652699</v>
      </c>
      <c r="E2033">
        <v>2.0581861508032602</v>
      </c>
      <c r="F2033">
        <v>15</v>
      </c>
    </row>
    <row r="2034" spans="1:6" x14ac:dyDescent="0.25">
      <c r="A2034">
        <v>18169</v>
      </c>
      <c r="B2034" t="s">
        <v>90</v>
      </c>
      <c r="C2034">
        <v>16</v>
      </c>
      <c r="D2034">
        <v>3.4899678209272702</v>
      </c>
      <c r="E2034">
        <v>1.61075437888951</v>
      </c>
      <c r="F2034">
        <v>15</v>
      </c>
    </row>
    <row r="2035" spans="1:6" x14ac:dyDescent="0.25">
      <c r="A2035">
        <v>18169</v>
      </c>
      <c r="B2035" t="s">
        <v>90</v>
      </c>
      <c r="C2035">
        <v>17</v>
      </c>
      <c r="D2035">
        <v>4.0268859472237803</v>
      </c>
      <c r="E2035">
        <v>1.1633226069757501</v>
      </c>
      <c r="F2035">
        <v>15</v>
      </c>
    </row>
    <row r="2036" spans="1:6" x14ac:dyDescent="0.25">
      <c r="A2036">
        <v>18169</v>
      </c>
      <c r="B2036" t="s">
        <v>90</v>
      </c>
      <c r="C2036">
        <v>18</v>
      </c>
      <c r="D2036">
        <v>5.3691812629650402</v>
      </c>
      <c r="E2036">
        <v>1.0738362525930001</v>
      </c>
      <c r="F2036">
        <v>15</v>
      </c>
    </row>
    <row r="2037" spans="1:6" x14ac:dyDescent="0.25">
      <c r="A2037">
        <v>18169</v>
      </c>
      <c r="B2037" t="s">
        <v>90</v>
      </c>
      <c r="C2037">
        <v>19</v>
      </c>
      <c r="D2037">
        <v>6.7114765787063</v>
      </c>
      <c r="E2037">
        <v>0.89486354382750699</v>
      </c>
      <c r="F2037">
        <v>15</v>
      </c>
    </row>
    <row r="2038" spans="1:6" x14ac:dyDescent="0.25">
      <c r="A2038">
        <v>18169</v>
      </c>
      <c r="B2038" t="s">
        <v>90</v>
      </c>
      <c r="C2038">
        <v>20</v>
      </c>
      <c r="D2038">
        <v>7.2483947050028004</v>
      </c>
      <c r="E2038">
        <v>1.0738362525930001</v>
      </c>
      <c r="F2038">
        <v>15</v>
      </c>
    </row>
    <row r="2039" spans="1:6" x14ac:dyDescent="0.25">
      <c r="A2039">
        <v>18169</v>
      </c>
      <c r="B2039" t="s">
        <v>90</v>
      </c>
      <c r="C2039">
        <v>21</v>
      </c>
      <c r="D2039">
        <v>8.0537718944475607</v>
      </c>
      <c r="E2039">
        <v>1.43178167012401</v>
      </c>
      <c r="F2039">
        <v>15</v>
      </c>
    </row>
    <row r="2040" spans="1:6" x14ac:dyDescent="0.25">
      <c r="A2040">
        <v>18169</v>
      </c>
      <c r="B2040" t="s">
        <v>90</v>
      </c>
      <c r="C2040">
        <v>22</v>
      </c>
      <c r="D2040">
        <v>8.4117173119785598</v>
      </c>
      <c r="E2040">
        <v>1.1633226069757501</v>
      </c>
      <c r="F2040">
        <v>15</v>
      </c>
    </row>
    <row r="2041" spans="1:6" x14ac:dyDescent="0.25">
      <c r="A2041">
        <v>18169</v>
      </c>
      <c r="B2041" t="s">
        <v>90</v>
      </c>
      <c r="C2041">
        <v>23</v>
      </c>
      <c r="D2041">
        <v>8.6801763751268108</v>
      </c>
      <c r="E2041">
        <v>1.34229531574126</v>
      </c>
      <c r="F2041">
        <v>15</v>
      </c>
    </row>
    <row r="2042" spans="1:6" x14ac:dyDescent="0.25">
      <c r="A2042">
        <v>18171</v>
      </c>
      <c r="B2042" t="s">
        <v>91</v>
      </c>
      <c r="C2042">
        <v>0</v>
      </c>
      <c r="D2042">
        <v>0</v>
      </c>
      <c r="E2042">
        <v>3.88441676400166</v>
      </c>
      <c r="F2042">
        <v>0</v>
      </c>
    </row>
    <row r="2043" spans="1:6" x14ac:dyDescent="0.25">
      <c r="A2043">
        <v>18171</v>
      </c>
      <c r="B2043" t="s">
        <v>91</v>
      </c>
      <c r="C2043">
        <v>1</v>
      </c>
      <c r="D2043">
        <v>0</v>
      </c>
      <c r="E2043">
        <v>3.88441676400166</v>
      </c>
      <c r="F2043">
        <v>0</v>
      </c>
    </row>
    <row r="2044" spans="1:6" x14ac:dyDescent="0.25">
      <c r="A2044">
        <v>18171</v>
      </c>
      <c r="B2044" t="s">
        <v>91</v>
      </c>
      <c r="C2044">
        <v>2</v>
      </c>
      <c r="D2044">
        <v>0</v>
      </c>
      <c r="E2044">
        <v>3.78967489170893</v>
      </c>
      <c r="F2044">
        <v>0</v>
      </c>
    </row>
    <row r="2045" spans="1:6" x14ac:dyDescent="0.25">
      <c r="A2045">
        <v>18171</v>
      </c>
      <c r="B2045" t="s">
        <v>91</v>
      </c>
      <c r="C2045">
        <v>3</v>
      </c>
      <c r="D2045">
        <v>0</v>
      </c>
      <c r="E2045">
        <v>3.78967489170893</v>
      </c>
      <c r="F2045">
        <v>0</v>
      </c>
    </row>
    <row r="2046" spans="1:6" x14ac:dyDescent="0.25">
      <c r="A2046">
        <v>18171</v>
      </c>
      <c r="B2046" t="s">
        <v>91</v>
      </c>
      <c r="C2046">
        <v>4</v>
      </c>
      <c r="D2046">
        <v>0</v>
      </c>
      <c r="E2046">
        <v>3.78967489170893</v>
      </c>
      <c r="F2046">
        <v>0</v>
      </c>
    </row>
    <row r="2047" spans="1:6" x14ac:dyDescent="0.25">
      <c r="A2047">
        <v>18171</v>
      </c>
      <c r="B2047" t="s">
        <v>91</v>
      </c>
      <c r="C2047">
        <v>5</v>
      </c>
      <c r="D2047">
        <v>0</v>
      </c>
      <c r="E2047">
        <v>3.4107074025380402</v>
      </c>
      <c r="F2047">
        <v>0</v>
      </c>
    </row>
    <row r="2048" spans="1:6" x14ac:dyDescent="0.25">
      <c r="A2048">
        <v>18171</v>
      </c>
      <c r="B2048" t="s">
        <v>91</v>
      </c>
      <c r="C2048">
        <v>6</v>
      </c>
      <c r="D2048">
        <v>0</v>
      </c>
      <c r="E2048">
        <v>2.8422561687817001</v>
      </c>
      <c r="F2048">
        <v>0</v>
      </c>
    </row>
    <row r="2049" spans="1:6" x14ac:dyDescent="0.25">
      <c r="A2049">
        <v>18171</v>
      </c>
      <c r="B2049" t="s">
        <v>91</v>
      </c>
      <c r="C2049">
        <v>7</v>
      </c>
      <c r="D2049">
        <v>0</v>
      </c>
      <c r="E2049">
        <v>2.8422561687817001</v>
      </c>
      <c r="F2049">
        <v>0</v>
      </c>
    </row>
    <row r="2050" spans="1:6" x14ac:dyDescent="0.25">
      <c r="A2050">
        <v>18171</v>
      </c>
      <c r="B2050" t="s">
        <v>91</v>
      </c>
      <c r="C2050">
        <v>8</v>
      </c>
      <c r="D2050">
        <v>0</v>
      </c>
      <c r="E2050">
        <v>3.3159655302453199</v>
      </c>
      <c r="F2050">
        <v>0</v>
      </c>
    </row>
    <row r="2051" spans="1:6" x14ac:dyDescent="0.25">
      <c r="A2051">
        <v>18171</v>
      </c>
      <c r="B2051" t="s">
        <v>91</v>
      </c>
      <c r="C2051">
        <v>9</v>
      </c>
      <c r="D2051">
        <v>0</v>
      </c>
      <c r="E2051">
        <v>4.2633842531725499</v>
      </c>
      <c r="F2051">
        <v>0</v>
      </c>
    </row>
    <row r="2052" spans="1:6" x14ac:dyDescent="0.25">
      <c r="A2052">
        <v>18171</v>
      </c>
      <c r="B2052" t="s">
        <v>91</v>
      </c>
      <c r="C2052">
        <v>10</v>
      </c>
      <c r="D2052">
        <v>0</v>
      </c>
      <c r="E2052">
        <v>6.0634798267342997</v>
      </c>
      <c r="F2052">
        <v>0</v>
      </c>
    </row>
    <row r="2053" spans="1:6" x14ac:dyDescent="0.25">
      <c r="A2053">
        <v>18171</v>
      </c>
      <c r="B2053" t="s">
        <v>91</v>
      </c>
      <c r="C2053">
        <v>11</v>
      </c>
      <c r="D2053">
        <v>0</v>
      </c>
      <c r="E2053">
        <v>5.8739960821488504</v>
      </c>
      <c r="F2053">
        <v>0</v>
      </c>
    </row>
    <row r="2054" spans="1:6" x14ac:dyDescent="0.25">
      <c r="A2054">
        <v>18171</v>
      </c>
      <c r="B2054" t="s">
        <v>91</v>
      </c>
      <c r="C2054">
        <v>12</v>
      </c>
      <c r="D2054">
        <v>0</v>
      </c>
      <c r="E2054">
        <v>6.7266729327833596</v>
      </c>
      <c r="F2054">
        <v>0</v>
      </c>
    </row>
    <row r="2055" spans="1:6" x14ac:dyDescent="0.25">
      <c r="A2055">
        <v>18171</v>
      </c>
      <c r="B2055" t="s">
        <v>91</v>
      </c>
      <c r="C2055">
        <v>13</v>
      </c>
      <c r="D2055">
        <v>0</v>
      </c>
      <c r="E2055">
        <v>6.7266729327833596</v>
      </c>
      <c r="F2055">
        <v>0</v>
      </c>
    </row>
    <row r="2056" spans="1:6" x14ac:dyDescent="0.25">
      <c r="A2056">
        <v>18171</v>
      </c>
      <c r="B2056" t="s">
        <v>91</v>
      </c>
      <c r="C2056">
        <v>14</v>
      </c>
      <c r="D2056">
        <v>0</v>
      </c>
      <c r="E2056">
        <v>6.7266729327833596</v>
      </c>
      <c r="F2056">
        <v>0</v>
      </c>
    </row>
    <row r="2057" spans="1:6" x14ac:dyDescent="0.25">
      <c r="A2057">
        <v>18171</v>
      </c>
      <c r="B2057" t="s">
        <v>91</v>
      </c>
      <c r="C2057">
        <v>15</v>
      </c>
      <c r="D2057">
        <v>0</v>
      </c>
      <c r="E2057">
        <v>6.6319310604906399</v>
      </c>
      <c r="F2057">
        <v>0</v>
      </c>
    </row>
    <row r="2058" spans="1:6" x14ac:dyDescent="0.25">
      <c r="A2058">
        <v>18171</v>
      </c>
      <c r="B2058" t="s">
        <v>91</v>
      </c>
      <c r="C2058">
        <v>16</v>
      </c>
      <c r="D2058">
        <v>0</v>
      </c>
      <c r="E2058">
        <v>4.6423517423434397</v>
      </c>
      <c r="F2058">
        <v>0</v>
      </c>
    </row>
    <row r="2059" spans="1:6" x14ac:dyDescent="0.25">
      <c r="A2059">
        <v>18171</v>
      </c>
      <c r="B2059" t="s">
        <v>91</v>
      </c>
      <c r="C2059">
        <v>17</v>
      </c>
      <c r="D2059">
        <v>0</v>
      </c>
      <c r="E2059">
        <v>4.3581261254652697</v>
      </c>
      <c r="F2059">
        <v>0</v>
      </c>
    </row>
    <row r="2060" spans="1:6" x14ac:dyDescent="0.25">
      <c r="A2060">
        <v>18171</v>
      </c>
      <c r="B2060" t="s">
        <v>91</v>
      </c>
      <c r="C2060">
        <v>18</v>
      </c>
      <c r="D2060">
        <v>0</v>
      </c>
      <c r="E2060">
        <v>4.0739005085870996</v>
      </c>
      <c r="F2060">
        <v>0</v>
      </c>
    </row>
    <row r="2061" spans="1:6" x14ac:dyDescent="0.25">
      <c r="A2061">
        <v>18171</v>
      </c>
      <c r="B2061" t="s">
        <v>91</v>
      </c>
      <c r="C2061">
        <v>19</v>
      </c>
      <c r="D2061">
        <v>0</v>
      </c>
      <c r="E2061">
        <v>3.88441676400166</v>
      </c>
      <c r="F2061">
        <v>0</v>
      </c>
    </row>
    <row r="2062" spans="1:6" x14ac:dyDescent="0.25">
      <c r="A2062">
        <v>18171</v>
      </c>
      <c r="B2062" t="s">
        <v>91</v>
      </c>
      <c r="C2062">
        <v>20</v>
      </c>
      <c r="D2062">
        <v>0</v>
      </c>
      <c r="E2062">
        <v>3.88441676400166</v>
      </c>
      <c r="F2062">
        <v>0</v>
      </c>
    </row>
    <row r="2063" spans="1:6" x14ac:dyDescent="0.25">
      <c r="A2063">
        <v>18171</v>
      </c>
      <c r="B2063" t="s">
        <v>91</v>
      </c>
      <c r="C2063">
        <v>21</v>
      </c>
      <c r="D2063">
        <v>0</v>
      </c>
      <c r="E2063">
        <v>3.88441676400166</v>
      </c>
      <c r="F2063">
        <v>0</v>
      </c>
    </row>
    <row r="2064" spans="1:6" x14ac:dyDescent="0.25">
      <c r="A2064">
        <v>18171</v>
      </c>
      <c r="B2064" t="s">
        <v>91</v>
      </c>
      <c r="C2064">
        <v>22</v>
      </c>
      <c r="D2064">
        <v>0</v>
      </c>
      <c r="E2064">
        <v>3.88441676400166</v>
      </c>
      <c r="F2064">
        <v>0</v>
      </c>
    </row>
    <row r="2065" spans="1:6" x14ac:dyDescent="0.25">
      <c r="A2065">
        <v>18171</v>
      </c>
      <c r="B2065" t="s">
        <v>91</v>
      </c>
      <c r="C2065">
        <v>23</v>
      </c>
      <c r="D2065">
        <v>0</v>
      </c>
      <c r="E2065">
        <v>3.88441676400166</v>
      </c>
      <c r="F2065">
        <v>0</v>
      </c>
    </row>
    <row r="2066" spans="1:6" x14ac:dyDescent="0.25">
      <c r="A2066">
        <v>18173</v>
      </c>
      <c r="B2066" t="s">
        <v>92</v>
      </c>
      <c r="C2066">
        <v>0</v>
      </c>
      <c r="D2066">
        <v>0.62075577419533201</v>
      </c>
      <c r="E2066">
        <v>3.4141567580743302</v>
      </c>
      <c r="F2066">
        <v>10</v>
      </c>
    </row>
    <row r="2067" spans="1:6" x14ac:dyDescent="0.25">
      <c r="A2067">
        <v>18173</v>
      </c>
      <c r="B2067" t="s">
        <v>92</v>
      </c>
      <c r="C2067">
        <v>1</v>
      </c>
      <c r="D2067">
        <v>0.72421506989455398</v>
      </c>
      <c r="E2067">
        <v>3.5693457016231598</v>
      </c>
      <c r="F2067">
        <v>10</v>
      </c>
    </row>
    <row r="2068" spans="1:6" x14ac:dyDescent="0.25">
      <c r="A2068">
        <v>18173</v>
      </c>
      <c r="B2068" t="s">
        <v>92</v>
      </c>
      <c r="C2068">
        <v>2</v>
      </c>
      <c r="D2068">
        <v>0.72421506989455398</v>
      </c>
      <c r="E2068">
        <v>4.4487497150665503</v>
      </c>
      <c r="F2068">
        <v>10</v>
      </c>
    </row>
    <row r="2069" spans="1:6" x14ac:dyDescent="0.25">
      <c r="A2069">
        <v>18173</v>
      </c>
      <c r="B2069" t="s">
        <v>92</v>
      </c>
      <c r="C2069">
        <v>3</v>
      </c>
      <c r="D2069">
        <v>0.72421506989455398</v>
      </c>
      <c r="E2069">
        <v>5.01777584141227</v>
      </c>
      <c r="F2069">
        <v>10</v>
      </c>
    </row>
    <row r="2070" spans="1:6" x14ac:dyDescent="0.25">
      <c r="A2070">
        <v>18173</v>
      </c>
      <c r="B2070" t="s">
        <v>92</v>
      </c>
      <c r="C2070">
        <v>4</v>
      </c>
      <c r="D2070">
        <v>0.72421506989455398</v>
      </c>
      <c r="E2070">
        <v>5.7419909113068197</v>
      </c>
      <c r="F2070">
        <v>10</v>
      </c>
    </row>
    <row r="2071" spans="1:6" x14ac:dyDescent="0.25">
      <c r="A2071">
        <v>18173</v>
      </c>
      <c r="B2071" t="s">
        <v>92</v>
      </c>
      <c r="C2071">
        <v>5</v>
      </c>
      <c r="D2071">
        <v>0.82767436559377605</v>
      </c>
      <c r="E2071">
        <v>6.2075577419533197</v>
      </c>
      <c r="F2071">
        <v>10</v>
      </c>
    </row>
    <row r="2072" spans="1:6" x14ac:dyDescent="0.25">
      <c r="A2072">
        <v>18173</v>
      </c>
      <c r="B2072" t="s">
        <v>92</v>
      </c>
      <c r="C2072">
        <v>6</v>
      </c>
      <c r="D2072">
        <v>1.0345929569922201</v>
      </c>
      <c r="E2072">
        <v>8.4319325994866006</v>
      </c>
      <c r="F2072">
        <v>10</v>
      </c>
    </row>
    <row r="2073" spans="1:6" x14ac:dyDescent="0.25">
      <c r="A2073">
        <v>18173</v>
      </c>
      <c r="B2073" t="s">
        <v>92</v>
      </c>
      <c r="C2073">
        <v>7</v>
      </c>
      <c r="D2073">
        <v>0.62075577419533201</v>
      </c>
      <c r="E2073">
        <v>10.6563074570198</v>
      </c>
      <c r="F2073">
        <v>10</v>
      </c>
    </row>
    <row r="2074" spans="1:6" x14ac:dyDescent="0.25">
      <c r="A2074">
        <v>18173</v>
      </c>
      <c r="B2074" t="s">
        <v>92</v>
      </c>
      <c r="C2074">
        <v>8</v>
      </c>
      <c r="D2074">
        <v>0.51729647849611005</v>
      </c>
      <c r="E2074">
        <v>10.1390109785237</v>
      </c>
      <c r="F2074">
        <v>10</v>
      </c>
    </row>
    <row r="2075" spans="1:6" x14ac:dyDescent="0.25">
      <c r="A2075">
        <v>18173</v>
      </c>
      <c r="B2075" t="s">
        <v>92</v>
      </c>
      <c r="C2075">
        <v>9</v>
      </c>
      <c r="D2075">
        <v>0.46556683064649901</v>
      </c>
      <c r="E2075">
        <v>9.10441802153154</v>
      </c>
      <c r="F2075">
        <v>10</v>
      </c>
    </row>
    <row r="2076" spans="1:6" x14ac:dyDescent="0.25">
      <c r="A2076">
        <v>18173</v>
      </c>
      <c r="B2076" t="s">
        <v>92</v>
      </c>
      <c r="C2076">
        <v>10</v>
      </c>
      <c r="D2076">
        <v>0.46556683064649901</v>
      </c>
      <c r="E2076">
        <v>8.1732843602385401</v>
      </c>
      <c r="F2076">
        <v>10</v>
      </c>
    </row>
    <row r="2077" spans="1:6" x14ac:dyDescent="0.25">
      <c r="A2077">
        <v>18173</v>
      </c>
      <c r="B2077" t="s">
        <v>92</v>
      </c>
      <c r="C2077">
        <v>11</v>
      </c>
      <c r="D2077">
        <v>1.2932411962402699</v>
      </c>
      <c r="E2077">
        <v>6.4144763333517698</v>
      </c>
      <c r="F2077">
        <v>10</v>
      </c>
    </row>
    <row r="2078" spans="1:6" x14ac:dyDescent="0.25">
      <c r="A2078">
        <v>18173</v>
      </c>
      <c r="B2078" t="s">
        <v>92</v>
      </c>
      <c r="C2078">
        <v>12</v>
      </c>
      <c r="D2078">
        <v>1.86226732258599</v>
      </c>
      <c r="E2078">
        <v>4.5004793629161597</v>
      </c>
      <c r="F2078">
        <v>10</v>
      </c>
    </row>
    <row r="2079" spans="1:6" x14ac:dyDescent="0.25">
      <c r="A2079">
        <v>18173</v>
      </c>
      <c r="B2079" t="s">
        <v>92</v>
      </c>
      <c r="C2079">
        <v>13</v>
      </c>
      <c r="D2079">
        <v>1.34497084408988</v>
      </c>
      <c r="E2079">
        <v>3.2589678145254899</v>
      </c>
      <c r="F2079">
        <v>10</v>
      </c>
    </row>
    <row r="2080" spans="1:6" x14ac:dyDescent="0.25">
      <c r="A2080">
        <v>18173</v>
      </c>
      <c r="B2080" t="s">
        <v>92</v>
      </c>
      <c r="C2080">
        <v>14</v>
      </c>
      <c r="D2080">
        <v>0.87940401344338803</v>
      </c>
      <c r="E2080">
        <v>2.6899416881797702</v>
      </c>
      <c r="F2080">
        <v>10</v>
      </c>
    </row>
    <row r="2081" spans="1:6" x14ac:dyDescent="0.25">
      <c r="A2081">
        <v>18173</v>
      </c>
      <c r="B2081" t="s">
        <v>92</v>
      </c>
      <c r="C2081">
        <v>15</v>
      </c>
      <c r="D2081">
        <v>1.1897819005410499</v>
      </c>
      <c r="E2081">
        <v>4.0866421801192701</v>
      </c>
      <c r="F2081">
        <v>10</v>
      </c>
    </row>
    <row r="2082" spans="1:6" x14ac:dyDescent="0.25">
      <c r="A2082">
        <v>18173</v>
      </c>
      <c r="B2082" t="s">
        <v>92</v>
      </c>
      <c r="C2082">
        <v>16</v>
      </c>
      <c r="D2082">
        <v>0.51729647849611005</v>
      </c>
      <c r="E2082">
        <v>2.5347527446309401</v>
      </c>
      <c r="F2082">
        <v>10</v>
      </c>
    </row>
    <row r="2083" spans="1:6" x14ac:dyDescent="0.25">
      <c r="A2083">
        <v>18173</v>
      </c>
      <c r="B2083" t="s">
        <v>92</v>
      </c>
      <c r="C2083">
        <v>17</v>
      </c>
      <c r="D2083">
        <v>0.155188943548833</v>
      </c>
      <c r="E2083">
        <v>1.5518894354883299</v>
      </c>
      <c r="F2083">
        <v>10</v>
      </c>
    </row>
    <row r="2084" spans="1:6" x14ac:dyDescent="0.25">
      <c r="A2084">
        <v>18173</v>
      </c>
      <c r="B2084" t="s">
        <v>92</v>
      </c>
      <c r="C2084">
        <v>18</v>
      </c>
      <c r="D2084">
        <v>0.25864823924805502</v>
      </c>
      <c r="E2084">
        <v>1.2932411962402699</v>
      </c>
      <c r="F2084">
        <v>10</v>
      </c>
    </row>
    <row r="2085" spans="1:6" x14ac:dyDescent="0.25">
      <c r="A2085">
        <v>18173</v>
      </c>
      <c r="B2085" t="s">
        <v>92</v>
      </c>
      <c r="C2085">
        <v>19</v>
      </c>
      <c r="D2085">
        <v>0.36210753494727699</v>
      </c>
      <c r="E2085">
        <v>1.70707837903716</v>
      </c>
      <c r="F2085">
        <v>10</v>
      </c>
    </row>
    <row r="2086" spans="1:6" x14ac:dyDescent="0.25">
      <c r="A2086">
        <v>18173</v>
      </c>
      <c r="B2086" t="s">
        <v>92</v>
      </c>
      <c r="C2086">
        <v>20</v>
      </c>
      <c r="D2086">
        <v>0.56902612634572103</v>
      </c>
      <c r="E2086">
        <v>2.2243748575332698</v>
      </c>
      <c r="F2086">
        <v>10</v>
      </c>
    </row>
    <row r="2087" spans="1:6" x14ac:dyDescent="0.25">
      <c r="A2087">
        <v>18173</v>
      </c>
      <c r="B2087" t="s">
        <v>92</v>
      </c>
      <c r="C2087">
        <v>21</v>
      </c>
      <c r="D2087">
        <v>0.62075577419533201</v>
      </c>
      <c r="E2087">
        <v>2.5347527446309401</v>
      </c>
      <c r="F2087">
        <v>10</v>
      </c>
    </row>
    <row r="2088" spans="1:6" x14ac:dyDescent="0.25">
      <c r="A2088">
        <v>18173</v>
      </c>
      <c r="B2088" t="s">
        <v>92</v>
      </c>
      <c r="C2088">
        <v>22</v>
      </c>
      <c r="D2088">
        <v>0.46556683064649901</v>
      </c>
      <c r="E2088">
        <v>2.7416713360293801</v>
      </c>
      <c r="F2088">
        <v>10</v>
      </c>
    </row>
    <row r="2089" spans="1:6" x14ac:dyDescent="0.25">
      <c r="A2089">
        <v>18173</v>
      </c>
      <c r="B2089" t="s">
        <v>92</v>
      </c>
      <c r="C2089">
        <v>23</v>
      </c>
      <c r="D2089">
        <v>0.56902612634572103</v>
      </c>
      <c r="E2089">
        <v>2.9485899274278302</v>
      </c>
      <c r="F2089">
        <v>10</v>
      </c>
    </row>
    <row r="2090" spans="1:6" x14ac:dyDescent="0.25">
      <c r="A2090">
        <v>18175</v>
      </c>
      <c r="B2090" t="s">
        <v>93</v>
      </c>
      <c r="C2090">
        <v>0</v>
      </c>
      <c r="D2090">
        <v>0</v>
      </c>
      <c r="E2090">
        <v>0</v>
      </c>
      <c r="F2090">
        <v>0</v>
      </c>
    </row>
    <row r="2091" spans="1:6" x14ac:dyDescent="0.25">
      <c r="A2091">
        <v>18175</v>
      </c>
      <c r="B2091" t="s">
        <v>93</v>
      </c>
      <c r="C2091">
        <v>1</v>
      </c>
      <c r="D2091">
        <v>0</v>
      </c>
      <c r="E2091">
        <v>0</v>
      </c>
      <c r="F2091">
        <v>0</v>
      </c>
    </row>
    <row r="2092" spans="1:6" x14ac:dyDescent="0.25">
      <c r="A2092">
        <v>18175</v>
      </c>
      <c r="B2092" t="s">
        <v>93</v>
      </c>
      <c r="C2092">
        <v>2</v>
      </c>
      <c r="D2092">
        <v>0</v>
      </c>
      <c r="E2092">
        <v>0</v>
      </c>
      <c r="F2092">
        <v>0</v>
      </c>
    </row>
    <row r="2093" spans="1:6" x14ac:dyDescent="0.25">
      <c r="A2093">
        <v>18175</v>
      </c>
      <c r="B2093" t="s">
        <v>93</v>
      </c>
      <c r="C2093">
        <v>3</v>
      </c>
      <c r="D2093">
        <v>0</v>
      </c>
      <c r="E2093">
        <v>0</v>
      </c>
      <c r="F2093">
        <v>0</v>
      </c>
    </row>
    <row r="2094" spans="1:6" x14ac:dyDescent="0.25">
      <c r="A2094">
        <v>18175</v>
      </c>
      <c r="B2094" t="s">
        <v>93</v>
      </c>
      <c r="C2094">
        <v>4</v>
      </c>
      <c r="D2094">
        <v>0</v>
      </c>
      <c r="E2094">
        <v>0</v>
      </c>
      <c r="F2094">
        <v>0</v>
      </c>
    </row>
    <row r="2095" spans="1:6" x14ac:dyDescent="0.25">
      <c r="A2095">
        <v>18175</v>
      </c>
      <c r="B2095" t="s">
        <v>93</v>
      </c>
      <c r="C2095">
        <v>5</v>
      </c>
      <c r="D2095">
        <v>0</v>
      </c>
      <c r="E2095">
        <v>0</v>
      </c>
      <c r="F2095">
        <v>0</v>
      </c>
    </row>
    <row r="2096" spans="1:6" x14ac:dyDescent="0.25">
      <c r="A2096">
        <v>18175</v>
      </c>
      <c r="B2096" t="s">
        <v>93</v>
      </c>
      <c r="C2096">
        <v>6</v>
      </c>
      <c r="D2096">
        <v>0</v>
      </c>
      <c r="E2096">
        <v>0.54446784406270599</v>
      </c>
      <c r="F2096">
        <v>0</v>
      </c>
    </row>
    <row r="2097" spans="1:6" x14ac:dyDescent="0.25">
      <c r="A2097">
        <v>18175</v>
      </c>
      <c r="B2097" t="s">
        <v>93</v>
      </c>
      <c r="C2097">
        <v>7</v>
      </c>
      <c r="D2097">
        <v>0</v>
      </c>
      <c r="E2097">
        <v>1.94452801450966</v>
      </c>
      <c r="F2097">
        <v>0</v>
      </c>
    </row>
    <row r="2098" spans="1:6" x14ac:dyDescent="0.25">
      <c r="A2098">
        <v>18175</v>
      </c>
      <c r="B2098" t="s">
        <v>93</v>
      </c>
      <c r="C2098">
        <v>8</v>
      </c>
      <c r="D2098">
        <v>0</v>
      </c>
      <c r="E2098">
        <v>6.3002707670113098</v>
      </c>
      <c r="F2098">
        <v>0</v>
      </c>
    </row>
    <row r="2099" spans="1:6" x14ac:dyDescent="0.25">
      <c r="A2099">
        <v>18175</v>
      </c>
      <c r="B2099" t="s">
        <v>93</v>
      </c>
      <c r="C2099">
        <v>9</v>
      </c>
      <c r="D2099">
        <v>0</v>
      </c>
      <c r="E2099">
        <v>9.2559533490660009</v>
      </c>
      <c r="F2099">
        <v>0</v>
      </c>
    </row>
    <row r="2100" spans="1:6" x14ac:dyDescent="0.25">
      <c r="A2100">
        <v>18175</v>
      </c>
      <c r="B2100" t="s">
        <v>93</v>
      </c>
      <c r="C2100">
        <v>10</v>
      </c>
      <c r="D2100">
        <v>0</v>
      </c>
      <c r="E2100">
        <v>9.2559533490660009</v>
      </c>
      <c r="F2100">
        <v>0</v>
      </c>
    </row>
    <row r="2101" spans="1:6" x14ac:dyDescent="0.25">
      <c r="A2101">
        <v>18175</v>
      </c>
      <c r="B2101" t="s">
        <v>93</v>
      </c>
      <c r="C2101">
        <v>11</v>
      </c>
      <c r="D2101">
        <v>0</v>
      </c>
      <c r="E2101">
        <v>7.0003008522347896</v>
      </c>
      <c r="F2101">
        <v>0</v>
      </c>
    </row>
    <row r="2102" spans="1:6" x14ac:dyDescent="0.25">
      <c r="A2102">
        <v>18175</v>
      </c>
      <c r="B2102" t="s">
        <v>93</v>
      </c>
      <c r="C2102">
        <v>12</v>
      </c>
      <c r="D2102">
        <v>0</v>
      </c>
      <c r="E2102">
        <v>3.8890560290193199</v>
      </c>
      <c r="F2102">
        <v>0</v>
      </c>
    </row>
    <row r="2103" spans="1:6" x14ac:dyDescent="0.25">
      <c r="A2103">
        <v>18175</v>
      </c>
      <c r="B2103" t="s">
        <v>93</v>
      </c>
      <c r="C2103">
        <v>13</v>
      </c>
      <c r="D2103">
        <v>0</v>
      </c>
      <c r="E2103">
        <v>2.10009025567043</v>
      </c>
      <c r="F2103">
        <v>0</v>
      </c>
    </row>
    <row r="2104" spans="1:6" x14ac:dyDescent="0.25">
      <c r="A2104">
        <v>18175</v>
      </c>
      <c r="B2104" t="s">
        <v>93</v>
      </c>
      <c r="C2104">
        <v>14</v>
      </c>
      <c r="D2104">
        <v>0</v>
      </c>
      <c r="E2104">
        <v>3.3445881849566201</v>
      </c>
      <c r="F2104">
        <v>0</v>
      </c>
    </row>
    <row r="2105" spans="1:6" x14ac:dyDescent="0.25">
      <c r="A2105">
        <v>18175</v>
      </c>
      <c r="B2105" t="s">
        <v>93</v>
      </c>
      <c r="C2105">
        <v>15</v>
      </c>
      <c r="D2105">
        <v>0</v>
      </c>
      <c r="E2105">
        <v>0.46668672348231899</v>
      </c>
      <c r="F2105">
        <v>0</v>
      </c>
    </row>
    <row r="2106" spans="1:6" x14ac:dyDescent="0.25">
      <c r="A2106">
        <v>18175</v>
      </c>
      <c r="B2106" t="s">
        <v>93</v>
      </c>
      <c r="C2106">
        <v>16</v>
      </c>
      <c r="D2106">
        <v>0</v>
      </c>
      <c r="E2106">
        <v>0.23334336174115899</v>
      </c>
      <c r="F2106">
        <v>0</v>
      </c>
    </row>
    <row r="2107" spans="1:6" x14ac:dyDescent="0.25">
      <c r="A2107">
        <v>18175</v>
      </c>
      <c r="B2107" t="s">
        <v>93</v>
      </c>
      <c r="C2107">
        <v>17</v>
      </c>
      <c r="D2107">
        <v>0</v>
      </c>
      <c r="E2107">
        <v>0</v>
      </c>
      <c r="F2107">
        <v>0</v>
      </c>
    </row>
    <row r="2108" spans="1:6" x14ac:dyDescent="0.25">
      <c r="A2108">
        <v>18175</v>
      </c>
      <c r="B2108" t="s">
        <v>93</v>
      </c>
      <c r="C2108">
        <v>18</v>
      </c>
      <c r="D2108">
        <v>0</v>
      </c>
      <c r="E2108">
        <v>0</v>
      </c>
      <c r="F2108">
        <v>0</v>
      </c>
    </row>
    <row r="2109" spans="1:6" x14ac:dyDescent="0.25">
      <c r="A2109">
        <v>18175</v>
      </c>
      <c r="B2109" t="s">
        <v>93</v>
      </c>
      <c r="C2109">
        <v>19</v>
      </c>
      <c r="D2109">
        <v>0</v>
      </c>
      <c r="E2109">
        <v>0</v>
      </c>
      <c r="F2109">
        <v>0</v>
      </c>
    </row>
    <row r="2110" spans="1:6" x14ac:dyDescent="0.25">
      <c r="A2110">
        <v>18175</v>
      </c>
      <c r="B2110" t="s">
        <v>93</v>
      </c>
      <c r="C2110">
        <v>20</v>
      </c>
      <c r="D2110">
        <v>0</v>
      </c>
      <c r="E2110">
        <v>0</v>
      </c>
      <c r="F2110">
        <v>0</v>
      </c>
    </row>
    <row r="2111" spans="1:6" x14ac:dyDescent="0.25">
      <c r="A2111">
        <v>18175</v>
      </c>
      <c r="B2111" t="s">
        <v>93</v>
      </c>
      <c r="C2111">
        <v>21</v>
      </c>
      <c r="D2111">
        <v>0</v>
      </c>
      <c r="E2111">
        <v>0</v>
      </c>
      <c r="F2111">
        <v>0</v>
      </c>
    </row>
    <row r="2112" spans="1:6" x14ac:dyDescent="0.25">
      <c r="A2112">
        <v>18175</v>
      </c>
      <c r="B2112" t="s">
        <v>93</v>
      </c>
      <c r="C2112">
        <v>22</v>
      </c>
      <c r="D2112">
        <v>0</v>
      </c>
      <c r="E2112">
        <v>0</v>
      </c>
      <c r="F2112">
        <v>0</v>
      </c>
    </row>
    <row r="2113" spans="1:6" x14ac:dyDescent="0.25">
      <c r="A2113">
        <v>18175</v>
      </c>
      <c r="B2113" t="s">
        <v>93</v>
      </c>
      <c r="C2113">
        <v>23</v>
      </c>
      <c r="D2113">
        <v>0</v>
      </c>
      <c r="E2113">
        <v>0</v>
      </c>
      <c r="F2113">
        <v>0</v>
      </c>
    </row>
    <row r="2114" spans="1:6" x14ac:dyDescent="0.25">
      <c r="A2114">
        <v>18177</v>
      </c>
      <c r="B2114" t="s">
        <v>94</v>
      </c>
      <c r="C2114">
        <v>0</v>
      </c>
      <c r="D2114">
        <v>356.54492594925802</v>
      </c>
      <c r="E2114">
        <v>6.0914415248384302</v>
      </c>
      <c r="F2114">
        <v>355</v>
      </c>
    </row>
    <row r="2115" spans="1:6" x14ac:dyDescent="0.25">
      <c r="A2115">
        <v>18177</v>
      </c>
      <c r="B2115" t="s">
        <v>94</v>
      </c>
      <c r="C2115">
        <v>1</v>
      </c>
      <c r="D2115">
        <v>360.73628479662398</v>
      </c>
      <c r="E2115">
        <v>7.0414828635747</v>
      </c>
      <c r="F2115">
        <v>355</v>
      </c>
    </row>
    <row r="2116" spans="1:6" x14ac:dyDescent="0.25">
      <c r="A2116">
        <v>18177</v>
      </c>
      <c r="B2116" t="s">
        <v>94</v>
      </c>
      <c r="C2116">
        <v>2</v>
      </c>
      <c r="D2116">
        <v>361.35101742757098</v>
      </c>
      <c r="E2116">
        <v>9.0533351103103303</v>
      </c>
      <c r="F2116">
        <v>355</v>
      </c>
    </row>
    <row r="2117" spans="1:6" x14ac:dyDescent="0.25">
      <c r="A2117">
        <v>18177</v>
      </c>
      <c r="B2117" t="s">
        <v>94</v>
      </c>
      <c r="C2117">
        <v>3</v>
      </c>
      <c r="D2117">
        <v>357.38319771873199</v>
      </c>
      <c r="E2117">
        <v>10.1151460183096</v>
      </c>
      <c r="F2117">
        <v>355</v>
      </c>
    </row>
    <row r="2118" spans="1:6" x14ac:dyDescent="0.25">
      <c r="A2118">
        <v>18177</v>
      </c>
      <c r="B2118" t="s">
        <v>94</v>
      </c>
      <c r="C2118">
        <v>4</v>
      </c>
      <c r="D2118">
        <v>346.87685820800101</v>
      </c>
      <c r="E2118">
        <v>10.6181090799936</v>
      </c>
      <c r="F2118">
        <v>355</v>
      </c>
    </row>
    <row r="2119" spans="1:6" x14ac:dyDescent="0.25">
      <c r="A2119">
        <v>18177</v>
      </c>
      <c r="B2119" t="s">
        <v>94</v>
      </c>
      <c r="C2119">
        <v>5</v>
      </c>
      <c r="D2119">
        <v>333.46450989643</v>
      </c>
      <c r="E2119">
        <v>10.953417787782801</v>
      </c>
      <c r="F2119">
        <v>355</v>
      </c>
    </row>
    <row r="2120" spans="1:6" x14ac:dyDescent="0.25">
      <c r="A2120">
        <v>18177</v>
      </c>
      <c r="B2120" t="s">
        <v>94</v>
      </c>
      <c r="C2120">
        <v>6</v>
      </c>
      <c r="D2120">
        <v>304.907384949711</v>
      </c>
      <c r="E2120">
        <v>15.7595092660957</v>
      </c>
      <c r="F2120">
        <v>355</v>
      </c>
    </row>
    <row r="2121" spans="1:6" x14ac:dyDescent="0.25">
      <c r="A2121">
        <v>18177</v>
      </c>
      <c r="B2121" t="s">
        <v>94</v>
      </c>
      <c r="C2121">
        <v>7</v>
      </c>
      <c r="D2121">
        <v>265.78803570762898</v>
      </c>
      <c r="E2121">
        <v>18.274324574515301</v>
      </c>
      <c r="F2121">
        <v>355</v>
      </c>
    </row>
    <row r="2122" spans="1:6" x14ac:dyDescent="0.25">
      <c r="A2122">
        <v>18177</v>
      </c>
      <c r="B2122" t="s">
        <v>94</v>
      </c>
      <c r="C2122">
        <v>8</v>
      </c>
      <c r="D2122">
        <v>220.689014509972</v>
      </c>
      <c r="E2122">
        <v>21.627411652408</v>
      </c>
      <c r="F2122">
        <v>355</v>
      </c>
    </row>
    <row r="2123" spans="1:6" x14ac:dyDescent="0.25">
      <c r="A2123">
        <v>18177</v>
      </c>
      <c r="B2123" t="s">
        <v>94</v>
      </c>
      <c r="C2123">
        <v>9</v>
      </c>
      <c r="D2123">
        <v>180.73139349841699</v>
      </c>
      <c r="E2123">
        <v>26.992350977036299</v>
      </c>
      <c r="F2123">
        <v>355</v>
      </c>
    </row>
    <row r="2124" spans="1:6" x14ac:dyDescent="0.25">
      <c r="A2124">
        <v>18177</v>
      </c>
      <c r="B2124" t="s">
        <v>94</v>
      </c>
      <c r="C2124">
        <v>10</v>
      </c>
      <c r="D2124">
        <v>158.37747964579901</v>
      </c>
      <c r="E2124">
        <v>28.501240162087999</v>
      </c>
      <c r="F2124">
        <v>355</v>
      </c>
    </row>
    <row r="2125" spans="1:6" x14ac:dyDescent="0.25">
      <c r="A2125">
        <v>18177</v>
      </c>
      <c r="B2125" t="s">
        <v>94</v>
      </c>
      <c r="C2125">
        <v>11</v>
      </c>
      <c r="D2125">
        <v>146.92109879633199</v>
      </c>
      <c r="E2125">
        <v>23.192185622091198</v>
      </c>
      <c r="F2125">
        <v>355</v>
      </c>
    </row>
    <row r="2126" spans="1:6" x14ac:dyDescent="0.25">
      <c r="A2126">
        <v>18177</v>
      </c>
      <c r="B2126" t="s">
        <v>94</v>
      </c>
      <c r="C2126">
        <v>12</v>
      </c>
      <c r="D2126">
        <v>142.67385516433501</v>
      </c>
      <c r="E2126">
        <v>17.380168020410501</v>
      </c>
      <c r="F2126">
        <v>355</v>
      </c>
    </row>
    <row r="2127" spans="1:6" x14ac:dyDescent="0.25">
      <c r="A2127">
        <v>18177</v>
      </c>
      <c r="B2127" t="s">
        <v>94</v>
      </c>
      <c r="C2127">
        <v>13</v>
      </c>
      <c r="D2127">
        <v>145.80340310370099</v>
      </c>
      <c r="E2127">
        <v>10.450454726098901</v>
      </c>
      <c r="F2127">
        <v>355</v>
      </c>
    </row>
    <row r="2128" spans="1:6" x14ac:dyDescent="0.25">
      <c r="A2128">
        <v>18177</v>
      </c>
      <c r="B2128" t="s">
        <v>94</v>
      </c>
      <c r="C2128">
        <v>14</v>
      </c>
      <c r="D2128">
        <v>146.976983580964</v>
      </c>
      <c r="E2128">
        <v>8.2150633408371494</v>
      </c>
      <c r="F2128">
        <v>355</v>
      </c>
    </row>
    <row r="2129" spans="1:6" x14ac:dyDescent="0.25">
      <c r="A2129">
        <v>18177</v>
      </c>
      <c r="B2129" t="s">
        <v>94</v>
      </c>
      <c r="C2129">
        <v>15</v>
      </c>
      <c r="D2129">
        <v>155.02439256790601</v>
      </c>
      <c r="E2129">
        <v>4.1913588473658896</v>
      </c>
      <c r="F2129">
        <v>355</v>
      </c>
    </row>
    <row r="2130" spans="1:6" x14ac:dyDescent="0.25">
      <c r="A2130">
        <v>18177</v>
      </c>
      <c r="B2130" t="s">
        <v>94</v>
      </c>
      <c r="C2130">
        <v>16</v>
      </c>
      <c r="D2130">
        <v>166.64842777126799</v>
      </c>
      <c r="E2130">
        <v>3.4648566471558002</v>
      </c>
      <c r="F2130">
        <v>355</v>
      </c>
    </row>
    <row r="2131" spans="1:6" x14ac:dyDescent="0.25">
      <c r="A2131">
        <v>18177</v>
      </c>
      <c r="B2131" t="s">
        <v>94</v>
      </c>
      <c r="C2131">
        <v>17</v>
      </c>
      <c r="D2131">
        <v>188.27583942367599</v>
      </c>
      <c r="E2131">
        <v>3.74428057031353</v>
      </c>
      <c r="F2131">
        <v>355</v>
      </c>
    </row>
    <row r="2132" spans="1:6" x14ac:dyDescent="0.25">
      <c r="A2132">
        <v>18177</v>
      </c>
      <c r="B2132" t="s">
        <v>94</v>
      </c>
      <c r="C2132">
        <v>18</v>
      </c>
      <c r="D2132">
        <v>210.741522845557</v>
      </c>
      <c r="E2132">
        <v>4.0795892781027998</v>
      </c>
      <c r="F2132">
        <v>355</v>
      </c>
    </row>
    <row r="2133" spans="1:6" x14ac:dyDescent="0.25">
      <c r="A2133">
        <v>18177</v>
      </c>
      <c r="B2133" t="s">
        <v>94</v>
      </c>
      <c r="C2133">
        <v>19</v>
      </c>
      <c r="D2133">
        <v>240.807536977328</v>
      </c>
      <c r="E2133">
        <v>3.80016535494507</v>
      </c>
      <c r="F2133">
        <v>355</v>
      </c>
    </row>
    <row r="2134" spans="1:6" x14ac:dyDescent="0.25">
      <c r="A2134">
        <v>18177</v>
      </c>
      <c r="B2134" t="s">
        <v>94</v>
      </c>
      <c r="C2134">
        <v>20</v>
      </c>
      <c r="D2134">
        <v>273.50013598678203</v>
      </c>
      <c r="E2134">
        <v>3.6883957856819798</v>
      </c>
      <c r="F2134">
        <v>355</v>
      </c>
    </row>
    <row r="2135" spans="1:6" x14ac:dyDescent="0.25">
      <c r="A2135">
        <v>18177</v>
      </c>
      <c r="B2135" t="s">
        <v>94</v>
      </c>
      <c r="C2135">
        <v>21</v>
      </c>
      <c r="D2135">
        <v>301.94549136423899</v>
      </c>
      <c r="E2135">
        <v>3.6883957856819798</v>
      </c>
      <c r="F2135">
        <v>355</v>
      </c>
    </row>
    <row r="2136" spans="1:6" x14ac:dyDescent="0.25">
      <c r="A2136">
        <v>18177</v>
      </c>
      <c r="B2136" t="s">
        <v>94</v>
      </c>
      <c r="C2136">
        <v>22</v>
      </c>
      <c r="D2136">
        <v>329.32903583369603</v>
      </c>
      <c r="E2136">
        <v>4.4148979858920701</v>
      </c>
      <c r="F2136">
        <v>355</v>
      </c>
    </row>
    <row r="2137" spans="1:6" x14ac:dyDescent="0.25">
      <c r="A2137">
        <v>18177</v>
      </c>
      <c r="B2137" t="s">
        <v>94</v>
      </c>
      <c r="C2137">
        <v>23</v>
      </c>
      <c r="D2137">
        <v>347.10039734652702</v>
      </c>
      <c r="E2137">
        <v>4.9737458322075199</v>
      </c>
      <c r="F2137">
        <v>355</v>
      </c>
    </row>
    <row r="2138" spans="1:6" x14ac:dyDescent="0.25">
      <c r="A2138">
        <v>18179</v>
      </c>
      <c r="B2138" t="s">
        <v>95</v>
      </c>
      <c r="C2138">
        <v>0</v>
      </c>
      <c r="D2138">
        <v>0</v>
      </c>
      <c r="E2138">
        <v>0.29481476415521402</v>
      </c>
      <c r="F2138">
        <v>0</v>
      </c>
    </row>
    <row r="2139" spans="1:6" x14ac:dyDescent="0.25">
      <c r="A2139">
        <v>18179</v>
      </c>
      <c r="B2139" t="s">
        <v>95</v>
      </c>
      <c r="C2139">
        <v>1</v>
      </c>
      <c r="D2139">
        <v>0</v>
      </c>
      <c r="E2139">
        <v>0.22111107311641001</v>
      </c>
      <c r="F2139">
        <v>0</v>
      </c>
    </row>
    <row r="2140" spans="1:6" x14ac:dyDescent="0.25">
      <c r="A2140">
        <v>18179</v>
      </c>
      <c r="B2140" t="s">
        <v>95</v>
      </c>
      <c r="C2140">
        <v>2</v>
      </c>
      <c r="D2140">
        <v>0</v>
      </c>
      <c r="E2140">
        <v>0.22111107311641001</v>
      </c>
      <c r="F2140">
        <v>0</v>
      </c>
    </row>
    <row r="2141" spans="1:6" x14ac:dyDescent="0.25">
      <c r="A2141">
        <v>18179</v>
      </c>
      <c r="B2141" t="s">
        <v>95</v>
      </c>
      <c r="C2141">
        <v>3</v>
      </c>
      <c r="D2141">
        <v>0</v>
      </c>
      <c r="E2141">
        <v>0.22111107311641001</v>
      </c>
      <c r="F2141">
        <v>0</v>
      </c>
    </row>
    <row r="2142" spans="1:6" x14ac:dyDescent="0.25">
      <c r="A2142">
        <v>18179</v>
      </c>
      <c r="B2142" t="s">
        <v>95</v>
      </c>
      <c r="C2142">
        <v>4</v>
      </c>
      <c r="D2142">
        <v>0</v>
      </c>
      <c r="E2142">
        <v>0.29481476415521402</v>
      </c>
      <c r="F2142">
        <v>0</v>
      </c>
    </row>
    <row r="2143" spans="1:6" x14ac:dyDescent="0.25">
      <c r="A2143">
        <v>18179</v>
      </c>
      <c r="B2143" t="s">
        <v>95</v>
      </c>
      <c r="C2143">
        <v>5</v>
      </c>
      <c r="D2143">
        <v>0</v>
      </c>
      <c r="E2143">
        <v>0.29481476415521402</v>
      </c>
      <c r="F2143">
        <v>0</v>
      </c>
    </row>
    <row r="2144" spans="1:6" x14ac:dyDescent="0.25">
      <c r="A2144">
        <v>18179</v>
      </c>
      <c r="B2144" t="s">
        <v>95</v>
      </c>
      <c r="C2144">
        <v>6</v>
      </c>
      <c r="D2144">
        <v>0</v>
      </c>
      <c r="E2144">
        <v>0.58962952831042803</v>
      </c>
      <c r="F2144">
        <v>0</v>
      </c>
    </row>
    <row r="2145" spans="1:6" x14ac:dyDescent="0.25">
      <c r="A2145">
        <v>18179</v>
      </c>
      <c r="B2145" t="s">
        <v>95</v>
      </c>
      <c r="C2145">
        <v>7</v>
      </c>
      <c r="D2145">
        <v>0</v>
      </c>
      <c r="E2145">
        <v>1.47407382077607</v>
      </c>
      <c r="F2145">
        <v>0</v>
      </c>
    </row>
    <row r="2146" spans="1:6" x14ac:dyDescent="0.25">
      <c r="A2146">
        <v>18179</v>
      </c>
      <c r="B2146" t="s">
        <v>95</v>
      </c>
      <c r="C2146">
        <v>8</v>
      </c>
      <c r="D2146">
        <v>0</v>
      </c>
      <c r="E2146">
        <v>4.5696288444058197</v>
      </c>
      <c r="F2146">
        <v>0</v>
      </c>
    </row>
    <row r="2147" spans="1:6" x14ac:dyDescent="0.25">
      <c r="A2147">
        <v>18179</v>
      </c>
      <c r="B2147" t="s">
        <v>95</v>
      </c>
      <c r="C2147">
        <v>9</v>
      </c>
      <c r="D2147">
        <v>0</v>
      </c>
      <c r="E2147">
        <v>8.4022207784235992</v>
      </c>
      <c r="F2147">
        <v>0</v>
      </c>
    </row>
    <row r="2148" spans="1:6" x14ac:dyDescent="0.25">
      <c r="A2148">
        <v>18179</v>
      </c>
      <c r="B2148" t="s">
        <v>95</v>
      </c>
      <c r="C2148">
        <v>10</v>
      </c>
      <c r="D2148">
        <v>0</v>
      </c>
      <c r="E2148">
        <v>7.1492580307639404</v>
      </c>
      <c r="F2148">
        <v>0</v>
      </c>
    </row>
    <row r="2149" spans="1:6" x14ac:dyDescent="0.25">
      <c r="A2149">
        <v>18179</v>
      </c>
      <c r="B2149" t="s">
        <v>95</v>
      </c>
      <c r="C2149">
        <v>11</v>
      </c>
      <c r="D2149">
        <v>0</v>
      </c>
      <c r="E2149">
        <v>4.2011103892117996</v>
      </c>
      <c r="F2149">
        <v>0</v>
      </c>
    </row>
    <row r="2150" spans="1:6" x14ac:dyDescent="0.25">
      <c r="A2150">
        <v>18179</v>
      </c>
      <c r="B2150" t="s">
        <v>95</v>
      </c>
      <c r="C2150">
        <v>12</v>
      </c>
      <c r="D2150">
        <v>0</v>
      </c>
      <c r="E2150">
        <v>4.7170362264834296</v>
      </c>
      <c r="F2150">
        <v>0</v>
      </c>
    </row>
    <row r="2151" spans="1:6" x14ac:dyDescent="0.25">
      <c r="A2151">
        <v>18179</v>
      </c>
      <c r="B2151" t="s">
        <v>95</v>
      </c>
      <c r="C2151">
        <v>13</v>
      </c>
      <c r="D2151">
        <v>0</v>
      </c>
      <c r="E2151">
        <v>1.54777751181487</v>
      </c>
      <c r="F2151">
        <v>0</v>
      </c>
    </row>
    <row r="2152" spans="1:6" x14ac:dyDescent="0.25">
      <c r="A2152">
        <v>18179</v>
      </c>
      <c r="B2152" t="s">
        <v>95</v>
      </c>
      <c r="C2152">
        <v>14</v>
      </c>
      <c r="D2152">
        <v>0</v>
      </c>
      <c r="E2152">
        <v>0.95814798350444597</v>
      </c>
      <c r="F2152">
        <v>0</v>
      </c>
    </row>
    <row r="2153" spans="1:6" x14ac:dyDescent="0.25">
      <c r="A2153">
        <v>18179</v>
      </c>
      <c r="B2153" t="s">
        <v>95</v>
      </c>
      <c r="C2153">
        <v>15</v>
      </c>
      <c r="D2153">
        <v>0</v>
      </c>
      <c r="E2153">
        <v>0.88444429246564205</v>
      </c>
      <c r="F2153">
        <v>0</v>
      </c>
    </row>
    <row r="2154" spans="1:6" x14ac:dyDescent="0.25">
      <c r="A2154">
        <v>18179</v>
      </c>
      <c r="B2154" t="s">
        <v>95</v>
      </c>
      <c r="C2154">
        <v>16</v>
      </c>
      <c r="D2154">
        <v>0</v>
      </c>
      <c r="E2154">
        <v>0.88444429246564205</v>
      </c>
      <c r="F2154">
        <v>0</v>
      </c>
    </row>
    <row r="2155" spans="1:6" x14ac:dyDescent="0.25">
      <c r="A2155">
        <v>18179</v>
      </c>
      <c r="B2155" t="s">
        <v>95</v>
      </c>
      <c r="C2155">
        <v>17</v>
      </c>
      <c r="D2155">
        <v>0</v>
      </c>
      <c r="E2155">
        <v>0.81074060142683901</v>
      </c>
      <c r="F2155">
        <v>0</v>
      </c>
    </row>
    <row r="2156" spans="1:6" x14ac:dyDescent="0.25">
      <c r="A2156">
        <v>18179</v>
      </c>
      <c r="B2156" t="s">
        <v>95</v>
      </c>
      <c r="C2156">
        <v>18</v>
      </c>
      <c r="D2156">
        <v>0</v>
      </c>
      <c r="E2156">
        <v>0.58962952831042803</v>
      </c>
      <c r="F2156">
        <v>0</v>
      </c>
    </row>
    <row r="2157" spans="1:6" x14ac:dyDescent="0.25">
      <c r="A2157">
        <v>18179</v>
      </c>
      <c r="B2157" t="s">
        <v>95</v>
      </c>
      <c r="C2157">
        <v>19</v>
      </c>
      <c r="D2157">
        <v>0</v>
      </c>
      <c r="E2157">
        <v>0.22111107311641001</v>
      </c>
      <c r="F2157">
        <v>0</v>
      </c>
    </row>
    <row r="2158" spans="1:6" x14ac:dyDescent="0.25">
      <c r="A2158">
        <v>18179</v>
      </c>
      <c r="B2158" t="s">
        <v>95</v>
      </c>
      <c r="C2158">
        <v>20</v>
      </c>
      <c r="D2158">
        <v>0</v>
      </c>
      <c r="E2158">
        <v>0</v>
      </c>
      <c r="F2158">
        <v>0</v>
      </c>
    </row>
    <row r="2159" spans="1:6" x14ac:dyDescent="0.25">
      <c r="A2159">
        <v>18179</v>
      </c>
      <c r="B2159" t="s">
        <v>95</v>
      </c>
      <c r="C2159">
        <v>21</v>
      </c>
      <c r="D2159">
        <v>0</v>
      </c>
      <c r="E2159">
        <v>0.22111107311641001</v>
      </c>
      <c r="F2159">
        <v>0</v>
      </c>
    </row>
    <row r="2160" spans="1:6" x14ac:dyDescent="0.25">
      <c r="A2160">
        <v>18179</v>
      </c>
      <c r="B2160" t="s">
        <v>95</v>
      </c>
      <c r="C2160">
        <v>22</v>
      </c>
      <c r="D2160">
        <v>0</v>
      </c>
      <c r="E2160">
        <v>0.22111107311641001</v>
      </c>
      <c r="F2160">
        <v>0</v>
      </c>
    </row>
    <row r="2161" spans="1:6" x14ac:dyDescent="0.25">
      <c r="A2161">
        <v>18179</v>
      </c>
      <c r="B2161" t="s">
        <v>95</v>
      </c>
      <c r="C2161">
        <v>23</v>
      </c>
      <c r="D2161">
        <v>0</v>
      </c>
      <c r="E2161">
        <v>0.22111107311641001</v>
      </c>
      <c r="F2161">
        <v>0</v>
      </c>
    </row>
    <row r="2162" spans="1:6" x14ac:dyDescent="0.25">
      <c r="A2162">
        <v>18181</v>
      </c>
      <c r="B2162" t="s">
        <v>96</v>
      </c>
      <c r="C2162">
        <v>0</v>
      </c>
      <c r="D2162">
        <v>24.5499987990205</v>
      </c>
      <c r="E2162">
        <v>17.8901586992862</v>
      </c>
      <c r="F2162">
        <v>28</v>
      </c>
    </row>
    <row r="2163" spans="1:6" x14ac:dyDescent="0.25">
      <c r="A2163">
        <v>18181</v>
      </c>
      <c r="B2163" t="s">
        <v>96</v>
      </c>
      <c r="C2163">
        <v>1</v>
      </c>
      <c r="D2163">
        <v>24.778522724011399</v>
      </c>
      <c r="E2163">
        <v>20.077459124198899</v>
      </c>
      <c r="F2163">
        <v>28</v>
      </c>
    </row>
    <row r="2164" spans="1:6" x14ac:dyDescent="0.25">
      <c r="A2164">
        <v>18181</v>
      </c>
      <c r="B2164" t="s">
        <v>96</v>
      </c>
      <c r="C2164">
        <v>2</v>
      </c>
      <c r="D2164">
        <v>24.5499987990205</v>
      </c>
      <c r="E2164">
        <v>21.220078749153299</v>
      </c>
      <c r="F2164">
        <v>28</v>
      </c>
    </row>
    <row r="2165" spans="1:6" x14ac:dyDescent="0.25">
      <c r="A2165">
        <v>18181</v>
      </c>
      <c r="B2165" t="s">
        <v>96</v>
      </c>
      <c r="C2165">
        <v>3</v>
      </c>
      <c r="D2165">
        <v>24.876461549007502</v>
      </c>
      <c r="E2165">
        <v>22.134174449116902</v>
      </c>
      <c r="F2165">
        <v>28</v>
      </c>
    </row>
    <row r="2166" spans="1:6" x14ac:dyDescent="0.25">
      <c r="A2166">
        <v>18181</v>
      </c>
      <c r="B2166" t="s">
        <v>96</v>
      </c>
      <c r="C2166">
        <v>4</v>
      </c>
      <c r="D2166">
        <v>25.366155673987901</v>
      </c>
      <c r="E2166">
        <v>23.276794074071301</v>
      </c>
      <c r="F2166">
        <v>28</v>
      </c>
    </row>
    <row r="2167" spans="1:6" x14ac:dyDescent="0.25">
      <c r="A2167">
        <v>18181</v>
      </c>
      <c r="B2167" t="s">
        <v>96</v>
      </c>
      <c r="C2167">
        <v>5</v>
      </c>
      <c r="D2167">
        <v>25.398801948986598</v>
      </c>
      <c r="E2167">
        <v>22.297405824110399</v>
      </c>
      <c r="F2167">
        <v>28</v>
      </c>
    </row>
    <row r="2168" spans="1:6" x14ac:dyDescent="0.25">
      <c r="A2168">
        <v>18181</v>
      </c>
      <c r="B2168" t="s">
        <v>96</v>
      </c>
      <c r="C2168">
        <v>6</v>
      </c>
      <c r="D2168">
        <v>24.974400374003601</v>
      </c>
      <c r="E2168">
        <v>23.7664881990518</v>
      </c>
      <c r="F2168">
        <v>28</v>
      </c>
    </row>
    <row r="2169" spans="1:6" x14ac:dyDescent="0.25">
      <c r="A2169">
        <v>18181</v>
      </c>
      <c r="B2169" t="s">
        <v>96</v>
      </c>
      <c r="C2169">
        <v>7</v>
      </c>
      <c r="D2169">
        <v>23.831780749049202</v>
      </c>
      <c r="E2169">
        <v>21.905650524125999</v>
      </c>
      <c r="F2169">
        <v>28</v>
      </c>
    </row>
    <row r="2170" spans="1:6" x14ac:dyDescent="0.25">
      <c r="A2170">
        <v>18181</v>
      </c>
      <c r="B2170" t="s">
        <v>96</v>
      </c>
      <c r="C2170">
        <v>8</v>
      </c>
      <c r="D2170">
        <v>21.089493649158602</v>
      </c>
      <c r="E2170">
        <v>16.8454778993279</v>
      </c>
      <c r="F2170">
        <v>28</v>
      </c>
    </row>
    <row r="2171" spans="1:6" x14ac:dyDescent="0.25">
      <c r="A2171">
        <v>18181</v>
      </c>
      <c r="B2171" t="s">
        <v>96</v>
      </c>
      <c r="C2171">
        <v>9</v>
      </c>
      <c r="D2171">
        <v>17.302525749309599</v>
      </c>
      <c r="E2171">
        <v>10.4468079995832</v>
      </c>
      <c r="F2171">
        <v>28</v>
      </c>
    </row>
    <row r="2172" spans="1:6" x14ac:dyDescent="0.25">
      <c r="A2172">
        <v>18181</v>
      </c>
      <c r="B2172" t="s">
        <v>96</v>
      </c>
      <c r="C2172">
        <v>10</v>
      </c>
      <c r="D2172">
        <v>15.53962689938</v>
      </c>
      <c r="E2172">
        <v>7.7698134496900098</v>
      </c>
      <c r="F2172">
        <v>28</v>
      </c>
    </row>
    <row r="2173" spans="1:6" x14ac:dyDescent="0.25">
      <c r="A2173">
        <v>18181</v>
      </c>
      <c r="B2173" t="s">
        <v>96</v>
      </c>
      <c r="C2173">
        <v>11</v>
      </c>
      <c r="D2173">
        <v>17.824866149288798</v>
      </c>
      <c r="E2173">
        <v>7.2474730497108499</v>
      </c>
      <c r="F2173">
        <v>28</v>
      </c>
    </row>
    <row r="2174" spans="1:6" x14ac:dyDescent="0.25">
      <c r="A2174">
        <v>18181</v>
      </c>
      <c r="B2174" t="s">
        <v>96</v>
      </c>
      <c r="C2174">
        <v>12</v>
      </c>
      <c r="D2174">
        <v>22.264759549111702</v>
      </c>
      <c r="E2174">
        <v>6.2354385247512196</v>
      </c>
      <c r="F2174">
        <v>28</v>
      </c>
    </row>
    <row r="2175" spans="1:6" x14ac:dyDescent="0.25">
      <c r="A2175">
        <v>18181</v>
      </c>
      <c r="B2175" t="s">
        <v>96</v>
      </c>
      <c r="C2175">
        <v>13</v>
      </c>
      <c r="D2175">
        <v>22.689161124094699</v>
      </c>
      <c r="E2175">
        <v>6.3333773497473196</v>
      </c>
      <c r="F2175">
        <v>28</v>
      </c>
    </row>
    <row r="2176" spans="1:6" x14ac:dyDescent="0.25">
      <c r="A2176">
        <v>18181</v>
      </c>
      <c r="B2176" t="s">
        <v>96</v>
      </c>
      <c r="C2176">
        <v>14</v>
      </c>
      <c r="D2176">
        <v>21.122139924157299</v>
      </c>
      <c r="E2176">
        <v>5.6478055747746696</v>
      </c>
      <c r="F2176">
        <v>28</v>
      </c>
    </row>
    <row r="2177" spans="1:6" x14ac:dyDescent="0.25">
      <c r="A2177">
        <v>18181</v>
      </c>
      <c r="B2177" t="s">
        <v>96</v>
      </c>
      <c r="C2177">
        <v>15</v>
      </c>
      <c r="D2177">
        <v>21.9382967991247</v>
      </c>
      <c r="E2177">
        <v>5.5172204747798803</v>
      </c>
      <c r="F2177">
        <v>28</v>
      </c>
    </row>
    <row r="2178" spans="1:6" x14ac:dyDescent="0.25">
      <c r="A2178">
        <v>18181</v>
      </c>
      <c r="B2178" t="s">
        <v>96</v>
      </c>
      <c r="C2178">
        <v>16</v>
      </c>
      <c r="D2178">
        <v>21.481248949142898</v>
      </c>
      <c r="E2178">
        <v>5.9416220497629499</v>
      </c>
      <c r="F2178">
        <v>28</v>
      </c>
    </row>
    <row r="2179" spans="1:6" x14ac:dyDescent="0.25">
      <c r="A2179">
        <v>18181</v>
      </c>
      <c r="B2179" t="s">
        <v>96</v>
      </c>
      <c r="C2179">
        <v>17</v>
      </c>
      <c r="D2179">
        <v>21.2853712991507</v>
      </c>
      <c r="E2179">
        <v>5.5172204747798803</v>
      </c>
      <c r="F2179">
        <v>28</v>
      </c>
    </row>
    <row r="2180" spans="1:6" x14ac:dyDescent="0.25">
      <c r="A2180">
        <v>18181</v>
      </c>
      <c r="B2180" t="s">
        <v>96</v>
      </c>
      <c r="C2180">
        <v>18</v>
      </c>
      <c r="D2180">
        <v>21.056847374159901</v>
      </c>
      <c r="E2180">
        <v>5.7783906747694598</v>
      </c>
      <c r="F2180">
        <v>28</v>
      </c>
    </row>
    <row r="2181" spans="1:6" x14ac:dyDescent="0.25">
      <c r="A2181">
        <v>18181</v>
      </c>
      <c r="B2181" t="s">
        <v>96</v>
      </c>
      <c r="C2181">
        <v>19</v>
      </c>
      <c r="D2181">
        <v>22.3300520991091</v>
      </c>
      <c r="E2181">
        <v>6.3986698997447098</v>
      </c>
      <c r="F2181">
        <v>28</v>
      </c>
    </row>
    <row r="2182" spans="1:6" x14ac:dyDescent="0.25">
      <c r="A2182">
        <v>18181</v>
      </c>
      <c r="B2182" t="s">
        <v>96</v>
      </c>
      <c r="C2182">
        <v>20</v>
      </c>
      <c r="D2182">
        <v>23.080916424079099</v>
      </c>
      <c r="E2182">
        <v>8.7165554246522401</v>
      </c>
      <c r="F2182">
        <v>28</v>
      </c>
    </row>
    <row r="2183" spans="1:6" x14ac:dyDescent="0.25">
      <c r="A2183">
        <v>18181</v>
      </c>
      <c r="B2183" t="s">
        <v>96</v>
      </c>
      <c r="C2183">
        <v>21</v>
      </c>
      <c r="D2183">
        <v>24.092950949038698</v>
      </c>
      <c r="E2183">
        <v>11.7526589995311</v>
      </c>
      <c r="F2183">
        <v>28</v>
      </c>
    </row>
    <row r="2184" spans="1:6" x14ac:dyDescent="0.25">
      <c r="A2184">
        <v>18181</v>
      </c>
      <c r="B2184" t="s">
        <v>96</v>
      </c>
      <c r="C2184">
        <v>22</v>
      </c>
      <c r="D2184">
        <v>24.125597224037399</v>
      </c>
      <c r="E2184">
        <v>14.723470024412499</v>
      </c>
      <c r="F2184">
        <v>28</v>
      </c>
    </row>
    <row r="2185" spans="1:6" x14ac:dyDescent="0.25">
      <c r="A2185">
        <v>18181</v>
      </c>
      <c r="B2185" t="s">
        <v>96</v>
      </c>
      <c r="C2185">
        <v>23</v>
      </c>
      <c r="D2185">
        <v>24.190889774034801</v>
      </c>
      <c r="E2185">
        <v>17.171940649314902</v>
      </c>
      <c r="F2185">
        <v>28</v>
      </c>
    </row>
    <row r="2186" spans="1:6" x14ac:dyDescent="0.25">
      <c r="A2186">
        <v>18183</v>
      </c>
      <c r="B2186" t="s">
        <v>97</v>
      </c>
      <c r="C2186">
        <v>0</v>
      </c>
      <c r="D2186">
        <v>0</v>
      </c>
      <c r="E2186">
        <v>0.20468377608114299</v>
      </c>
      <c r="F2186">
        <v>0</v>
      </c>
    </row>
    <row r="2187" spans="1:6" x14ac:dyDescent="0.25">
      <c r="A2187">
        <v>18183</v>
      </c>
      <c r="B2187" t="s">
        <v>97</v>
      </c>
      <c r="C2187">
        <v>1</v>
      </c>
      <c r="D2187">
        <v>0</v>
      </c>
      <c r="E2187">
        <v>0.20468377608114299</v>
      </c>
      <c r="F2187">
        <v>0</v>
      </c>
    </row>
    <row r="2188" spans="1:6" x14ac:dyDescent="0.25">
      <c r="A2188">
        <v>18183</v>
      </c>
      <c r="B2188" t="s">
        <v>97</v>
      </c>
      <c r="C2188">
        <v>2</v>
      </c>
      <c r="D2188">
        <v>0</v>
      </c>
      <c r="E2188">
        <v>0.28655728651360002</v>
      </c>
      <c r="F2188">
        <v>0</v>
      </c>
    </row>
    <row r="2189" spans="1:6" x14ac:dyDescent="0.25">
      <c r="A2189">
        <v>18183</v>
      </c>
      <c r="B2189" t="s">
        <v>97</v>
      </c>
      <c r="C2189">
        <v>3</v>
      </c>
      <c r="D2189">
        <v>0</v>
      </c>
      <c r="E2189">
        <v>0.28655728651360002</v>
      </c>
      <c r="F2189">
        <v>0</v>
      </c>
    </row>
    <row r="2190" spans="1:6" x14ac:dyDescent="0.25">
      <c r="A2190">
        <v>18183</v>
      </c>
      <c r="B2190" t="s">
        <v>97</v>
      </c>
      <c r="C2190">
        <v>4</v>
      </c>
      <c r="D2190">
        <v>0</v>
      </c>
      <c r="E2190">
        <v>0.20468377608114299</v>
      </c>
      <c r="F2190">
        <v>0</v>
      </c>
    </row>
    <row r="2191" spans="1:6" x14ac:dyDescent="0.25">
      <c r="A2191">
        <v>18183</v>
      </c>
      <c r="B2191" t="s">
        <v>97</v>
      </c>
      <c r="C2191">
        <v>5</v>
      </c>
      <c r="D2191">
        <v>0</v>
      </c>
      <c r="E2191">
        <v>0.40936755216228599</v>
      </c>
      <c r="F2191">
        <v>0</v>
      </c>
    </row>
    <row r="2192" spans="1:6" x14ac:dyDescent="0.25">
      <c r="A2192">
        <v>18183</v>
      </c>
      <c r="B2192" t="s">
        <v>97</v>
      </c>
      <c r="C2192">
        <v>6</v>
      </c>
      <c r="D2192">
        <v>0</v>
      </c>
      <c r="E2192">
        <v>1.30997616691931</v>
      </c>
      <c r="F2192">
        <v>0</v>
      </c>
    </row>
    <row r="2193" spans="1:6" x14ac:dyDescent="0.25">
      <c r="A2193">
        <v>18183</v>
      </c>
      <c r="B2193" t="s">
        <v>97</v>
      </c>
      <c r="C2193">
        <v>7</v>
      </c>
      <c r="D2193">
        <v>0</v>
      </c>
      <c r="E2193">
        <v>3.1111933964333698</v>
      </c>
      <c r="F2193">
        <v>0</v>
      </c>
    </row>
    <row r="2194" spans="1:6" x14ac:dyDescent="0.25">
      <c r="A2194">
        <v>18183</v>
      </c>
      <c r="B2194" t="s">
        <v>97</v>
      </c>
      <c r="C2194">
        <v>8</v>
      </c>
      <c r="D2194">
        <v>0</v>
      </c>
      <c r="E2194">
        <v>4.6258533394338297</v>
      </c>
      <c r="F2194">
        <v>0</v>
      </c>
    </row>
    <row r="2195" spans="1:6" x14ac:dyDescent="0.25">
      <c r="A2195">
        <v>18183</v>
      </c>
      <c r="B2195" t="s">
        <v>97</v>
      </c>
      <c r="C2195">
        <v>9</v>
      </c>
      <c r="D2195">
        <v>0</v>
      </c>
      <c r="E2195">
        <v>4.6258533394338297</v>
      </c>
      <c r="F2195">
        <v>0</v>
      </c>
    </row>
    <row r="2196" spans="1:6" x14ac:dyDescent="0.25">
      <c r="A2196">
        <v>18183</v>
      </c>
      <c r="B2196" t="s">
        <v>97</v>
      </c>
      <c r="C2196">
        <v>10</v>
      </c>
      <c r="D2196">
        <v>0</v>
      </c>
      <c r="E2196">
        <v>3.68430796946057</v>
      </c>
      <c r="F2196">
        <v>0</v>
      </c>
    </row>
    <row r="2197" spans="1:6" x14ac:dyDescent="0.25">
      <c r="A2197">
        <v>18183</v>
      </c>
      <c r="B2197" t="s">
        <v>97</v>
      </c>
      <c r="C2197">
        <v>11</v>
      </c>
      <c r="D2197">
        <v>0</v>
      </c>
      <c r="E2197">
        <v>3.88899174554171</v>
      </c>
      <c r="F2197">
        <v>0</v>
      </c>
    </row>
    <row r="2198" spans="1:6" x14ac:dyDescent="0.25">
      <c r="A2198">
        <v>18183</v>
      </c>
      <c r="B2198" t="s">
        <v>97</v>
      </c>
      <c r="C2198">
        <v>12</v>
      </c>
      <c r="D2198">
        <v>0</v>
      </c>
      <c r="E2198">
        <v>4.5849165842176003</v>
      </c>
      <c r="F2198">
        <v>0</v>
      </c>
    </row>
    <row r="2199" spans="1:6" x14ac:dyDescent="0.25">
      <c r="A2199">
        <v>18183</v>
      </c>
      <c r="B2199" t="s">
        <v>97</v>
      </c>
      <c r="C2199">
        <v>13</v>
      </c>
      <c r="D2199">
        <v>0</v>
      </c>
      <c r="E2199">
        <v>1.5965334534329101</v>
      </c>
      <c r="F2199">
        <v>0</v>
      </c>
    </row>
    <row r="2200" spans="1:6" x14ac:dyDescent="0.25">
      <c r="A2200">
        <v>18183</v>
      </c>
      <c r="B2200" t="s">
        <v>97</v>
      </c>
      <c r="C2200">
        <v>14</v>
      </c>
      <c r="D2200">
        <v>0</v>
      </c>
      <c r="E2200">
        <v>1.88309073994651</v>
      </c>
      <c r="F2200">
        <v>0</v>
      </c>
    </row>
    <row r="2201" spans="1:6" x14ac:dyDescent="0.25">
      <c r="A2201">
        <v>18183</v>
      </c>
      <c r="B2201" t="s">
        <v>97</v>
      </c>
      <c r="C2201">
        <v>15</v>
      </c>
      <c r="D2201">
        <v>0</v>
      </c>
      <c r="E2201">
        <v>0.941545369973258</v>
      </c>
      <c r="F2201">
        <v>0</v>
      </c>
    </row>
    <row r="2202" spans="1:6" x14ac:dyDescent="0.25">
      <c r="A2202">
        <v>18183</v>
      </c>
      <c r="B2202" t="s">
        <v>97</v>
      </c>
      <c r="C2202">
        <v>16</v>
      </c>
      <c r="D2202">
        <v>0</v>
      </c>
      <c r="E2202">
        <v>0.16374702086491399</v>
      </c>
      <c r="F2202">
        <v>0</v>
      </c>
    </row>
    <row r="2203" spans="1:6" x14ac:dyDescent="0.25">
      <c r="A2203">
        <v>18183</v>
      </c>
      <c r="B2203" t="s">
        <v>97</v>
      </c>
      <c r="C2203">
        <v>17</v>
      </c>
      <c r="D2203">
        <v>0</v>
      </c>
      <c r="E2203">
        <v>8.1873510432457205E-2</v>
      </c>
      <c r="F2203">
        <v>0</v>
      </c>
    </row>
    <row r="2204" spans="1:6" x14ac:dyDescent="0.25">
      <c r="A2204">
        <v>18183</v>
      </c>
      <c r="B2204" t="s">
        <v>97</v>
      </c>
      <c r="C2204">
        <v>18</v>
      </c>
      <c r="D2204">
        <v>0</v>
      </c>
      <c r="E2204">
        <v>8.1873510432457205E-2</v>
      </c>
      <c r="F2204">
        <v>0</v>
      </c>
    </row>
    <row r="2205" spans="1:6" x14ac:dyDescent="0.25">
      <c r="A2205">
        <v>18183</v>
      </c>
      <c r="B2205" t="s">
        <v>97</v>
      </c>
      <c r="C2205">
        <v>19</v>
      </c>
      <c r="D2205">
        <v>0</v>
      </c>
      <c r="E2205">
        <v>8.1873510432457205E-2</v>
      </c>
      <c r="F2205">
        <v>0</v>
      </c>
    </row>
    <row r="2206" spans="1:6" x14ac:dyDescent="0.25">
      <c r="A2206">
        <v>18183</v>
      </c>
      <c r="B2206" t="s">
        <v>97</v>
      </c>
      <c r="C2206">
        <v>20</v>
      </c>
      <c r="D2206">
        <v>0</v>
      </c>
      <c r="E2206">
        <v>8.1873510432457205E-2</v>
      </c>
      <c r="F2206">
        <v>0</v>
      </c>
    </row>
    <row r="2207" spans="1:6" x14ac:dyDescent="0.25">
      <c r="A2207">
        <v>18183</v>
      </c>
      <c r="B2207" t="s">
        <v>97</v>
      </c>
      <c r="C2207">
        <v>21</v>
      </c>
      <c r="D2207">
        <v>0</v>
      </c>
      <c r="E2207">
        <v>8.1873510432457205E-2</v>
      </c>
      <c r="F2207">
        <v>0</v>
      </c>
    </row>
    <row r="2208" spans="1:6" x14ac:dyDescent="0.25">
      <c r="A2208">
        <v>18183</v>
      </c>
      <c r="B2208" t="s">
        <v>97</v>
      </c>
      <c r="C2208">
        <v>22</v>
      </c>
      <c r="D2208">
        <v>0</v>
      </c>
      <c r="E2208">
        <v>0</v>
      </c>
      <c r="F2208">
        <v>0</v>
      </c>
    </row>
    <row r="2209" spans="1:6" x14ac:dyDescent="0.25">
      <c r="A2209">
        <v>18183</v>
      </c>
      <c r="B2209" t="s">
        <v>97</v>
      </c>
      <c r="C2209">
        <v>23</v>
      </c>
      <c r="D2209">
        <v>0</v>
      </c>
      <c r="E2209">
        <v>0.122810265648685</v>
      </c>
      <c r="F22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12802-FC60-4225-94E9-CCC96B9B88D8}">
  <dimension ref="A2:T31"/>
  <sheetViews>
    <sheetView zoomScale="90" zoomScaleNormal="90" workbookViewId="0">
      <selection activeCell="M26" sqref="M26"/>
    </sheetView>
  </sheetViews>
  <sheetFormatPr defaultRowHeight="15" x14ac:dyDescent="0.25"/>
  <sheetData>
    <row r="2" spans="1:20" x14ac:dyDescent="0.25">
      <c r="C2" t="s">
        <v>102</v>
      </c>
      <c r="F2" t="s">
        <v>107</v>
      </c>
      <c r="I2" t="s">
        <v>108</v>
      </c>
      <c r="L2" t="s">
        <v>109</v>
      </c>
      <c r="O2" t="s">
        <v>111</v>
      </c>
      <c r="R2" t="s">
        <v>112</v>
      </c>
    </row>
    <row r="3" spans="1:20" x14ac:dyDescent="0.25">
      <c r="C3" t="s">
        <v>104</v>
      </c>
      <c r="D3" t="s">
        <v>105</v>
      </c>
      <c r="E3" t="s">
        <v>106</v>
      </c>
      <c r="F3" t="s">
        <v>104</v>
      </c>
      <c r="G3" t="s">
        <v>105</v>
      </c>
      <c r="H3" t="s">
        <v>106</v>
      </c>
      <c r="I3" t="s">
        <v>104</v>
      </c>
      <c r="J3" t="s">
        <v>105</v>
      </c>
      <c r="K3" t="s">
        <v>106</v>
      </c>
      <c r="L3" t="s">
        <v>104</v>
      </c>
      <c r="M3" t="s">
        <v>105</v>
      </c>
      <c r="N3" t="s">
        <v>106</v>
      </c>
      <c r="O3" t="s">
        <v>104</v>
      </c>
      <c r="P3" t="s">
        <v>105</v>
      </c>
      <c r="Q3" t="s">
        <v>106</v>
      </c>
      <c r="R3" t="s">
        <v>104</v>
      </c>
      <c r="S3" t="s">
        <v>105</v>
      </c>
      <c r="T3" t="s">
        <v>106</v>
      </c>
    </row>
    <row r="4" spans="1:20" x14ac:dyDescent="0.25">
      <c r="A4" t="s">
        <v>103</v>
      </c>
      <c r="C4">
        <v>550</v>
      </c>
      <c r="D4">
        <v>869</v>
      </c>
      <c r="E4">
        <v>92</v>
      </c>
      <c r="F4">
        <f>in_parking_demand_data_ver1!F122</f>
        <v>550</v>
      </c>
      <c r="G4">
        <f>in_parking_demand_data_ver1!F866</f>
        <v>869</v>
      </c>
      <c r="H4">
        <f>in_parking_demand_data_ver1!F1874</f>
        <v>92</v>
      </c>
    </row>
    <row r="5" spans="1:20" x14ac:dyDescent="0.25">
      <c r="A5" t="s">
        <v>2</v>
      </c>
      <c r="B5">
        <v>0</v>
      </c>
      <c r="C5" s="1">
        <v>618.05411316957702</v>
      </c>
      <c r="D5" s="1">
        <v>666.24797953009897</v>
      </c>
      <c r="E5" s="1">
        <v>118.790559572719</v>
      </c>
      <c r="F5" s="1">
        <f>in_parking_demand_data_ver1!D122</f>
        <v>618.05411316957702</v>
      </c>
      <c r="G5" s="1">
        <f>in_parking_demand_data_ver1!D866</f>
        <v>666.24797953009897</v>
      </c>
      <c r="H5" s="1">
        <f>in_parking_demand_data_ver1!D1874</f>
        <v>118.790559572719</v>
      </c>
      <c r="I5">
        <v>1</v>
      </c>
      <c r="J5">
        <v>0.7</v>
      </c>
      <c r="K5">
        <v>1</v>
      </c>
      <c r="L5" s="2">
        <f>F5/F$4</f>
        <v>1.1237347512174127</v>
      </c>
      <c r="M5" s="2">
        <f t="shared" ref="M5:N5" si="0">G5/G$4</f>
        <v>0.76668352074810009</v>
      </c>
      <c r="N5" s="2">
        <f t="shared" si="0"/>
        <v>1.2912017344860762</v>
      </c>
      <c r="O5" s="1">
        <f>F5*$I$31</f>
        <v>525.34599619414041</v>
      </c>
      <c r="P5" s="1">
        <f t="shared" ref="P5:Q5" si="1">G5*$I$31</f>
        <v>566.31078260058416</v>
      </c>
      <c r="Q5" s="1">
        <f t="shared" si="1"/>
        <v>100.97197563681115</v>
      </c>
      <c r="R5" s="2">
        <f>O5/F$4</f>
        <v>0.95517453853480072</v>
      </c>
      <c r="S5" s="2">
        <f t="shared" ref="S5:T5" si="2">P5/G$4</f>
        <v>0.65168099263588508</v>
      </c>
      <c r="T5" s="2">
        <f t="shared" si="2"/>
        <v>1.0975214743131647</v>
      </c>
    </row>
    <row r="6" spans="1:20" x14ac:dyDescent="0.25">
      <c r="B6">
        <v>1</v>
      </c>
      <c r="C6" s="1">
        <v>618.22888575318598</v>
      </c>
      <c r="D6" s="1">
        <v>667.32946732248797</v>
      </c>
      <c r="E6" s="1">
        <v>117.767022059928</v>
      </c>
      <c r="F6" s="1">
        <f>in_parking_demand_data_ver1!D123</f>
        <v>618.22888575318598</v>
      </c>
      <c r="G6" s="1">
        <f>in_parking_demand_data_ver1!D867</f>
        <v>667.32946732248797</v>
      </c>
      <c r="H6" s="1">
        <f>in_parking_demand_data_ver1!D1875</f>
        <v>117.767022059928</v>
      </c>
      <c r="I6">
        <v>1</v>
      </c>
      <c r="J6">
        <v>0.7</v>
      </c>
      <c r="K6">
        <v>1</v>
      </c>
      <c r="L6" s="2">
        <f t="shared" ref="L6:L28" si="3">F6/F$4</f>
        <v>1.1240525195512472</v>
      </c>
      <c r="M6" s="2">
        <f t="shared" ref="M6:M28" si="4">G6/G$4</f>
        <v>0.76792804064728193</v>
      </c>
      <c r="N6" s="2">
        <f t="shared" ref="N6:N28" si="5">H6/H$4</f>
        <v>1.2800763267383477</v>
      </c>
      <c r="O6" s="1">
        <f t="shared" ref="O6:O28" si="6">F6*$I$31</f>
        <v>525.49455289020807</v>
      </c>
      <c r="P6" s="1">
        <f t="shared" ref="P6:P28" si="7">G6*$I$31</f>
        <v>567.23004722411474</v>
      </c>
      <c r="Q6" s="1">
        <f t="shared" ref="Q6:Q28" si="8">H6*$I$31</f>
        <v>100.10196875093879</v>
      </c>
      <c r="R6" s="2">
        <f t="shared" ref="R6:R28" si="9">O6/F$4</f>
        <v>0.95544464161856013</v>
      </c>
      <c r="S6" s="2">
        <f t="shared" ref="S6:S28" si="10">P6/G$4</f>
        <v>0.65273883455018955</v>
      </c>
      <c r="T6" s="2">
        <f t="shared" ref="T6:T28" si="11">Q6/H$4</f>
        <v>1.0880648777275956</v>
      </c>
    </row>
    <row r="7" spans="1:20" x14ac:dyDescent="0.25">
      <c r="B7">
        <v>2</v>
      </c>
      <c r="C7" s="1">
        <v>614.20911633017704</v>
      </c>
      <c r="D7" s="1">
        <v>659.03806091417505</v>
      </c>
      <c r="E7" s="1">
        <v>116.38223601321199</v>
      </c>
      <c r="F7" s="1">
        <f>in_parking_demand_data_ver1!D124</f>
        <v>614.20911633017704</v>
      </c>
      <c r="G7" s="1">
        <f>in_parking_demand_data_ver1!D868</f>
        <v>659.03806091417505</v>
      </c>
      <c r="H7" s="1">
        <f>in_parking_demand_data_ver1!D1876</f>
        <v>116.38223601321199</v>
      </c>
      <c r="L7" s="2">
        <f t="shared" si="3"/>
        <v>1.1167438478730491</v>
      </c>
      <c r="M7" s="2">
        <f t="shared" si="4"/>
        <v>0.75838672142022445</v>
      </c>
      <c r="N7" s="2">
        <f t="shared" si="5"/>
        <v>1.2650243044914347</v>
      </c>
      <c r="O7" s="1">
        <f t="shared" si="6"/>
        <v>522.07774888065046</v>
      </c>
      <c r="P7" s="1">
        <f t="shared" si="7"/>
        <v>560.18235177704878</v>
      </c>
      <c r="Q7" s="1">
        <f t="shared" si="8"/>
        <v>98.924900611230186</v>
      </c>
      <c r="R7" s="2">
        <f t="shared" si="9"/>
        <v>0.94923227069209171</v>
      </c>
      <c r="S7" s="2">
        <f t="shared" si="10"/>
        <v>0.64462871320719073</v>
      </c>
      <c r="T7" s="2">
        <f t="shared" si="11"/>
        <v>1.0752706588177194</v>
      </c>
    </row>
    <row r="8" spans="1:20" x14ac:dyDescent="0.25">
      <c r="B8">
        <v>3</v>
      </c>
      <c r="C8" s="1">
        <v>599.29518919553595</v>
      </c>
      <c r="D8" s="1">
        <v>627.77791377227402</v>
      </c>
      <c r="E8" s="1">
        <v>112.34829405103601</v>
      </c>
      <c r="F8" s="1">
        <f>in_parking_demand_data_ver1!D125</f>
        <v>599.29518919553595</v>
      </c>
      <c r="G8" s="1">
        <f>in_parking_demand_data_ver1!D869</f>
        <v>627.77791377227402</v>
      </c>
      <c r="H8" s="1">
        <f>in_parking_demand_data_ver1!D1877</f>
        <v>112.34829405103601</v>
      </c>
      <c r="L8" s="2">
        <f t="shared" si="3"/>
        <v>1.0896276167191563</v>
      </c>
      <c r="M8" s="2">
        <f t="shared" si="4"/>
        <v>0.72241417004864672</v>
      </c>
      <c r="N8" s="2">
        <f t="shared" si="5"/>
        <v>1.2211771092503914</v>
      </c>
      <c r="O8" s="1">
        <f t="shared" si="6"/>
        <v>509.40091081620557</v>
      </c>
      <c r="P8" s="1">
        <f t="shared" si="7"/>
        <v>533.61122670643294</v>
      </c>
      <c r="Q8" s="1">
        <f t="shared" si="8"/>
        <v>95.496049943380598</v>
      </c>
      <c r="R8" s="2">
        <f t="shared" si="9"/>
        <v>0.92618347421128289</v>
      </c>
      <c r="S8" s="2">
        <f t="shared" si="10"/>
        <v>0.61405204454134976</v>
      </c>
      <c r="T8" s="2">
        <f t="shared" si="11"/>
        <v>1.0380005428628325</v>
      </c>
    </row>
    <row r="9" spans="1:20" x14ac:dyDescent="0.25">
      <c r="B9">
        <v>4</v>
      </c>
      <c r="C9" s="1">
        <v>578.67202432966405</v>
      </c>
      <c r="D9" s="1">
        <v>595.33328000061397</v>
      </c>
      <c r="E9" s="1">
        <v>107.471438843033</v>
      </c>
      <c r="F9" s="1">
        <f>in_parking_demand_data_ver1!D126</f>
        <v>578.67202432966405</v>
      </c>
      <c r="G9" s="1">
        <f>in_parking_demand_data_ver1!D870</f>
        <v>595.33328000061397</v>
      </c>
      <c r="H9" s="1">
        <f>in_parking_demand_data_ver1!D1878</f>
        <v>107.471438843033</v>
      </c>
      <c r="L9" s="2">
        <f t="shared" si="3"/>
        <v>1.0521309533266618</v>
      </c>
      <c r="M9" s="2">
        <f t="shared" si="4"/>
        <v>0.68507857307320363</v>
      </c>
      <c r="N9" s="2">
        <f t="shared" si="5"/>
        <v>1.1681678135112283</v>
      </c>
      <c r="O9" s="1">
        <f t="shared" si="6"/>
        <v>491.87122068021444</v>
      </c>
      <c r="P9" s="1">
        <f t="shared" si="7"/>
        <v>506.03328800052185</v>
      </c>
      <c r="Q9" s="1">
        <f t="shared" si="8"/>
        <v>91.350723016578044</v>
      </c>
      <c r="R9" s="2">
        <f t="shared" si="9"/>
        <v>0.89431131032766265</v>
      </c>
      <c r="S9" s="2">
        <f t="shared" si="10"/>
        <v>0.58231678711222312</v>
      </c>
      <c r="T9" s="2">
        <f t="shared" si="11"/>
        <v>0.99294264148454392</v>
      </c>
    </row>
    <row r="10" spans="1:20" x14ac:dyDescent="0.25">
      <c r="B10">
        <v>5</v>
      </c>
      <c r="C10" s="1">
        <v>548.31985230955399</v>
      </c>
      <c r="D10" s="1">
        <v>541.10439212512597</v>
      </c>
      <c r="E10" s="1">
        <v>99.584179185645397</v>
      </c>
      <c r="F10" s="1">
        <f>in_parking_demand_data_ver1!D127</f>
        <v>548.31985230955399</v>
      </c>
      <c r="G10" s="1">
        <f>in_parking_demand_data_ver1!D871</f>
        <v>541.10439212512597</v>
      </c>
      <c r="H10" s="1">
        <f>in_parking_demand_data_ver1!D1879</f>
        <v>99.584179185645397</v>
      </c>
      <c r="L10" s="2">
        <f t="shared" si="3"/>
        <v>0.99694518601737092</v>
      </c>
      <c r="M10" s="2">
        <f t="shared" si="4"/>
        <v>0.62267478955710698</v>
      </c>
      <c r="N10" s="2">
        <f t="shared" si="5"/>
        <v>1.0824367302787543</v>
      </c>
      <c r="O10" s="1">
        <f t="shared" si="6"/>
        <v>466.07187446312088</v>
      </c>
      <c r="P10" s="1">
        <f t="shared" si="7"/>
        <v>459.93873330635705</v>
      </c>
      <c r="Q10" s="1">
        <f t="shared" si="8"/>
        <v>84.646552307798586</v>
      </c>
      <c r="R10" s="2">
        <f t="shared" si="9"/>
        <v>0.84740340811476522</v>
      </c>
      <c r="S10" s="2">
        <f t="shared" si="10"/>
        <v>0.5292735711235409</v>
      </c>
      <c r="T10" s="2">
        <f t="shared" si="11"/>
        <v>0.92007122073694114</v>
      </c>
    </row>
    <row r="11" spans="1:20" x14ac:dyDescent="0.25">
      <c r="B11">
        <v>6</v>
      </c>
      <c r="C11" s="1">
        <v>500.490421928535</v>
      </c>
      <c r="D11" s="1">
        <v>462.46477979286499</v>
      </c>
      <c r="E11" s="1">
        <v>95.128780600556098</v>
      </c>
      <c r="F11" s="1">
        <f>in_parking_demand_data_ver1!D128</f>
        <v>500.490421928535</v>
      </c>
      <c r="G11" s="1">
        <f>in_parking_demand_data_ver1!D872</f>
        <v>462.46477979286499</v>
      </c>
      <c r="H11" s="1">
        <f>in_parking_demand_data_ver1!D1880</f>
        <v>95.128780600556098</v>
      </c>
      <c r="L11" s="2">
        <f t="shared" si="3"/>
        <v>0.90998258532460907</v>
      </c>
      <c r="M11" s="2">
        <f t="shared" si="4"/>
        <v>0.53218041403091487</v>
      </c>
      <c r="N11" s="2">
        <f t="shared" si="5"/>
        <v>1.0340084847886533</v>
      </c>
      <c r="O11" s="1">
        <f t="shared" si="6"/>
        <v>425.41685863925471</v>
      </c>
      <c r="P11" s="1">
        <f t="shared" si="7"/>
        <v>393.09506282393522</v>
      </c>
      <c r="Q11" s="1">
        <f t="shared" si="8"/>
        <v>80.859463510472679</v>
      </c>
      <c r="R11" s="2">
        <f t="shared" si="9"/>
        <v>0.77348519752591771</v>
      </c>
      <c r="S11" s="2">
        <f t="shared" si="10"/>
        <v>0.45235335192627757</v>
      </c>
      <c r="T11" s="2">
        <f t="shared" si="11"/>
        <v>0.87890721207035516</v>
      </c>
    </row>
    <row r="12" spans="1:20" x14ac:dyDescent="0.25">
      <c r="B12">
        <v>7</v>
      </c>
      <c r="C12" s="1">
        <v>440.77645586210002</v>
      </c>
      <c r="D12" s="1">
        <v>377.49073896232699</v>
      </c>
      <c r="E12" s="1">
        <v>89.529428324700604</v>
      </c>
      <c r="F12" s="1">
        <f>in_parking_demand_data_ver1!D129</f>
        <v>440.77645586210002</v>
      </c>
      <c r="G12" s="1">
        <f>in_parking_demand_data_ver1!D873</f>
        <v>377.49073896232699</v>
      </c>
      <c r="H12" s="1">
        <f>in_parking_demand_data_ver1!D1881</f>
        <v>89.529428324700604</v>
      </c>
      <c r="L12" s="2">
        <f t="shared" si="3"/>
        <v>0.80141173793109099</v>
      </c>
      <c r="M12" s="2">
        <f t="shared" si="4"/>
        <v>0.43439670766665939</v>
      </c>
      <c r="N12" s="2">
        <f t="shared" si="5"/>
        <v>0.97314596005109355</v>
      </c>
      <c r="O12" s="1">
        <f t="shared" si="6"/>
        <v>374.65998748278503</v>
      </c>
      <c r="P12" s="1">
        <f t="shared" si="7"/>
        <v>320.86712811797793</v>
      </c>
      <c r="Q12" s="1">
        <f t="shared" si="8"/>
        <v>76.100014075995517</v>
      </c>
      <c r="R12" s="2">
        <f t="shared" si="9"/>
        <v>0.68119997724142733</v>
      </c>
      <c r="S12" s="2">
        <f t="shared" si="10"/>
        <v>0.36923720151666045</v>
      </c>
      <c r="T12" s="2">
        <f t="shared" si="11"/>
        <v>0.82717406604342958</v>
      </c>
    </row>
    <row r="13" spans="1:20" x14ac:dyDescent="0.25">
      <c r="B13">
        <v>8</v>
      </c>
      <c r="C13" s="1">
        <v>370.45961972338</v>
      </c>
      <c r="D13" s="1">
        <v>308.84201385499</v>
      </c>
      <c r="E13" s="1">
        <v>77.186770082223404</v>
      </c>
      <c r="F13" s="1">
        <f>in_parking_demand_data_ver1!D130</f>
        <v>370.45961972338</v>
      </c>
      <c r="G13" s="1">
        <f>in_parking_demand_data_ver1!D874</f>
        <v>308.84201385499</v>
      </c>
      <c r="H13" s="1">
        <f>in_parking_demand_data_ver1!D1882</f>
        <v>77.186770082223404</v>
      </c>
      <c r="L13" s="2">
        <f t="shared" si="3"/>
        <v>0.67356294495159996</v>
      </c>
      <c r="M13" s="2">
        <f t="shared" si="4"/>
        <v>0.35539932549481013</v>
      </c>
      <c r="N13" s="2">
        <f t="shared" si="5"/>
        <v>0.83898663132851525</v>
      </c>
      <c r="O13" s="1">
        <f t="shared" si="6"/>
        <v>314.89067676487298</v>
      </c>
      <c r="P13" s="1">
        <f t="shared" si="7"/>
        <v>262.51571177674151</v>
      </c>
      <c r="Q13" s="1">
        <f t="shared" si="8"/>
        <v>65.608754569889896</v>
      </c>
      <c r="R13" s="2">
        <f t="shared" si="9"/>
        <v>0.57252850320885995</v>
      </c>
      <c r="S13" s="2">
        <f t="shared" si="10"/>
        <v>0.30208942667058863</v>
      </c>
      <c r="T13" s="2">
        <f t="shared" si="11"/>
        <v>0.71313863662923804</v>
      </c>
    </row>
    <row r="14" spans="1:20" x14ac:dyDescent="0.25">
      <c r="B14">
        <v>9</v>
      </c>
      <c r="C14" s="1">
        <v>324.84397540140998</v>
      </c>
      <c r="D14" s="1">
        <v>266.50949169577598</v>
      </c>
      <c r="E14" s="1">
        <v>65.024736106709199</v>
      </c>
      <c r="F14" s="1">
        <f>in_parking_demand_data_ver1!D131</f>
        <v>324.84397540140998</v>
      </c>
      <c r="G14" s="1">
        <f>in_parking_demand_data_ver1!D875</f>
        <v>266.50949169577598</v>
      </c>
      <c r="H14" s="1">
        <f>in_parking_demand_data_ver1!D1883</f>
        <v>65.024736106709199</v>
      </c>
      <c r="L14" s="2">
        <f t="shared" si="3"/>
        <v>0.59062540982074541</v>
      </c>
      <c r="M14" s="2">
        <f t="shared" si="4"/>
        <v>0.30668526086970771</v>
      </c>
      <c r="N14" s="2">
        <f t="shared" si="5"/>
        <v>0.70679060985553477</v>
      </c>
      <c r="O14" s="1">
        <f t="shared" si="6"/>
        <v>276.11737909119847</v>
      </c>
      <c r="P14" s="1">
        <f t="shared" si="7"/>
        <v>226.53306794140957</v>
      </c>
      <c r="Q14" s="1">
        <f t="shared" si="8"/>
        <v>55.271025690702814</v>
      </c>
      <c r="R14" s="2">
        <f t="shared" si="9"/>
        <v>0.50203159834763356</v>
      </c>
      <c r="S14" s="2">
        <f t="shared" si="10"/>
        <v>0.26068247173925152</v>
      </c>
      <c r="T14" s="2">
        <f t="shared" si="11"/>
        <v>0.60077201837720451</v>
      </c>
    </row>
    <row r="15" spans="1:20" x14ac:dyDescent="0.25">
      <c r="B15">
        <v>10</v>
      </c>
      <c r="C15" s="1">
        <v>299.15240561087501</v>
      </c>
      <c r="D15" s="1">
        <v>251.83215737050199</v>
      </c>
      <c r="E15" s="1">
        <v>62.9776610811276</v>
      </c>
      <c r="F15" s="1">
        <f>in_parking_demand_data_ver1!D132</f>
        <v>299.15240561087501</v>
      </c>
      <c r="G15" s="1">
        <f>in_parking_demand_data_ver1!D876</f>
        <v>251.83215737050199</v>
      </c>
      <c r="H15" s="1">
        <f>in_parking_demand_data_ver1!D1884</f>
        <v>62.9776610811276</v>
      </c>
      <c r="L15" s="2">
        <f t="shared" si="3"/>
        <v>0.54391346474704549</v>
      </c>
      <c r="M15" s="2">
        <f t="shared" si="4"/>
        <v>0.28979534795224626</v>
      </c>
      <c r="N15" s="2">
        <f t="shared" si="5"/>
        <v>0.68453979436008261</v>
      </c>
      <c r="O15" s="1">
        <f t="shared" si="6"/>
        <v>254.27954476924376</v>
      </c>
      <c r="P15" s="1">
        <f t="shared" si="7"/>
        <v>214.05733376492668</v>
      </c>
      <c r="Q15" s="1">
        <f t="shared" si="8"/>
        <v>53.531011918958455</v>
      </c>
      <c r="R15" s="2">
        <f t="shared" si="9"/>
        <v>0.46232644503498865</v>
      </c>
      <c r="S15" s="2">
        <f t="shared" si="10"/>
        <v>0.24632604575940931</v>
      </c>
      <c r="T15" s="2">
        <f t="shared" si="11"/>
        <v>0.58185882520607013</v>
      </c>
    </row>
    <row r="16" spans="1:20" x14ac:dyDescent="0.25">
      <c r="B16">
        <v>11</v>
      </c>
      <c r="C16" s="1">
        <v>292.860592600948</v>
      </c>
      <c r="D16" s="1">
        <v>256.62160330822297</v>
      </c>
      <c r="E16" s="1">
        <v>60.4489213436445</v>
      </c>
      <c r="F16" s="1">
        <f>in_parking_demand_data_ver1!D133</f>
        <v>292.860592600948</v>
      </c>
      <c r="G16" s="1">
        <f>in_parking_demand_data_ver1!D877</f>
        <v>256.62160330822297</v>
      </c>
      <c r="H16" s="1">
        <f>in_parking_demand_data_ver1!D1885</f>
        <v>60.4489213436445</v>
      </c>
      <c r="L16" s="2">
        <f t="shared" si="3"/>
        <v>0.5324738047289963</v>
      </c>
      <c r="M16" s="2">
        <f t="shared" si="4"/>
        <v>0.29530679322004943</v>
      </c>
      <c r="N16" s="2">
        <f t="shared" si="5"/>
        <v>0.65705349286570114</v>
      </c>
      <c r="O16" s="1">
        <f t="shared" si="6"/>
        <v>248.9315037108058</v>
      </c>
      <c r="P16" s="1">
        <f t="shared" si="7"/>
        <v>218.12836281198952</v>
      </c>
      <c r="Q16" s="1">
        <f t="shared" si="8"/>
        <v>51.381583142097824</v>
      </c>
      <c r="R16" s="2">
        <f t="shared" si="9"/>
        <v>0.4526027340196469</v>
      </c>
      <c r="S16" s="2">
        <f t="shared" si="10"/>
        <v>0.25101077423704204</v>
      </c>
      <c r="T16" s="2">
        <f t="shared" si="11"/>
        <v>0.5584954689358459</v>
      </c>
    </row>
    <row r="17" spans="2:20" x14ac:dyDescent="0.25">
      <c r="B17">
        <v>12</v>
      </c>
      <c r="C17" s="1">
        <v>303.81300784045101</v>
      </c>
      <c r="D17" s="1">
        <v>272.17442775114603</v>
      </c>
      <c r="E17" s="1">
        <v>61.592875034410703</v>
      </c>
      <c r="F17" s="1">
        <f>in_parking_demand_data_ver1!D134</f>
        <v>303.81300784045101</v>
      </c>
      <c r="G17" s="1">
        <f>in_parking_demand_data_ver1!D878</f>
        <v>272.17442775114603</v>
      </c>
      <c r="H17" s="1">
        <f>in_parking_demand_data_ver1!D1886</f>
        <v>61.592875034410703</v>
      </c>
      <c r="L17" s="2">
        <f t="shared" si="3"/>
        <v>0.55238728698263817</v>
      </c>
      <c r="M17" s="2">
        <f t="shared" si="4"/>
        <v>0.31320417462732569</v>
      </c>
      <c r="N17" s="2">
        <f t="shared" si="5"/>
        <v>0.6694877721131598</v>
      </c>
      <c r="O17" s="1">
        <f t="shared" si="6"/>
        <v>258.24105666438334</v>
      </c>
      <c r="P17" s="1">
        <f t="shared" si="7"/>
        <v>231.34826358847411</v>
      </c>
      <c r="Q17" s="1">
        <f t="shared" si="8"/>
        <v>52.353943779249093</v>
      </c>
      <c r="R17" s="2">
        <f t="shared" si="9"/>
        <v>0.46952919393524245</v>
      </c>
      <c r="S17" s="2">
        <f t="shared" si="10"/>
        <v>0.26622354843322682</v>
      </c>
      <c r="T17" s="2">
        <f t="shared" si="11"/>
        <v>0.56906460629618583</v>
      </c>
    </row>
    <row r="18" spans="2:20" x14ac:dyDescent="0.25">
      <c r="B18">
        <v>13</v>
      </c>
      <c r="C18" s="1">
        <v>309.34747298807099</v>
      </c>
      <c r="D18" s="1">
        <v>283.86479579268001</v>
      </c>
      <c r="E18" s="1">
        <v>62.8572449031522</v>
      </c>
      <c r="F18" s="1">
        <f>in_parking_demand_data_ver1!D135</f>
        <v>309.34747298807099</v>
      </c>
      <c r="G18" s="1">
        <f>in_parking_demand_data_ver1!D879</f>
        <v>283.86479579268001</v>
      </c>
      <c r="H18" s="1">
        <f>in_parking_demand_data_ver1!D1887</f>
        <v>62.8572449031522</v>
      </c>
      <c r="L18" s="2">
        <f t="shared" si="3"/>
        <v>0.5624499508874018</v>
      </c>
      <c r="M18" s="2">
        <f t="shared" si="4"/>
        <v>0.32665684210895285</v>
      </c>
      <c r="N18" s="2">
        <f t="shared" si="5"/>
        <v>0.68323092286035003</v>
      </c>
      <c r="O18" s="1">
        <f t="shared" si="6"/>
        <v>262.94535203986032</v>
      </c>
      <c r="P18" s="1">
        <f t="shared" si="7"/>
        <v>241.28507642377801</v>
      </c>
      <c r="Q18" s="1">
        <f t="shared" si="8"/>
        <v>53.428658167679366</v>
      </c>
      <c r="R18" s="2">
        <f t="shared" si="9"/>
        <v>0.47808245825429152</v>
      </c>
      <c r="S18" s="2">
        <f t="shared" si="10"/>
        <v>0.27765831579260991</v>
      </c>
      <c r="T18" s="2">
        <f t="shared" si="11"/>
        <v>0.5807462844312975</v>
      </c>
    </row>
    <row r="19" spans="2:20" x14ac:dyDescent="0.25">
      <c r="B19">
        <v>14</v>
      </c>
      <c r="C19" s="1">
        <v>320.64943339479203</v>
      </c>
      <c r="D19" s="1">
        <v>305.28855396571299</v>
      </c>
      <c r="E19" s="1">
        <v>65.988065530512301</v>
      </c>
      <c r="F19" s="1">
        <f>in_parking_demand_data_ver1!D136</f>
        <v>320.64943339479203</v>
      </c>
      <c r="G19" s="1">
        <f>in_parking_demand_data_ver1!D880</f>
        <v>305.28855396571299</v>
      </c>
      <c r="H19" s="1">
        <f>in_parking_demand_data_ver1!D1888</f>
        <v>65.988065530512301</v>
      </c>
      <c r="L19" s="2">
        <f t="shared" si="3"/>
        <v>0.5829989698087128</v>
      </c>
      <c r="M19" s="2">
        <f t="shared" si="4"/>
        <v>0.35131018868321401</v>
      </c>
      <c r="N19" s="2">
        <f t="shared" si="5"/>
        <v>0.71726158185339461</v>
      </c>
      <c r="O19" s="1">
        <f t="shared" si="6"/>
        <v>272.55201838557321</v>
      </c>
      <c r="P19" s="1">
        <f t="shared" si="7"/>
        <v>259.49527087085602</v>
      </c>
      <c r="Q19" s="1">
        <f t="shared" si="8"/>
        <v>56.089855700935452</v>
      </c>
      <c r="R19" s="2">
        <f t="shared" si="9"/>
        <v>0.49554912433740583</v>
      </c>
      <c r="S19" s="2">
        <f t="shared" si="10"/>
        <v>0.29861366038073189</v>
      </c>
      <c r="T19" s="2">
        <f t="shared" si="11"/>
        <v>0.60967234457538533</v>
      </c>
    </row>
    <row r="20" spans="2:20" x14ac:dyDescent="0.25">
      <c r="B20">
        <v>15</v>
      </c>
      <c r="C20" s="1">
        <v>337.83540411635198</v>
      </c>
      <c r="D20" s="1">
        <v>341.95614006955702</v>
      </c>
      <c r="E20" s="1">
        <v>73.213036209035593</v>
      </c>
      <c r="F20" s="1">
        <f>in_parking_demand_data_ver1!D137</f>
        <v>337.83540411635198</v>
      </c>
      <c r="G20" s="1">
        <f>in_parking_demand_data_ver1!D881</f>
        <v>341.95614006955702</v>
      </c>
      <c r="H20" s="1">
        <f>in_parking_demand_data_ver1!D1889</f>
        <v>73.213036209035593</v>
      </c>
      <c r="L20" s="2">
        <f t="shared" si="3"/>
        <v>0.61424618930245811</v>
      </c>
      <c r="M20" s="2">
        <f t="shared" si="4"/>
        <v>0.39350533955069855</v>
      </c>
      <c r="N20" s="2">
        <f t="shared" si="5"/>
        <v>0.7957938718373434</v>
      </c>
      <c r="O20" s="1">
        <f t="shared" si="6"/>
        <v>287.16009349889919</v>
      </c>
      <c r="P20" s="1">
        <f t="shared" si="7"/>
        <v>290.66271905912345</v>
      </c>
      <c r="Q20" s="1">
        <f t="shared" si="8"/>
        <v>62.231080777680255</v>
      </c>
      <c r="R20" s="2">
        <f t="shared" si="9"/>
        <v>0.52210926090708942</v>
      </c>
      <c r="S20" s="2">
        <f t="shared" si="10"/>
        <v>0.33447953861809371</v>
      </c>
      <c r="T20" s="2">
        <f t="shared" si="11"/>
        <v>0.67642479106174191</v>
      </c>
    </row>
    <row r="21" spans="2:20" x14ac:dyDescent="0.25">
      <c r="B21">
        <v>16</v>
      </c>
      <c r="C21" s="1">
        <v>370.69264983485903</v>
      </c>
      <c r="D21" s="1">
        <v>397.421013993489</v>
      </c>
      <c r="E21" s="1">
        <v>82.786122358078899</v>
      </c>
      <c r="F21" s="1">
        <f>in_parking_demand_data_ver1!D138</f>
        <v>370.69264983485903</v>
      </c>
      <c r="G21" s="1">
        <f>in_parking_demand_data_ver1!D882</f>
        <v>397.421013993489</v>
      </c>
      <c r="H21" s="1">
        <f>in_parking_demand_data_ver1!D1890</f>
        <v>82.786122358078899</v>
      </c>
      <c r="L21" s="2">
        <f t="shared" si="3"/>
        <v>0.67398663606338005</v>
      </c>
      <c r="M21" s="2">
        <f t="shared" si="4"/>
        <v>0.45733143152300232</v>
      </c>
      <c r="N21" s="2">
        <f t="shared" si="5"/>
        <v>0.89984915606607496</v>
      </c>
      <c r="O21" s="1">
        <f t="shared" si="6"/>
        <v>315.08875235963018</v>
      </c>
      <c r="P21" s="1">
        <f t="shared" si="7"/>
        <v>337.80786189446565</v>
      </c>
      <c r="Q21" s="1">
        <f t="shared" si="8"/>
        <v>70.368204004367058</v>
      </c>
      <c r="R21" s="2">
        <f t="shared" si="9"/>
        <v>0.57288864065387302</v>
      </c>
      <c r="S21" s="2">
        <f t="shared" si="10"/>
        <v>0.38873171679455193</v>
      </c>
      <c r="T21" s="2">
        <f t="shared" si="11"/>
        <v>0.76487178265616362</v>
      </c>
    </row>
    <row r="22" spans="2:20" x14ac:dyDescent="0.25">
      <c r="B22">
        <v>17</v>
      </c>
      <c r="C22" s="1">
        <v>416.01700651748001</v>
      </c>
      <c r="D22" s="1">
        <v>449.538425702886</v>
      </c>
      <c r="E22" s="1">
        <v>91.155046727368301</v>
      </c>
      <c r="F22" s="1">
        <f>in_parking_demand_data_ver1!D139</f>
        <v>416.01700651748001</v>
      </c>
      <c r="G22" s="1">
        <f>in_parking_demand_data_ver1!D883</f>
        <v>449.538425702886</v>
      </c>
      <c r="H22" s="1">
        <f>in_parking_demand_data_ver1!D1891</f>
        <v>91.155046727368301</v>
      </c>
      <c r="L22" s="2">
        <f t="shared" si="3"/>
        <v>0.75639455730450911</v>
      </c>
      <c r="M22" s="2">
        <f t="shared" si="4"/>
        <v>0.51730543809307938</v>
      </c>
      <c r="N22" s="2">
        <f t="shared" si="5"/>
        <v>0.99081572529748152</v>
      </c>
      <c r="O22" s="1">
        <f t="shared" si="6"/>
        <v>353.614455539858</v>
      </c>
      <c r="P22" s="1">
        <f t="shared" si="7"/>
        <v>382.10766184745307</v>
      </c>
      <c r="Q22" s="1">
        <f t="shared" si="8"/>
        <v>77.481789718263059</v>
      </c>
      <c r="R22" s="2">
        <f t="shared" si="9"/>
        <v>0.64293537370883269</v>
      </c>
      <c r="S22" s="2">
        <f t="shared" si="10"/>
        <v>0.43970962237911748</v>
      </c>
      <c r="T22" s="2">
        <f t="shared" si="11"/>
        <v>0.84219336650285936</v>
      </c>
    </row>
    <row r="23" spans="2:20" x14ac:dyDescent="0.25">
      <c r="B23">
        <v>18</v>
      </c>
      <c r="C23" s="1">
        <v>462.79780139684402</v>
      </c>
      <c r="D23" s="1">
        <v>504.848801370763</v>
      </c>
      <c r="E23" s="1">
        <v>99.403554918682403</v>
      </c>
      <c r="F23" s="1">
        <f>in_parking_demand_data_ver1!D140</f>
        <v>462.79780139684402</v>
      </c>
      <c r="G23" s="1">
        <f>in_parking_demand_data_ver1!D884</f>
        <v>504.848801370763</v>
      </c>
      <c r="H23" s="1">
        <f>in_parking_demand_data_ver1!D1892</f>
        <v>99.403554918682403</v>
      </c>
      <c r="L23" s="2">
        <f t="shared" si="3"/>
        <v>0.84145054799426189</v>
      </c>
      <c r="M23" s="2">
        <f t="shared" si="4"/>
        <v>0.58095374150835788</v>
      </c>
      <c r="N23" s="2">
        <f t="shared" si="5"/>
        <v>1.0804734230291566</v>
      </c>
      <c r="O23" s="1">
        <f t="shared" si="6"/>
        <v>393.37813118731742</v>
      </c>
      <c r="P23" s="1">
        <f t="shared" si="7"/>
        <v>429.12148116514857</v>
      </c>
      <c r="Q23" s="1">
        <f t="shared" si="8"/>
        <v>84.493021680880034</v>
      </c>
      <c r="R23" s="2">
        <f t="shared" si="9"/>
        <v>0.71523296579512263</v>
      </c>
      <c r="S23" s="2">
        <f t="shared" si="10"/>
        <v>0.49381068028210423</v>
      </c>
      <c r="T23" s="2">
        <f t="shared" si="11"/>
        <v>0.91840240957478303</v>
      </c>
    </row>
    <row r="24" spans="2:20" x14ac:dyDescent="0.25">
      <c r="B24">
        <v>19</v>
      </c>
      <c r="C24" s="1">
        <v>508.18041560733502</v>
      </c>
      <c r="D24" s="1">
        <v>558.09920029123305</v>
      </c>
      <c r="E24" s="1">
        <v>104.46103439364801</v>
      </c>
      <c r="F24" s="1">
        <f>in_parking_demand_data_ver1!D141</f>
        <v>508.18041560733502</v>
      </c>
      <c r="G24" s="1">
        <f>in_parking_demand_data_ver1!D885</f>
        <v>558.09920029123305</v>
      </c>
      <c r="H24" s="1">
        <f>in_parking_demand_data_ver1!D1893</f>
        <v>104.46103439364801</v>
      </c>
      <c r="L24" s="2">
        <f t="shared" si="3"/>
        <v>0.92396439201333636</v>
      </c>
      <c r="M24" s="2">
        <f t="shared" si="4"/>
        <v>0.64223153082995743</v>
      </c>
      <c r="N24" s="2">
        <f t="shared" si="5"/>
        <v>1.1354460260179131</v>
      </c>
      <c r="O24" s="1">
        <f t="shared" si="6"/>
        <v>431.95335326623479</v>
      </c>
      <c r="P24" s="1">
        <f t="shared" si="7"/>
        <v>474.38432024754809</v>
      </c>
      <c r="Q24" s="1">
        <f t="shared" si="8"/>
        <v>88.791879234600799</v>
      </c>
      <c r="R24" s="2">
        <f t="shared" si="9"/>
        <v>0.78536973321133596</v>
      </c>
      <c r="S24" s="2">
        <f t="shared" si="10"/>
        <v>0.5458968012054638</v>
      </c>
      <c r="T24" s="2">
        <f t="shared" si="11"/>
        <v>0.96512912211522606</v>
      </c>
    </row>
    <row r="25" spans="2:20" x14ac:dyDescent="0.25">
      <c r="B25">
        <v>20</v>
      </c>
      <c r="C25" s="1">
        <v>547.44598939150796</v>
      </c>
      <c r="D25" s="1">
        <v>595.95127302483604</v>
      </c>
      <c r="E25" s="1">
        <v>111.384964627233</v>
      </c>
      <c r="F25" s="1">
        <f>in_parking_demand_data_ver1!D142</f>
        <v>547.44598939150796</v>
      </c>
      <c r="G25" s="1">
        <f>in_parking_demand_data_ver1!D886</f>
        <v>595.95127302483604</v>
      </c>
      <c r="H25" s="1">
        <f>in_parking_demand_data_ver1!D1894</f>
        <v>111.384964627233</v>
      </c>
      <c r="I25">
        <v>1</v>
      </c>
      <c r="L25" s="2">
        <f t="shared" si="3"/>
        <v>0.99535634434819631</v>
      </c>
      <c r="M25" s="2">
        <f t="shared" si="4"/>
        <v>0.68578972730130727</v>
      </c>
      <c r="N25" s="2">
        <f t="shared" si="5"/>
        <v>1.2107061372525327</v>
      </c>
      <c r="O25" s="1">
        <f t="shared" si="6"/>
        <v>465.32909098278174</v>
      </c>
      <c r="P25" s="1">
        <f t="shared" si="7"/>
        <v>506.55858207111061</v>
      </c>
      <c r="Q25" s="1">
        <f t="shared" si="8"/>
        <v>94.677219933148052</v>
      </c>
      <c r="R25" s="2">
        <f t="shared" si="9"/>
        <v>0.84605289269596684</v>
      </c>
      <c r="S25" s="2">
        <f t="shared" si="10"/>
        <v>0.58292126820611112</v>
      </c>
      <c r="T25" s="2">
        <f t="shared" si="11"/>
        <v>1.0291002166646528</v>
      </c>
    </row>
    <row r="26" spans="2:20" x14ac:dyDescent="0.25">
      <c r="B26">
        <v>21</v>
      </c>
      <c r="C26" s="1">
        <v>582.16747600184601</v>
      </c>
      <c r="D26" s="1">
        <v>628.03541086569999</v>
      </c>
      <c r="E26" s="1">
        <v>114.45557716560501</v>
      </c>
      <c r="F26" s="1">
        <f>in_parking_demand_data_ver1!D143</f>
        <v>582.16747600184601</v>
      </c>
      <c r="G26" s="1">
        <f>in_parking_demand_data_ver1!D887</f>
        <v>628.03541086569999</v>
      </c>
      <c r="H26" s="1">
        <f>in_parking_demand_data_ver1!D1895</f>
        <v>114.45557716560501</v>
      </c>
      <c r="I26">
        <v>1</v>
      </c>
      <c r="J26">
        <v>0.7</v>
      </c>
      <c r="K26">
        <v>1</v>
      </c>
      <c r="L26" s="2">
        <f t="shared" si="3"/>
        <v>1.0584863200033563</v>
      </c>
      <c r="M26" s="2">
        <f t="shared" si="4"/>
        <v>0.72271048431035667</v>
      </c>
      <c r="N26" s="2">
        <f t="shared" si="5"/>
        <v>1.2440823604957065</v>
      </c>
      <c r="O26" s="1">
        <f t="shared" si="6"/>
        <v>494.84235460156907</v>
      </c>
      <c r="P26" s="1">
        <f t="shared" si="7"/>
        <v>533.83009923584495</v>
      </c>
      <c r="Q26" s="1">
        <f t="shared" si="8"/>
        <v>97.287240590764256</v>
      </c>
      <c r="R26" s="2">
        <f t="shared" si="9"/>
        <v>0.89971337200285284</v>
      </c>
      <c r="S26" s="2">
        <f t="shared" si="10"/>
        <v>0.61430391166380316</v>
      </c>
      <c r="T26" s="2">
        <f t="shared" si="11"/>
        <v>1.0574700064213507</v>
      </c>
    </row>
    <row r="27" spans="2:20" x14ac:dyDescent="0.25">
      <c r="B27">
        <v>22</v>
      </c>
      <c r="C27" s="1">
        <v>599.353446723405</v>
      </c>
      <c r="D27" s="1">
        <v>645.28771612523303</v>
      </c>
      <c r="E27" s="1">
        <v>118.73035148373199</v>
      </c>
      <c r="F27" s="1">
        <f>in_parking_demand_data_ver1!D144</f>
        <v>599.353446723405</v>
      </c>
      <c r="G27" s="1">
        <f>in_parking_demand_data_ver1!D888</f>
        <v>645.28771612523303</v>
      </c>
      <c r="H27" s="1">
        <f>in_parking_demand_data_ver1!D1896</f>
        <v>118.73035148373199</v>
      </c>
      <c r="I27">
        <v>1</v>
      </c>
      <c r="J27">
        <v>0.7</v>
      </c>
      <c r="K27">
        <v>1</v>
      </c>
      <c r="L27" s="2">
        <f t="shared" si="3"/>
        <v>1.0897335394970999</v>
      </c>
      <c r="M27" s="2">
        <f t="shared" si="4"/>
        <v>0.74256353984491719</v>
      </c>
      <c r="N27" s="2">
        <f t="shared" si="5"/>
        <v>1.2905472987362174</v>
      </c>
      <c r="O27" s="1">
        <f t="shared" si="6"/>
        <v>509.45042971489426</v>
      </c>
      <c r="P27" s="1">
        <f t="shared" si="7"/>
        <v>548.49455870644806</v>
      </c>
      <c r="Q27" s="1">
        <f t="shared" si="8"/>
        <v>100.92079876117219</v>
      </c>
      <c r="R27" s="2">
        <f t="shared" si="9"/>
        <v>0.92627350857253499</v>
      </c>
      <c r="S27" s="2">
        <f t="shared" si="10"/>
        <v>0.63117900886817957</v>
      </c>
      <c r="T27" s="2">
        <f t="shared" si="11"/>
        <v>1.0969652039257847</v>
      </c>
    </row>
    <row r="28" spans="2:20" x14ac:dyDescent="0.25">
      <c r="B28">
        <v>23</v>
      </c>
      <c r="C28" s="1">
        <v>611.99533027112898</v>
      </c>
      <c r="D28" s="1">
        <v>659.03806091417505</v>
      </c>
      <c r="E28" s="1">
        <v>120.47638606437501</v>
      </c>
      <c r="F28" s="1">
        <f>in_parking_demand_data_ver1!D145</f>
        <v>611.99533027112898</v>
      </c>
      <c r="G28" s="1">
        <f>in_parking_demand_data_ver1!D889</f>
        <v>659.03806091417505</v>
      </c>
      <c r="H28" s="1">
        <f>in_parking_demand_data_ver1!D1897</f>
        <v>120.47638606437501</v>
      </c>
      <c r="I28">
        <v>1</v>
      </c>
      <c r="J28">
        <v>0.7</v>
      </c>
      <c r="K28">
        <v>1</v>
      </c>
      <c r="L28" s="2">
        <f t="shared" si="3"/>
        <v>1.1127187823111435</v>
      </c>
      <c r="M28" s="2">
        <f t="shared" si="4"/>
        <v>0.75838672142022445</v>
      </c>
      <c r="N28" s="2">
        <f t="shared" si="5"/>
        <v>1.309525935482337</v>
      </c>
      <c r="O28" s="1">
        <f t="shared" si="6"/>
        <v>520.1960307304596</v>
      </c>
      <c r="P28" s="1">
        <f t="shared" si="7"/>
        <v>560.18235177704878</v>
      </c>
      <c r="Q28" s="1">
        <f t="shared" si="8"/>
        <v>102.40492815471875</v>
      </c>
      <c r="R28" s="2">
        <f t="shared" si="9"/>
        <v>0.94581096496447203</v>
      </c>
      <c r="S28" s="2">
        <f t="shared" si="10"/>
        <v>0.64462871320719073</v>
      </c>
      <c r="T28" s="2">
        <f t="shared" si="11"/>
        <v>1.1130970451599864</v>
      </c>
    </row>
    <row r="30" spans="2:20" x14ac:dyDescent="0.25">
      <c r="I30" s="4" t="s">
        <v>110</v>
      </c>
      <c r="J30" s="4"/>
    </row>
    <row r="31" spans="2:20" x14ac:dyDescent="0.25">
      <c r="I31" s="4">
        <v>0.85</v>
      </c>
      <c r="J31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959EC-1DE5-4E9A-A2E2-E94F135C9616}">
  <dimension ref="A1:G2209"/>
  <sheetViews>
    <sheetView topLeftCell="A2179" workbookViewId="0">
      <selection activeCell="E2204" sqref="E2204:E220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116</v>
      </c>
      <c r="G1" t="s">
        <v>5</v>
      </c>
    </row>
    <row r="2" spans="1:7" x14ac:dyDescent="0.25">
      <c r="A2">
        <v>18001</v>
      </c>
      <c r="B2" t="s">
        <v>6</v>
      </c>
      <c r="C2">
        <v>0</v>
      </c>
      <c r="D2" s="3">
        <f>in_parking_demand_data_ver1!D2*calibration!$I$31</f>
        <v>16.295805130667059</v>
      </c>
      <c r="E2" s="3">
        <f>in_parking_demand_data_ver1!E2*calibration!$I$31</f>
        <v>0</v>
      </c>
      <c r="F2" s="3">
        <f>SUM(D2:E2)</f>
        <v>16.295805130667059</v>
      </c>
      <c r="G2">
        <v>30</v>
      </c>
    </row>
    <row r="3" spans="1:7" x14ac:dyDescent="0.25">
      <c r="A3">
        <v>18001</v>
      </c>
      <c r="B3" t="s">
        <v>6</v>
      </c>
      <c r="C3">
        <v>1</v>
      </c>
      <c r="D3" s="3">
        <f>in_parking_demand_data_ver1!D3*calibration!$I$31</f>
        <v>16.931738989424748</v>
      </c>
      <c r="E3" s="3">
        <f>in_parking_demand_data_ver1!E3*calibration!$I$31</f>
        <v>0</v>
      </c>
      <c r="F3" s="3">
        <f t="shared" ref="F3:F66" si="0">SUM(D3:E3)</f>
        <v>16.931738989424748</v>
      </c>
      <c r="G3">
        <v>30</v>
      </c>
    </row>
    <row r="4" spans="1:7" x14ac:dyDescent="0.25">
      <c r="A4">
        <v>18001</v>
      </c>
      <c r="B4" t="s">
        <v>6</v>
      </c>
      <c r="C4">
        <v>2</v>
      </c>
      <c r="D4" s="3">
        <f>in_parking_demand_data_ver1!D4*calibration!$I$31</f>
        <v>16.852247257080059</v>
      </c>
      <c r="E4" s="3">
        <f>in_parking_demand_data_ver1!E4*calibration!$I$31</f>
        <v>0</v>
      </c>
      <c r="F4" s="3">
        <f t="shared" si="0"/>
        <v>16.852247257080059</v>
      </c>
      <c r="G4">
        <v>30</v>
      </c>
    </row>
    <row r="5" spans="1:7" x14ac:dyDescent="0.25">
      <c r="A5">
        <v>18001</v>
      </c>
      <c r="B5" t="s">
        <v>6</v>
      </c>
      <c r="C5">
        <v>3</v>
      </c>
      <c r="D5" s="3">
        <f>in_parking_demand_data_ver1!D5*calibration!$I$31</f>
        <v>17.249705918803595</v>
      </c>
      <c r="E5" s="3">
        <f>in_parking_demand_data_ver1!E5*calibration!$I$31</f>
        <v>0</v>
      </c>
      <c r="F5" s="3">
        <f t="shared" si="0"/>
        <v>17.249705918803595</v>
      </c>
      <c r="G5">
        <v>30</v>
      </c>
    </row>
    <row r="6" spans="1:7" x14ac:dyDescent="0.25">
      <c r="A6">
        <v>18001</v>
      </c>
      <c r="B6" t="s">
        <v>6</v>
      </c>
      <c r="C6">
        <v>4</v>
      </c>
      <c r="D6" s="3">
        <f>in_parking_demand_data_ver1!D6*calibration!$I$31</f>
        <v>16.931738989424748</v>
      </c>
      <c r="E6" s="3">
        <f>in_parking_demand_data_ver1!E6*calibration!$I$31</f>
        <v>0</v>
      </c>
      <c r="F6" s="3">
        <f t="shared" si="0"/>
        <v>16.931738989424748</v>
      </c>
      <c r="G6">
        <v>30</v>
      </c>
    </row>
    <row r="7" spans="1:7" x14ac:dyDescent="0.25">
      <c r="A7">
        <v>18001</v>
      </c>
      <c r="B7" t="s">
        <v>6</v>
      </c>
      <c r="C7">
        <v>5</v>
      </c>
      <c r="D7" s="3">
        <f>in_parking_demand_data_ver1!D7*calibration!$I$31</f>
        <v>16.45478859535644</v>
      </c>
      <c r="E7" s="3">
        <f>in_parking_demand_data_ver1!E7*calibration!$I$31</f>
        <v>0</v>
      </c>
      <c r="F7" s="3">
        <f t="shared" si="0"/>
        <v>16.45478859535644</v>
      </c>
      <c r="G7">
        <v>30</v>
      </c>
    </row>
    <row r="8" spans="1:7" x14ac:dyDescent="0.25">
      <c r="A8">
        <v>18001</v>
      </c>
      <c r="B8" t="s">
        <v>6</v>
      </c>
      <c r="C8">
        <v>6</v>
      </c>
      <c r="D8" s="3">
        <f>in_parking_demand_data_ver1!D8*calibration!$I$31</f>
        <v>18.283098439284988</v>
      </c>
      <c r="E8" s="3">
        <f>in_parking_demand_data_ver1!E8*calibration!$I$31</f>
        <v>1.4308511822049044</v>
      </c>
      <c r="F8" s="3">
        <f t="shared" si="0"/>
        <v>19.713949621489892</v>
      </c>
      <c r="G8">
        <v>30</v>
      </c>
    </row>
    <row r="9" spans="1:7" x14ac:dyDescent="0.25">
      <c r="A9">
        <v>18001</v>
      </c>
      <c r="B9" t="s">
        <v>6</v>
      </c>
      <c r="C9">
        <v>7</v>
      </c>
      <c r="D9" s="3">
        <f>in_parking_demand_data_ver1!D9*calibration!$I$31</f>
        <v>15.50088780721982</v>
      </c>
      <c r="E9" s="3">
        <f>in_parking_demand_data_ver1!E9*calibration!$I$31</f>
        <v>2.7027188997203861</v>
      </c>
      <c r="F9" s="3">
        <f t="shared" si="0"/>
        <v>18.203606706940207</v>
      </c>
      <c r="G9">
        <v>30</v>
      </c>
    </row>
    <row r="10" spans="1:7" x14ac:dyDescent="0.25">
      <c r="A10">
        <v>18001</v>
      </c>
      <c r="B10" t="s">
        <v>6</v>
      </c>
      <c r="C10">
        <v>8</v>
      </c>
      <c r="D10" s="3">
        <f>in_parking_demand_data_ver1!D10*calibration!$I$31</f>
        <v>10.651892134192115</v>
      </c>
      <c r="E10" s="3">
        <f>in_parking_demand_data_ver1!E10*calibration!$I$31</f>
        <v>6.2798468552326687</v>
      </c>
      <c r="F10" s="3">
        <f t="shared" si="0"/>
        <v>16.931738989424783</v>
      </c>
      <c r="G10">
        <v>30</v>
      </c>
    </row>
    <row r="11" spans="1:7" x14ac:dyDescent="0.25">
      <c r="A11">
        <v>18001</v>
      </c>
      <c r="B11" t="s">
        <v>6</v>
      </c>
      <c r="C11">
        <v>9</v>
      </c>
      <c r="D11" s="3">
        <f>in_parking_demand_data_ver1!D11*calibration!$I$31</f>
        <v>7.3132393757139962</v>
      </c>
      <c r="E11" s="3">
        <f>in_parking_demand_data_ver1!E11*calibration!$I$31</f>
        <v>7.7106980374375818</v>
      </c>
      <c r="F11" s="3">
        <f t="shared" si="0"/>
        <v>15.023937413151579</v>
      </c>
      <c r="G11">
        <v>30</v>
      </c>
    </row>
    <row r="12" spans="1:7" x14ac:dyDescent="0.25">
      <c r="A12">
        <v>18001</v>
      </c>
      <c r="B12" t="s">
        <v>6</v>
      </c>
      <c r="C12">
        <v>10</v>
      </c>
      <c r="D12" s="3">
        <f>in_parking_demand_data_ver1!D12*calibration!$I$31</f>
        <v>7.5517145727481507</v>
      </c>
      <c r="E12" s="3">
        <f>in_parking_demand_data_ver1!E12*calibration!$I$31</f>
        <v>12.162235048741735</v>
      </c>
      <c r="F12" s="3">
        <f t="shared" si="0"/>
        <v>19.713949621489885</v>
      </c>
      <c r="G12">
        <v>30</v>
      </c>
    </row>
    <row r="13" spans="1:7" x14ac:dyDescent="0.25">
      <c r="A13">
        <v>18001</v>
      </c>
      <c r="B13" t="s">
        <v>6</v>
      </c>
      <c r="C13">
        <v>11</v>
      </c>
      <c r="D13" s="3">
        <f>in_parking_demand_data_ver1!D13*calibration!$I$31</f>
        <v>8.0286649668164536</v>
      </c>
      <c r="E13" s="3">
        <f>in_parking_demand_data_ver1!E13*calibration!$I$31</f>
        <v>11.605792922328735</v>
      </c>
      <c r="F13" s="3">
        <f t="shared" si="0"/>
        <v>19.634457889145189</v>
      </c>
      <c r="G13">
        <v>30</v>
      </c>
    </row>
    <row r="14" spans="1:7" x14ac:dyDescent="0.25">
      <c r="A14">
        <v>18001</v>
      </c>
      <c r="B14" t="s">
        <v>6</v>
      </c>
      <c r="C14">
        <v>12</v>
      </c>
      <c r="D14" s="3">
        <f>in_parking_demand_data_ver1!D14*calibration!$I$31</f>
        <v>7.8696815021270119</v>
      </c>
      <c r="E14" s="3">
        <f>in_parking_demand_data_ver1!E14*calibration!$I$31</f>
        <v>10.09545000777903</v>
      </c>
      <c r="F14" s="3">
        <f t="shared" si="0"/>
        <v>17.965131509906044</v>
      </c>
      <c r="G14">
        <v>30</v>
      </c>
    </row>
    <row r="15" spans="1:7" x14ac:dyDescent="0.25">
      <c r="A15">
        <v>18001</v>
      </c>
      <c r="B15" t="s">
        <v>6</v>
      </c>
      <c r="C15">
        <v>13</v>
      </c>
      <c r="D15" s="3">
        <f>in_parking_demand_data_ver1!D15*calibration!$I$31</f>
        <v>7.8696815021270119</v>
      </c>
      <c r="E15" s="3">
        <f>in_parking_demand_data_ver1!E15*calibration!$I$31</f>
        <v>7.7901897697822973</v>
      </c>
      <c r="F15" s="3">
        <f t="shared" si="0"/>
        <v>15.65987127190931</v>
      </c>
      <c r="G15">
        <v>30</v>
      </c>
    </row>
    <row r="16" spans="1:7" x14ac:dyDescent="0.25">
      <c r="A16">
        <v>18001</v>
      </c>
      <c r="B16" t="s">
        <v>6</v>
      </c>
      <c r="C16">
        <v>14</v>
      </c>
      <c r="D16" s="3">
        <f>in_parking_demand_data_ver1!D16*calibration!$I$31</f>
        <v>5.8823881935090832</v>
      </c>
      <c r="E16" s="3">
        <f>in_parking_demand_data_ver1!E16*calibration!$I$31</f>
        <v>3.5771279555122741</v>
      </c>
      <c r="F16" s="3">
        <f t="shared" si="0"/>
        <v>9.4595161490213577</v>
      </c>
      <c r="G16">
        <v>30</v>
      </c>
    </row>
    <row r="17" spans="1:7" x14ac:dyDescent="0.25">
      <c r="A17">
        <v>18001</v>
      </c>
      <c r="B17" t="s">
        <v>6</v>
      </c>
      <c r="C17">
        <v>15</v>
      </c>
      <c r="D17" s="3">
        <f>in_parking_demand_data_ver1!D17*calibration!$I$31</f>
        <v>4.8489956730277557</v>
      </c>
      <c r="E17" s="3">
        <f>in_parking_demand_data_ver1!E17*calibration!$I$31</f>
        <v>2.7027188997203861</v>
      </c>
      <c r="F17" s="3">
        <f t="shared" si="0"/>
        <v>7.5517145727481418</v>
      </c>
      <c r="G17">
        <v>30</v>
      </c>
    </row>
    <row r="18" spans="1:7" x14ac:dyDescent="0.25">
      <c r="A18">
        <v>18001</v>
      </c>
      <c r="B18" t="s">
        <v>6</v>
      </c>
      <c r="C18">
        <v>16</v>
      </c>
      <c r="D18" s="3">
        <f>in_parking_demand_data_ver1!D18*calibration!$I$31</f>
        <v>5.5644212641302122</v>
      </c>
      <c r="E18" s="3">
        <f>in_parking_demand_data_ver1!E18*calibration!$I$31</f>
        <v>2.5437354350309556</v>
      </c>
      <c r="F18" s="3">
        <f t="shared" si="0"/>
        <v>8.1081566991611673</v>
      </c>
      <c r="G18">
        <v>30</v>
      </c>
    </row>
    <row r="19" spans="1:7" x14ac:dyDescent="0.25">
      <c r="A19">
        <v>18001</v>
      </c>
      <c r="B19" t="s">
        <v>6</v>
      </c>
      <c r="C19">
        <v>17</v>
      </c>
      <c r="D19" s="3">
        <f>in_parking_demand_data_ver1!D19*calibration!$I$31</f>
        <v>7.3132393757139962</v>
      </c>
      <c r="E19" s="3">
        <f>in_parking_demand_data_ver1!E19*calibration!$I$31</f>
        <v>0.71542559110245563</v>
      </c>
      <c r="F19" s="3">
        <f t="shared" si="0"/>
        <v>8.0286649668164518</v>
      </c>
      <c r="G19">
        <v>30</v>
      </c>
    </row>
    <row r="20" spans="1:7" x14ac:dyDescent="0.25">
      <c r="A20">
        <v>18001</v>
      </c>
      <c r="B20" t="s">
        <v>6</v>
      </c>
      <c r="C20">
        <v>18</v>
      </c>
      <c r="D20" s="3">
        <f>in_parking_demand_data_ver1!D20*calibration!$I$31</f>
        <v>9.3800244166766493</v>
      </c>
      <c r="E20" s="3">
        <f>in_parking_demand_data_ver1!E20*calibration!$I$31</f>
        <v>0.15898346468943439</v>
      </c>
      <c r="F20" s="3">
        <f t="shared" si="0"/>
        <v>9.5390078813660839</v>
      </c>
      <c r="G20">
        <v>30</v>
      </c>
    </row>
    <row r="21" spans="1:7" x14ac:dyDescent="0.25">
      <c r="A21">
        <v>18001</v>
      </c>
      <c r="B21" t="s">
        <v>6</v>
      </c>
      <c r="C21">
        <v>19</v>
      </c>
      <c r="D21" s="3">
        <f>in_parking_demand_data_ver1!D21*calibration!$I$31</f>
        <v>10.810875598881495</v>
      </c>
      <c r="E21" s="3">
        <f>in_parking_demand_data_ver1!E21*calibration!$I$31</f>
        <v>0.15898346468943439</v>
      </c>
      <c r="F21" s="3">
        <f t="shared" si="0"/>
        <v>10.969859063570929</v>
      </c>
      <c r="G21">
        <v>30</v>
      </c>
    </row>
    <row r="22" spans="1:7" x14ac:dyDescent="0.25">
      <c r="A22">
        <v>18001</v>
      </c>
      <c r="B22" t="s">
        <v>6</v>
      </c>
      <c r="C22">
        <v>20</v>
      </c>
      <c r="D22" s="3">
        <f>in_parking_demand_data_ver1!D22*calibration!$I$31</f>
        <v>12.639185442810044</v>
      </c>
      <c r="E22" s="3">
        <f>in_parking_demand_data_ver1!E22*calibration!$I$31</f>
        <v>0</v>
      </c>
      <c r="F22" s="3">
        <f t="shared" si="0"/>
        <v>12.639185442810044</v>
      </c>
      <c r="G22">
        <v>30</v>
      </c>
    </row>
    <row r="23" spans="1:7" x14ac:dyDescent="0.25">
      <c r="A23">
        <v>18001</v>
      </c>
      <c r="B23" t="s">
        <v>6</v>
      </c>
      <c r="C23">
        <v>21</v>
      </c>
      <c r="D23" s="3">
        <f>in_parking_demand_data_ver1!D23*calibration!$I$31</f>
        <v>14.229020089704354</v>
      </c>
      <c r="E23" s="3">
        <f>in_parking_demand_data_ver1!E23*calibration!$I$31</f>
        <v>0</v>
      </c>
      <c r="F23" s="3">
        <f t="shared" si="0"/>
        <v>14.229020089704354</v>
      </c>
      <c r="G23">
        <v>30</v>
      </c>
    </row>
    <row r="24" spans="1:7" x14ac:dyDescent="0.25">
      <c r="A24">
        <v>18001</v>
      </c>
      <c r="B24" t="s">
        <v>6</v>
      </c>
      <c r="C24">
        <v>22</v>
      </c>
      <c r="D24" s="3">
        <f>in_parking_demand_data_ver1!D24*calibration!$I$31</f>
        <v>14.5469870190832</v>
      </c>
      <c r="E24" s="3">
        <f>in_parking_demand_data_ver1!E24*calibration!$I$31</f>
        <v>0</v>
      </c>
      <c r="F24" s="3">
        <f t="shared" si="0"/>
        <v>14.5469870190832</v>
      </c>
      <c r="G24">
        <v>30</v>
      </c>
    </row>
    <row r="25" spans="1:7" x14ac:dyDescent="0.25">
      <c r="A25">
        <v>18001</v>
      </c>
      <c r="B25" t="s">
        <v>6</v>
      </c>
      <c r="C25">
        <v>23</v>
      </c>
      <c r="D25" s="3">
        <f>in_parking_demand_data_ver1!D25*calibration!$I$31</f>
        <v>15.341904342530439</v>
      </c>
      <c r="E25" s="3">
        <f>in_parking_demand_data_ver1!E25*calibration!$I$31</f>
        <v>0</v>
      </c>
      <c r="F25" s="3">
        <f t="shared" si="0"/>
        <v>15.341904342530439</v>
      </c>
      <c r="G25">
        <v>30</v>
      </c>
    </row>
    <row r="26" spans="1:7" x14ac:dyDescent="0.25">
      <c r="A26">
        <v>18003</v>
      </c>
      <c r="B26" t="s">
        <v>7</v>
      </c>
      <c r="C26">
        <v>0</v>
      </c>
      <c r="D26" s="3">
        <f>in_parking_demand_data_ver1!D26*calibration!$I$31</f>
        <v>322.98442802351099</v>
      </c>
      <c r="E26" s="3">
        <f>in_parking_demand_data_ver1!E26*calibration!$I$31</f>
        <v>23.896016710072828</v>
      </c>
      <c r="F26" s="3">
        <f t="shared" si="0"/>
        <v>346.88044473358383</v>
      </c>
      <c r="G26">
        <v>365</v>
      </c>
    </row>
    <row r="27" spans="1:7" x14ac:dyDescent="0.25">
      <c r="A27">
        <v>18003</v>
      </c>
      <c r="B27" t="s">
        <v>7</v>
      </c>
      <c r="C27">
        <v>1</v>
      </c>
      <c r="D27" s="3">
        <f>in_parking_demand_data_ver1!D27*calibration!$I$31</f>
        <v>318.97300283571946</v>
      </c>
      <c r="E27" s="3">
        <f>in_parking_demand_data_ver1!E27*calibration!$I$31</f>
        <v>26.225231335242405</v>
      </c>
      <c r="F27" s="3">
        <f t="shared" si="0"/>
        <v>345.19823417096188</v>
      </c>
      <c r="G27">
        <v>365</v>
      </c>
    </row>
    <row r="28" spans="1:7" x14ac:dyDescent="0.25">
      <c r="A28">
        <v>18003</v>
      </c>
      <c r="B28" t="s">
        <v>7</v>
      </c>
      <c r="C28">
        <v>2</v>
      </c>
      <c r="D28" s="3">
        <f>in_parking_demand_data_ver1!D28*calibration!$I$31</f>
        <v>318.45539958568202</v>
      </c>
      <c r="E28" s="3">
        <f>in_parking_demand_data_ver1!E28*calibration!$I$31</f>
        <v>24.413619960110484</v>
      </c>
      <c r="F28" s="3">
        <f t="shared" si="0"/>
        <v>342.86901954579253</v>
      </c>
      <c r="G28">
        <v>365</v>
      </c>
    </row>
    <row r="29" spans="1:7" x14ac:dyDescent="0.25">
      <c r="A29">
        <v>18003</v>
      </c>
      <c r="B29" t="s">
        <v>7</v>
      </c>
      <c r="C29">
        <v>3</v>
      </c>
      <c r="D29" s="3">
        <f>in_parking_demand_data_ver1!D29*calibration!$I$31</f>
        <v>317.89466273147434</v>
      </c>
      <c r="E29" s="3">
        <f>in_parking_demand_data_ver1!E29*calibration!$I$31</f>
        <v>20.574729188997701</v>
      </c>
      <c r="F29" s="3">
        <f t="shared" si="0"/>
        <v>338.46939192047205</v>
      </c>
      <c r="G29">
        <v>365</v>
      </c>
    </row>
    <row r="30" spans="1:7" x14ac:dyDescent="0.25">
      <c r="A30">
        <v>18003</v>
      </c>
      <c r="B30" t="s">
        <v>7</v>
      </c>
      <c r="C30">
        <v>4</v>
      </c>
      <c r="D30" s="3">
        <f>in_parking_demand_data_ver1!D30*calibration!$I$31</f>
        <v>308.10333458492812</v>
      </c>
      <c r="E30" s="3">
        <f>in_parking_demand_data_ver1!E30*calibration!$I$31</f>
        <v>22.12753893911075</v>
      </c>
      <c r="F30" s="3">
        <f t="shared" si="0"/>
        <v>330.23087352403888</v>
      </c>
      <c r="G30">
        <v>365</v>
      </c>
    </row>
    <row r="31" spans="1:7" x14ac:dyDescent="0.25">
      <c r="A31">
        <v>18003</v>
      </c>
      <c r="B31" t="s">
        <v>7</v>
      </c>
      <c r="C31">
        <v>5</v>
      </c>
      <c r="D31" s="3">
        <f>in_parking_demand_data_ver1!D31*calibration!$I$31</f>
        <v>296.28472704240096</v>
      </c>
      <c r="E31" s="3">
        <f>in_parking_demand_data_ver1!E31*calibration!$I$31</f>
        <v>30.193522918864542</v>
      </c>
      <c r="F31" s="3">
        <f t="shared" si="0"/>
        <v>326.47824996126548</v>
      </c>
      <c r="G31">
        <v>365</v>
      </c>
    </row>
    <row r="32" spans="1:7" x14ac:dyDescent="0.25">
      <c r="A32">
        <v>18003</v>
      </c>
      <c r="B32" t="s">
        <v>7</v>
      </c>
      <c r="C32">
        <v>6</v>
      </c>
      <c r="D32" s="3">
        <f>in_parking_demand_data_ver1!D32*calibration!$I$31</f>
        <v>276.83147156181786</v>
      </c>
      <c r="E32" s="3">
        <f>in_parking_demand_data_ver1!E32*calibration!$I$31</f>
        <v>40.200519086259689</v>
      </c>
      <c r="F32" s="3">
        <f t="shared" si="0"/>
        <v>317.03199064807757</v>
      </c>
      <c r="G32">
        <v>365</v>
      </c>
    </row>
    <row r="33" spans="1:7" x14ac:dyDescent="0.25">
      <c r="A33">
        <v>18003</v>
      </c>
      <c r="B33" t="s">
        <v>7</v>
      </c>
      <c r="C33">
        <v>7</v>
      </c>
      <c r="D33" s="3">
        <f>in_parking_demand_data_ver1!D33*calibration!$I$31</f>
        <v>241.1599809133881</v>
      </c>
      <c r="E33" s="3">
        <f>in_parking_demand_data_ver1!E33*calibration!$I$31</f>
        <v>43.219871378146188</v>
      </c>
      <c r="F33" s="3">
        <f t="shared" si="0"/>
        <v>284.37985229153429</v>
      </c>
      <c r="G33">
        <v>365</v>
      </c>
    </row>
    <row r="34" spans="1:7" x14ac:dyDescent="0.25">
      <c r="A34">
        <v>18003</v>
      </c>
      <c r="B34" t="s">
        <v>7</v>
      </c>
      <c r="C34">
        <v>8</v>
      </c>
      <c r="D34" s="3">
        <f>in_parking_demand_data_ver1!D34*calibration!$I$31</f>
        <v>210.92332439035354</v>
      </c>
      <c r="E34" s="3">
        <f>in_parking_demand_data_ver1!E34*calibration!$I$31</f>
        <v>44.686413919919559</v>
      </c>
      <c r="F34" s="3">
        <f t="shared" si="0"/>
        <v>255.60973831027309</v>
      </c>
      <c r="G34">
        <v>365</v>
      </c>
    </row>
    <row r="35" spans="1:7" x14ac:dyDescent="0.25">
      <c r="A35">
        <v>18003</v>
      </c>
      <c r="B35" t="s">
        <v>7</v>
      </c>
      <c r="C35">
        <v>9</v>
      </c>
      <c r="D35" s="3">
        <f>in_parking_demand_data_ver1!D35*calibration!$I$31</f>
        <v>186.98417407611103</v>
      </c>
      <c r="E35" s="3">
        <f>in_parking_demand_data_ver1!E35*calibration!$I$31</f>
        <v>43.392405794825379</v>
      </c>
      <c r="F35" s="3">
        <f t="shared" si="0"/>
        <v>230.37657987093641</v>
      </c>
      <c r="G35">
        <v>365</v>
      </c>
    </row>
    <row r="36" spans="1:7" x14ac:dyDescent="0.25">
      <c r="A36">
        <v>18003</v>
      </c>
      <c r="B36" t="s">
        <v>7</v>
      </c>
      <c r="C36">
        <v>10</v>
      </c>
      <c r="D36" s="3">
        <f>in_parking_demand_data_ver1!D36*calibration!$I$31</f>
        <v>184.00795538839429</v>
      </c>
      <c r="E36" s="3">
        <f>in_parking_demand_data_ver1!E36*calibration!$I$31</f>
        <v>40.027984669580498</v>
      </c>
      <c r="F36" s="3">
        <f t="shared" si="0"/>
        <v>224.03594005797478</v>
      </c>
      <c r="G36">
        <v>365</v>
      </c>
    </row>
    <row r="37" spans="1:7" x14ac:dyDescent="0.25">
      <c r="A37">
        <v>18003</v>
      </c>
      <c r="B37" t="s">
        <v>7</v>
      </c>
      <c r="C37">
        <v>11</v>
      </c>
      <c r="D37" s="3">
        <f>in_parking_demand_data_ver1!D37*calibration!$I$31</f>
        <v>188.83891905541316</v>
      </c>
      <c r="E37" s="3">
        <f>in_parking_demand_data_ver1!E37*calibration!$I$31</f>
        <v>37.785037252750513</v>
      </c>
      <c r="F37" s="3">
        <f t="shared" si="0"/>
        <v>226.62395630816366</v>
      </c>
      <c r="G37">
        <v>365</v>
      </c>
    </row>
    <row r="38" spans="1:7" x14ac:dyDescent="0.25">
      <c r="A38">
        <v>18003</v>
      </c>
      <c r="B38" t="s">
        <v>7</v>
      </c>
      <c r="C38">
        <v>12</v>
      </c>
      <c r="D38" s="3">
        <f>in_parking_demand_data_ver1!D38*calibration!$I$31</f>
        <v>188.88205265958265</v>
      </c>
      <c r="E38" s="3">
        <f>in_parking_demand_data_ver1!E38*calibration!$I$31</f>
        <v>35.197021002562153</v>
      </c>
      <c r="F38" s="3">
        <f t="shared" si="0"/>
        <v>224.07907366214482</v>
      </c>
      <c r="G38">
        <v>365</v>
      </c>
    </row>
    <row r="39" spans="1:7" x14ac:dyDescent="0.25">
      <c r="A39">
        <v>18003</v>
      </c>
      <c r="B39" t="s">
        <v>7</v>
      </c>
      <c r="C39">
        <v>13</v>
      </c>
      <c r="D39" s="3">
        <f>in_parking_demand_data_ver1!D39*calibration!$I$31</f>
        <v>186.89790686777118</v>
      </c>
      <c r="E39" s="3">
        <f>in_parking_demand_data_ver1!E39*calibration!$I$31</f>
        <v>26.095830522732971</v>
      </c>
      <c r="F39" s="3">
        <f t="shared" si="0"/>
        <v>212.99373739050415</v>
      </c>
      <c r="G39">
        <v>365</v>
      </c>
    </row>
    <row r="40" spans="1:7" x14ac:dyDescent="0.25">
      <c r="A40">
        <v>18003</v>
      </c>
      <c r="B40" t="s">
        <v>7</v>
      </c>
      <c r="C40">
        <v>14</v>
      </c>
      <c r="D40" s="3">
        <f>in_parking_demand_data_ver1!D40*calibration!$I$31</f>
        <v>196.30103257678934</v>
      </c>
      <c r="E40" s="3">
        <f>in_parking_demand_data_ver1!E40*calibration!$I$31</f>
        <v>20.359061168148667</v>
      </c>
      <c r="F40" s="3">
        <f t="shared" si="0"/>
        <v>216.660093744938</v>
      </c>
      <c r="G40">
        <v>365</v>
      </c>
    </row>
    <row r="41" spans="1:7" x14ac:dyDescent="0.25">
      <c r="A41">
        <v>18003</v>
      </c>
      <c r="B41" t="s">
        <v>7</v>
      </c>
      <c r="C41">
        <v>15</v>
      </c>
      <c r="D41" s="3">
        <f>in_parking_demand_data_ver1!D41*calibration!$I$31</f>
        <v>206.73936478588229</v>
      </c>
      <c r="E41" s="3">
        <f>in_parking_demand_data_ver1!E41*calibration!$I$31</f>
        <v>17.598510501281034</v>
      </c>
      <c r="F41" s="3">
        <f t="shared" si="0"/>
        <v>224.33787528716331</v>
      </c>
      <c r="G41">
        <v>365</v>
      </c>
    </row>
    <row r="42" spans="1:7" x14ac:dyDescent="0.25">
      <c r="A42">
        <v>18003</v>
      </c>
      <c r="B42" t="s">
        <v>7</v>
      </c>
      <c r="C42">
        <v>16</v>
      </c>
      <c r="D42" s="3">
        <f>in_parking_demand_data_ver1!D42*calibration!$I$31</f>
        <v>224.98487934971087</v>
      </c>
      <c r="E42" s="3">
        <f>in_parking_demand_data_ver1!E42*calibration!$I$31</f>
        <v>14.061554959356874</v>
      </c>
      <c r="F42" s="3">
        <f t="shared" si="0"/>
        <v>239.04643430906773</v>
      </c>
      <c r="G42">
        <v>365</v>
      </c>
    </row>
    <row r="43" spans="1:7" x14ac:dyDescent="0.25">
      <c r="A43">
        <v>18003</v>
      </c>
      <c r="B43" t="s">
        <v>7</v>
      </c>
      <c r="C43">
        <v>17</v>
      </c>
      <c r="D43" s="3">
        <f>in_parking_demand_data_ver1!D43*calibration!$I$31</f>
        <v>248.92402966395332</v>
      </c>
      <c r="E43" s="3">
        <f>in_parking_demand_data_ver1!E43*calibration!$I$31</f>
        <v>11.085336271640211</v>
      </c>
      <c r="F43" s="3">
        <f t="shared" si="0"/>
        <v>260.00936593559351</v>
      </c>
      <c r="G43">
        <v>365</v>
      </c>
    </row>
    <row r="44" spans="1:7" x14ac:dyDescent="0.25">
      <c r="A44">
        <v>18003</v>
      </c>
      <c r="B44" t="s">
        <v>7</v>
      </c>
      <c r="C44">
        <v>18</v>
      </c>
      <c r="D44" s="3">
        <f>in_parking_demand_data_ver1!D44*calibration!$I$31</f>
        <v>268.50668595704576</v>
      </c>
      <c r="E44" s="3">
        <f>in_parking_demand_data_ver1!E44*calibration!$I$31</f>
        <v>10.438332209093119</v>
      </c>
      <c r="F44" s="3">
        <f t="shared" si="0"/>
        <v>278.94501816613888</v>
      </c>
      <c r="G44">
        <v>365</v>
      </c>
    </row>
    <row r="45" spans="1:7" x14ac:dyDescent="0.25">
      <c r="A45">
        <v>18003</v>
      </c>
      <c r="B45" t="s">
        <v>7</v>
      </c>
      <c r="C45">
        <v>19</v>
      </c>
      <c r="D45" s="3">
        <f>in_parking_demand_data_ver1!D45*calibration!$I$31</f>
        <v>289.6421520002512</v>
      </c>
      <c r="E45" s="3">
        <f>in_parking_demand_data_ver1!E45*calibration!$I$31</f>
        <v>10.265797792413931</v>
      </c>
      <c r="F45" s="3">
        <f t="shared" si="0"/>
        <v>299.90794979266514</v>
      </c>
      <c r="G45">
        <v>365</v>
      </c>
    </row>
    <row r="46" spans="1:7" x14ac:dyDescent="0.25">
      <c r="A46">
        <v>18003</v>
      </c>
      <c r="B46" t="s">
        <v>7</v>
      </c>
      <c r="C46">
        <v>20</v>
      </c>
      <c r="D46" s="3">
        <f>in_parking_demand_data_ver1!D46*calibration!$I$31</f>
        <v>306.63679204315491</v>
      </c>
      <c r="E46" s="3">
        <f>in_parking_demand_data_ver1!E46*calibration!$I$31</f>
        <v>9.7481945423762753</v>
      </c>
      <c r="F46" s="3">
        <f t="shared" si="0"/>
        <v>316.38498658553118</v>
      </c>
      <c r="G46">
        <v>365</v>
      </c>
    </row>
    <row r="47" spans="1:7" x14ac:dyDescent="0.25">
      <c r="A47">
        <v>18003</v>
      </c>
      <c r="B47" t="s">
        <v>7</v>
      </c>
      <c r="C47">
        <v>21</v>
      </c>
      <c r="D47" s="3">
        <f>in_parking_demand_data_ver1!D47*calibration!$I$31</f>
        <v>315.91051693966284</v>
      </c>
      <c r="E47" s="3">
        <f>in_parking_demand_data_ver1!E47*calibration!$I$31</f>
        <v>12.767546834262694</v>
      </c>
      <c r="F47" s="3">
        <f t="shared" si="0"/>
        <v>328.67806377392554</v>
      </c>
      <c r="G47">
        <v>365</v>
      </c>
    </row>
    <row r="48" spans="1:7" x14ac:dyDescent="0.25">
      <c r="A48">
        <v>18003</v>
      </c>
      <c r="B48" t="s">
        <v>7</v>
      </c>
      <c r="C48">
        <v>22</v>
      </c>
      <c r="D48" s="3">
        <f>in_parking_demand_data_ver1!D48*calibration!$I$31</f>
        <v>318.45539958568202</v>
      </c>
      <c r="E48" s="3">
        <f>in_parking_demand_data_ver1!E48*calibration!$I$31</f>
        <v>14.061554959356874</v>
      </c>
      <c r="F48" s="3">
        <f t="shared" si="0"/>
        <v>332.51695454503891</v>
      </c>
      <c r="G48">
        <v>365</v>
      </c>
    </row>
    <row r="49" spans="1:7" x14ac:dyDescent="0.25">
      <c r="A49">
        <v>18003</v>
      </c>
      <c r="B49" t="s">
        <v>7</v>
      </c>
      <c r="C49">
        <v>23</v>
      </c>
      <c r="D49" s="3">
        <f>in_parking_demand_data_ver1!D49*calibration!$I$31</f>
        <v>321.73355350258703</v>
      </c>
      <c r="E49" s="3">
        <f>in_parking_demand_data_ver1!E49*calibration!$I$31</f>
        <v>17.900445730469659</v>
      </c>
      <c r="F49" s="3">
        <f t="shared" si="0"/>
        <v>339.63399923305667</v>
      </c>
      <c r="G49">
        <v>365</v>
      </c>
    </row>
    <row r="50" spans="1:7" x14ac:dyDescent="0.25">
      <c r="A50">
        <v>18005</v>
      </c>
      <c r="B50" t="s">
        <v>8</v>
      </c>
      <c r="C50">
        <v>0</v>
      </c>
      <c r="D50" s="3">
        <f>in_parking_demand_data_ver1!D50*calibration!$I$31</f>
        <v>157.40185371500021</v>
      </c>
      <c r="E50" s="3">
        <f>in_parking_demand_data_ver1!E50*calibration!$I$31</f>
        <v>36.453271806316465</v>
      </c>
      <c r="F50" s="3">
        <f t="shared" si="0"/>
        <v>193.85512552131667</v>
      </c>
      <c r="G50">
        <v>83</v>
      </c>
    </row>
    <row r="51" spans="1:7" x14ac:dyDescent="0.25">
      <c r="A51">
        <v>18005</v>
      </c>
      <c r="B51" t="s">
        <v>8</v>
      </c>
      <c r="C51">
        <v>1</v>
      </c>
      <c r="D51" s="3">
        <f>in_parking_demand_data_ver1!D51*calibration!$I$31</f>
        <v>158.72209293534894</v>
      </c>
      <c r="E51" s="3">
        <f>in_parking_demand_data_ver1!E51*calibration!$I$31</f>
        <v>39.973909727248419</v>
      </c>
      <c r="F51" s="3">
        <f t="shared" si="0"/>
        <v>198.69600266259735</v>
      </c>
      <c r="G51">
        <v>83</v>
      </c>
    </row>
    <row r="52" spans="1:7" x14ac:dyDescent="0.25">
      <c r="A52">
        <v>18005</v>
      </c>
      <c r="B52" t="s">
        <v>8</v>
      </c>
      <c r="C52">
        <v>2</v>
      </c>
      <c r="D52" s="3">
        <f>in_parking_demand_data_ver1!D52*calibration!$I$31</f>
        <v>158.28201319523271</v>
      </c>
      <c r="E52" s="3">
        <f>in_parking_demand_data_ver1!E52*calibration!$I$31</f>
        <v>42.394348297889159</v>
      </c>
      <c r="F52" s="3">
        <f t="shared" si="0"/>
        <v>200.67636149312187</v>
      </c>
      <c r="G52">
        <v>83</v>
      </c>
    </row>
    <row r="53" spans="1:7" x14ac:dyDescent="0.25">
      <c r="A53">
        <v>18005</v>
      </c>
      <c r="B53" t="s">
        <v>8</v>
      </c>
      <c r="C53">
        <v>3</v>
      </c>
      <c r="D53" s="3">
        <f>in_parking_demand_data_ver1!D53*calibration!$I$31</f>
        <v>157.54854696170503</v>
      </c>
      <c r="E53" s="3">
        <f>in_parking_demand_data_ver1!E53*calibration!$I$31</f>
        <v>43.127814531416639</v>
      </c>
      <c r="F53" s="3">
        <f t="shared" si="0"/>
        <v>200.67636149312168</v>
      </c>
      <c r="G53">
        <v>83</v>
      </c>
    </row>
    <row r="54" spans="1:7" x14ac:dyDescent="0.25">
      <c r="A54">
        <v>18005</v>
      </c>
      <c r="B54" t="s">
        <v>8</v>
      </c>
      <c r="C54">
        <v>4</v>
      </c>
      <c r="D54" s="3">
        <f>in_parking_demand_data_ver1!D54*calibration!$I$31</f>
        <v>153.36778943059855</v>
      </c>
      <c r="E54" s="3">
        <f>in_parking_demand_data_ver1!E54*calibration!$I$31</f>
        <v>44.301360505060622</v>
      </c>
      <c r="F54" s="3">
        <f t="shared" si="0"/>
        <v>197.66914993565916</v>
      </c>
      <c r="G54">
        <v>83</v>
      </c>
    </row>
    <row r="55" spans="1:7" x14ac:dyDescent="0.25">
      <c r="A55">
        <v>18005</v>
      </c>
      <c r="B55" t="s">
        <v>8</v>
      </c>
      <c r="C55">
        <v>5</v>
      </c>
      <c r="D55" s="3">
        <f>in_parking_demand_data_ver1!D55*calibration!$I$31</f>
        <v>154.02790904077335</v>
      </c>
      <c r="E55" s="3">
        <f>in_parking_demand_data_ver1!E55*calibration!$I$31</f>
        <v>43.05446790806387</v>
      </c>
      <c r="F55" s="3">
        <f t="shared" si="0"/>
        <v>197.08237694883724</v>
      </c>
      <c r="G55">
        <v>83</v>
      </c>
    </row>
    <row r="56" spans="1:7" x14ac:dyDescent="0.25">
      <c r="A56">
        <v>18005</v>
      </c>
      <c r="B56" t="s">
        <v>8</v>
      </c>
      <c r="C56">
        <v>6</v>
      </c>
      <c r="D56" s="3">
        <f>in_parking_demand_data_ver1!D56*calibration!$I$31</f>
        <v>148.01348592584816</v>
      </c>
      <c r="E56" s="3">
        <f>in_parking_demand_data_ver1!E56*calibration!$I$31</f>
        <v>40.487336090717612</v>
      </c>
      <c r="F56" s="3">
        <f t="shared" si="0"/>
        <v>188.50082201656576</v>
      </c>
      <c r="G56">
        <v>83</v>
      </c>
    </row>
    <row r="57" spans="1:7" x14ac:dyDescent="0.25">
      <c r="A57">
        <v>18005</v>
      </c>
      <c r="B57" t="s">
        <v>8</v>
      </c>
      <c r="C57">
        <v>7</v>
      </c>
      <c r="D57" s="3">
        <f>in_parking_demand_data_ver1!D57*calibration!$I$31</f>
        <v>127.54977801043104</v>
      </c>
      <c r="E57" s="3">
        <f>in_parking_demand_data_ver1!E57*calibration!$I$31</f>
        <v>35.133032585966951</v>
      </c>
      <c r="F57" s="3">
        <f t="shared" si="0"/>
        <v>162.68281059639799</v>
      </c>
      <c r="G57">
        <v>83</v>
      </c>
    </row>
    <row r="58" spans="1:7" x14ac:dyDescent="0.25">
      <c r="A58">
        <v>18005</v>
      </c>
      <c r="B58" t="s">
        <v>8</v>
      </c>
      <c r="C58">
        <v>8</v>
      </c>
      <c r="D58" s="3">
        <f>in_parking_demand_data_ver1!D58*calibration!$I$31</f>
        <v>92.783478541227751</v>
      </c>
      <c r="E58" s="3">
        <f>in_parking_demand_data_ver1!E58*calibration!$I$31</f>
        <v>29.045262847688736</v>
      </c>
      <c r="F58" s="3">
        <f t="shared" si="0"/>
        <v>121.82874138891648</v>
      </c>
      <c r="G58">
        <v>83</v>
      </c>
    </row>
    <row r="59" spans="1:7" x14ac:dyDescent="0.25">
      <c r="A59">
        <v>18005</v>
      </c>
      <c r="B59" t="s">
        <v>8</v>
      </c>
      <c r="C59">
        <v>9</v>
      </c>
      <c r="D59" s="3">
        <f>in_parking_demand_data_ver1!D59*calibration!$I$31</f>
        <v>78.04080724732539</v>
      </c>
      <c r="E59" s="3">
        <f>in_parking_demand_data_ver1!E59*calibration!$I$31</f>
        <v>21.27052077229726</v>
      </c>
      <c r="F59" s="3">
        <f t="shared" si="0"/>
        <v>99.31132801962265</v>
      </c>
      <c r="G59">
        <v>83</v>
      </c>
    </row>
    <row r="60" spans="1:7" x14ac:dyDescent="0.25">
      <c r="A60">
        <v>18005</v>
      </c>
      <c r="B60" t="s">
        <v>8</v>
      </c>
      <c r="C60">
        <v>10</v>
      </c>
      <c r="D60" s="3">
        <f>in_parking_demand_data_ver1!D60*calibration!$I$31</f>
        <v>67.552240107882199</v>
      </c>
      <c r="E60" s="3">
        <f>in_parking_demand_data_ver1!E60*calibration!$I$31</f>
        <v>13.789165190316844</v>
      </c>
      <c r="F60" s="3">
        <f t="shared" si="0"/>
        <v>81.341405298199049</v>
      </c>
      <c r="G60">
        <v>83</v>
      </c>
    </row>
    <row r="61" spans="1:7" x14ac:dyDescent="0.25">
      <c r="A61">
        <v>18005</v>
      </c>
      <c r="B61" t="s">
        <v>8</v>
      </c>
      <c r="C61">
        <v>11</v>
      </c>
      <c r="D61" s="3">
        <f>in_parking_demand_data_ver1!D61*calibration!$I$31</f>
        <v>68.359052964762441</v>
      </c>
      <c r="E61" s="3">
        <f>in_parking_demand_data_ver1!E61*calibration!$I$31</f>
        <v>9.4617144125046444</v>
      </c>
      <c r="F61" s="3">
        <f t="shared" si="0"/>
        <v>77.820767377267089</v>
      </c>
      <c r="G61">
        <v>83</v>
      </c>
    </row>
    <row r="62" spans="1:7" x14ac:dyDescent="0.25">
      <c r="A62">
        <v>18005</v>
      </c>
      <c r="B62" t="s">
        <v>8</v>
      </c>
      <c r="C62">
        <v>12</v>
      </c>
      <c r="D62" s="3">
        <f>in_parking_demand_data_ver1!D62*calibration!$I$31</f>
        <v>69.092519198289935</v>
      </c>
      <c r="E62" s="3">
        <f>in_parking_demand_data_ver1!E62*calibration!$I$31</f>
        <v>5.7210366215144548</v>
      </c>
      <c r="F62" s="3">
        <f t="shared" si="0"/>
        <v>74.813555819804392</v>
      </c>
      <c r="G62">
        <v>83</v>
      </c>
    </row>
    <row r="63" spans="1:7" x14ac:dyDescent="0.25">
      <c r="A63">
        <v>18005</v>
      </c>
      <c r="B63" t="s">
        <v>8</v>
      </c>
      <c r="C63">
        <v>13</v>
      </c>
      <c r="D63" s="3">
        <f>in_parking_demand_data_ver1!D63*calibration!$I$31</f>
        <v>69.019172574937159</v>
      </c>
      <c r="E63" s="3">
        <f>in_parking_demand_data_ver1!E63*calibration!$I$31</f>
        <v>4.4741440245177131</v>
      </c>
      <c r="F63" s="3">
        <f t="shared" si="0"/>
        <v>73.493316599454872</v>
      </c>
      <c r="G63">
        <v>83</v>
      </c>
    </row>
    <row r="64" spans="1:7" x14ac:dyDescent="0.25">
      <c r="A64">
        <v>18005</v>
      </c>
      <c r="B64" t="s">
        <v>8</v>
      </c>
      <c r="C64">
        <v>14</v>
      </c>
      <c r="D64" s="3">
        <f>in_parking_demand_data_ver1!D64*calibration!$I$31</f>
        <v>76.353834910212129</v>
      </c>
      <c r="E64" s="3">
        <f>in_parking_demand_data_ver1!E64*calibration!$I$31</f>
        <v>3.4472912975792154</v>
      </c>
      <c r="F64" s="3">
        <f t="shared" si="0"/>
        <v>79.801126207791341</v>
      </c>
      <c r="G64">
        <v>83</v>
      </c>
    </row>
    <row r="65" spans="1:7" x14ac:dyDescent="0.25">
      <c r="A65">
        <v>18005</v>
      </c>
      <c r="B65" t="s">
        <v>8</v>
      </c>
      <c r="C65">
        <v>15</v>
      </c>
      <c r="D65" s="3">
        <f>in_parking_demand_data_ver1!D65*calibration!$I$31</f>
        <v>80.681285688024317</v>
      </c>
      <c r="E65" s="3">
        <f>in_parking_demand_data_ver1!E65*calibration!$I$31</f>
        <v>1.4669324670549855</v>
      </c>
      <c r="F65" s="3">
        <f t="shared" si="0"/>
        <v>82.148218155079306</v>
      </c>
      <c r="G65">
        <v>83</v>
      </c>
    </row>
    <row r="66" spans="1:7" x14ac:dyDescent="0.25">
      <c r="A66">
        <v>18005</v>
      </c>
      <c r="B66" t="s">
        <v>8</v>
      </c>
      <c r="C66">
        <v>16</v>
      </c>
      <c r="D66" s="3">
        <f>in_parking_demand_data_ver1!D66*calibration!$I$31</f>
        <v>82.0748715317266</v>
      </c>
      <c r="E66" s="3">
        <f>in_parking_demand_data_ver1!E66*calibration!$I$31</f>
        <v>3.3739446742264674</v>
      </c>
      <c r="F66" s="3">
        <f t="shared" si="0"/>
        <v>85.448816205953065</v>
      </c>
      <c r="G66">
        <v>83</v>
      </c>
    </row>
    <row r="67" spans="1:7" x14ac:dyDescent="0.25">
      <c r="A67">
        <v>18005</v>
      </c>
      <c r="B67" t="s">
        <v>8</v>
      </c>
      <c r="C67">
        <v>17</v>
      </c>
      <c r="D67" s="3">
        <f>in_parking_demand_data_ver1!D67*calibration!$I$31</f>
        <v>88.456027763415548</v>
      </c>
      <c r="E67" s="3">
        <f>in_parking_demand_data_ver1!E67*calibration!$I$31</f>
        <v>2.4937851939934745</v>
      </c>
      <c r="F67" s="3">
        <f t="shared" ref="F67:F130" si="1">SUM(D67:E67)</f>
        <v>90.949812957409023</v>
      </c>
      <c r="G67">
        <v>83</v>
      </c>
    </row>
    <row r="68" spans="1:7" x14ac:dyDescent="0.25">
      <c r="A68">
        <v>18005</v>
      </c>
      <c r="B68" t="s">
        <v>8</v>
      </c>
      <c r="C68">
        <v>18</v>
      </c>
      <c r="D68" s="3">
        <f>in_parking_demand_data_ver1!D68*calibration!$I$31</f>
        <v>102.31853957708465</v>
      </c>
      <c r="E68" s="3">
        <f>in_parking_demand_data_ver1!E68*calibration!$I$31</f>
        <v>3.1539048041682234</v>
      </c>
      <c r="F68" s="3">
        <f t="shared" si="1"/>
        <v>105.47244438125287</v>
      </c>
      <c r="G68">
        <v>83</v>
      </c>
    </row>
    <row r="69" spans="1:7" x14ac:dyDescent="0.25">
      <c r="A69">
        <v>18005</v>
      </c>
      <c r="B69" t="s">
        <v>8</v>
      </c>
      <c r="C69">
        <v>19</v>
      </c>
      <c r="D69" s="3">
        <f>in_parking_demand_data_ver1!D69*calibration!$I$31</f>
        <v>119.1882629482172</v>
      </c>
      <c r="E69" s="3">
        <f>in_parking_demand_data_ver1!E69*calibration!$I$31</f>
        <v>6.6745427251001956</v>
      </c>
      <c r="F69" s="3">
        <f t="shared" si="1"/>
        <v>125.8628056733174</v>
      </c>
      <c r="G69">
        <v>83</v>
      </c>
    </row>
    <row r="70" spans="1:7" x14ac:dyDescent="0.25">
      <c r="A70">
        <v>18005</v>
      </c>
      <c r="B70" t="s">
        <v>8</v>
      </c>
      <c r="C70">
        <v>20</v>
      </c>
      <c r="D70" s="3">
        <f>in_parking_demand_data_ver1!D70*calibration!$I$31</f>
        <v>132.8307348918286</v>
      </c>
      <c r="E70" s="3">
        <f>in_parking_demand_data_ver1!E70*calibration!$I$31</f>
        <v>13.202392203494895</v>
      </c>
      <c r="F70" s="3">
        <f t="shared" si="1"/>
        <v>146.03312709532349</v>
      </c>
      <c r="G70">
        <v>83</v>
      </c>
    </row>
    <row r="71" spans="1:7" x14ac:dyDescent="0.25">
      <c r="A71">
        <v>18005</v>
      </c>
      <c r="B71" t="s">
        <v>8</v>
      </c>
      <c r="C71">
        <v>21</v>
      </c>
      <c r="D71" s="3">
        <f>in_parking_demand_data_ver1!D71*calibration!$I$31</f>
        <v>141.41228982410016</v>
      </c>
      <c r="E71" s="3">
        <f>in_parking_demand_data_ver1!E71*calibration!$I$31</f>
        <v>19.43685518847856</v>
      </c>
      <c r="F71" s="3">
        <f t="shared" si="1"/>
        <v>160.84914501257873</v>
      </c>
      <c r="G71">
        <v>83</v>
      </c>
    </row>
    <row r="72" spans="1:7" x14ac:dyDescent="0.25">
      <c r="A72">
        <v>18005</v>
      </c>
      <c r="B72" t="s">
        <v>8</v>
      </c>
      <c r="C72">
        <v>22</v>
      </c>
      <c r="D72" s="3">
        <f>in_parking_demand_data_ver1!D72*calibration!$I$31</f>
        <v>150.06719137972453</v>
      </c>
      <c r="E72" s="3">
        <f>in_parking_demand_data_ver1!E72*calibration!$I$31</f>
        <v>26.038051290225962</v>
      </c>
      <c r="F72" s="3">
        <f t="shared" si="1"/>
        <v>176.10524266995048</v>
      </c>
      <c r="G72">
        <v>83</v>
      </c>
    </row>
    <row r="73" spans="1:7" x14ac:dyDescent="0.25">
      <c r="A73">
        <v>18005</v>
      </c>
      <c r="B73" t="s">
        <v>8</v>
      </c>
      <c r="C73">
        <v>23</v>
      </c>
      <c r="D73" s="3">
        <f>in_parking_demand_data_ver1!D73*calibration!$I$31</f>
        <v>154.02790904077335</v>
      </c>
      <c r="E73" s="3">
        <f>in_parking_demand_data_ver1!E73*calibration!$I$31</f>
        <v>31.392354794976701</v>
      </c>
      <c r="F73" s="3">
        <f t="shared" si="1"/>
        <v>185.42026383575006</v>
      </c>
      <c r="G73">
        <v>83</v>
      </c>
    </row>
    <row r="74" spans="1:7" x14ac:dyDescent="0.25">
      <c r="A74">
        <v>18007</v>
      </c>
      <c r="B74" t="s">
        <v>9</v>
      </c>
      <c r="C74">
        <v>0</v>
      </c>
      <c r="D74" s="3">
        <f>in_parking_demand_data_ver1!D74*calibration!$I$31</f>
        <v>8.1068037605412844</v>
      </c>
      <c r="E74" s="3">
        <f>in_parking_demand_data_ver1!E74*calibration!$I$31</f>
        <v>0</v>
      </c>
      <c r="F74" s="3">
        <f t="shared" si="1"/>
        <v>8.1068037605412844</v>
      </c>
      <c r="G74">
        <v>39</v>
      </c>
    </row>
    <row r="75" spans="1:7" x14ac:dyDescent="0.25">
      <c r="A75">
        <v>18007</v>
      </c>
      <c r="B75" t="s">
        <v>9</v>
      </c>
      <c r="C75">
        <v>1</v>
      </c>
      <c r="D75" s="3">
        <f>in_parking_demand_data_ver1!D75*calibration!$I$31</f>
        <v>8.2673345280767574</v>
      </c>
      <c r="E75" s="3">
        <f>in_parking_demand_data_ver1!E75*calibration!$I$31</f>
        <v>0</v>
      </c>
      <c r="F75" s="3">
        <f t="shared" si="1"/>
        <v>8.2673345280767574</v>
      </c>
      <c r="G75">
        <v>39</v>
      </c>
    </row>
    <row r="76" spans="1:7" x14ac:dyDescent="0.25">
      <c r="A76">
        <v>18007</v>
      </c>
      <c r="B76" t="s">
        <v>9</v>
      </c>
      <c r="C76">
        <v>2</v>
      </c>
      <c r="D76" s="3">
        <f>in_parking_demand_data_ver1!D76*calibration!$I$31</f>
        <v>7.9462729930058122</v>
      </c>
      <c r="E76" s="3">
        <f>in_parking_demand_data_ver1!E76*calibration!$I$31</f>
        <v>0</v>
      </c>
      <c r="F76" s="3">
        <f t="shared" si="1"/>
        <v>7.9462729930058122</v>
      </c>
      <c r="G76">
        <v>39</v>
      </c>
    </row>
    <row r="77" spans="1:7" x14ac:dyDescent="0.25">
      <c r="A77">
        <v>18007</v>
      </c>
      <c r="B77" t="s">
        <v>9</v>
      </c>
      <c r="C77">
        <v>3</v>
      </c>
      <c r="D77" s="3">
        <f>in_parking_demand_data_ver1!D77*calibration!$I$31</f>
        <v>7.9462729930058122</v>
      </c>
      <c r="E77" s="3">
        <f>in_parking_demand_data_ver1!E77*calibration!$I$31</f>
        <v>0</v>
      </c>
      <c r="F77" s="3">
        <f t="shared" si="1"/>
        <v>7.9462729930058122</v>
      </c>
      <c r="G77">
        <v>39</v>
      </c>
    </row>
    <row r="78" spans="1:7" x14ac:dyDescent="0.25">
      <c r="A78">
        <v>18007</v>
      </c>
      <c r="B78" t="s">
        <v>9</v>
      </c>
      <c r="C78">
        <v>4</v>
      </c>
      <c r="D78" s="3">
        <f>in_parking_demand_data_ver1!D78*calibration!$I$31</f>
        <v>7.8660076092380766</v>
      </c>
      <c r="E78" s="3">
        <f>in_parking_demand_data_ver1!E78*calibration!$I$31</f>
        <v>0</v>
      </c>
      <c r="F78" s="3">
        <f t="shared" si="1"/>
        <v>7.8660076092380766</v>
      </c>
      <c r="G78">
        <v>39</v>
      </c>
    </row>
    <row r="79" spans="1:7" x14ac:dyDescent="0.25">
      <c r="A79">
        <v>18007</v>
      </c>
      <c r="B79" t="s">
        <v>9</v>
      </c>
      <c r="C79">
        <v>5</v>
      </c>
      <c r="D79" s="3">
        <f>in_parking_demand_data_ver1!D79*calibration!$I$31</f>
        <v>8.1870691443090209</v>
      </c>
      <c r="E79" s="3">
        <f>in_parking_demand_data_ver1!E79*calibration!$I$31</f>
        <v>0</v>
      </c>
      <c r="F79" s="3">
        <f t="shared" si="1"/>
        <v>8.1870691443090209</v>
      </c>
      <c r="G79">
        <v>39</v>
      </c>
    </row>
    <row r="80" spans="1:7" x14ac:dyDescent="0.25">
      <c r="A80">
        <v>18007</v>
      </c>
      <c r="B80" t="s">
        <v>9</v>
      </c>
      <c r="C80">
        <v>6</v>
      </c>
      <c r="D80" s="3">
        <f>in_parking_demand_data_ver1!D80*calibration!$I$31</f>
        <v>9.7923768196636907</v>
      </c>
      <c r="E80" s="3">
        <f>in_parking_demand_data_ver1!E80*calibration!$I$31</f>
        <v>0</v>
      </c>
      <c r="F80" s="3">
        <f t="shared" si="1"/>
        <v>9.7923768196636907</v>
      </c>
      <c r="G80">
        <v>39</v>
      </c>
    </row>
    <row r="81" spans="1:7" x14ac:dyDescent="0.25">
      <c r="A81">
        <v>18007</v>
      </c>
      <c r="B81" t="s">
        <v>9</v>
      </c>
      <c r="C81">
        <v>7</v>
      </c>
      <c r="D81" s="3">
        <f>in_parking_demand_data_ver1!D81*calibration!$I$31</f>
        <v>9.7121114358959204</v>
      </c>
      <c r="E81" s="3">
        <f>in_parking_demand_data_ver1!E81*calibration!$I$31</f>
        <v>3.1303499669416781</v>
      </c>
      <c r="F81" s="3">
        <f t="shared" si="1"/>
        <v>12.842461402837598</v>
      </c>
      <c r="G81">
        <v>39</v>
      </c>
    </row>
    <row r="82" spans="1:7" x14ac:dyDescent="0.25">
      <c r="A82">
        <v>18007</v>
      </c>
      <c r="B82" t="s">
        <v>9</v>
      </c>
      <c r="C82">
        <v>8</v>
      </c>
      <c r="D82" s="3">
        <f>in_parking_demand_data_ver1!D82*calibration!$I$31</f>
        <v>6.9830883877929883</v>
      </c>
      <c r="E82" s="3">
        <f>in_parking_demand_data_ver1!E82*calibration!$I$31</f>
        <v>2.9698191994062064</v>
      </c>
      <c r="F82" s="3">
        <f t="shared" si="1"/>
        <v>9.9529075871991957</v>
      </c>
      <c r="G82">
        <v>39</v>
      </c>
    </row>
    <row r="83" spans="1:7" x14ac:dyDescent="0.25">
      <c r="A83">
        <v>18007</v>
      </c>
      <c r="B83" t="s">
        <v>9</v>
      </c>
      <c r="C83">
        <v>9</v>
      </c>
      <c r="D83" s="3">
        <f>in_parking_demand_data_ver1!D83*calibration!$I$31</f>
        <v>4.9764537935995978</v>
      </c>
      <c r="E83" s="3">
        <f>in_parking_demand_data_ver1!E83*calibration!$I$31</f>
        <v>3.4514115020126228</v>
      </c>
      <c r="F83" s="3">
        <f t="shared" si="1"/>
        <v>8.4278652956122215</v>
      </c>
      <c r="G83">
        <v>39</v>
      </c>
    </row>
    <row r="84" spans="1:7" x14ac:dyDescent="0.25">
      <c r="A84">
        <v>18007</v>
      </c>
      <c r="B84" t="s">
        <v>9</v>
      </c>
      <c r="C84">
        <v>10</v>
      </c>
      <c r="D84" s="3">
        <f>in_parking_demand_data_ver1!D84*calibration!$I$31</f>
        <v>4.6553922585286536</v>
      </c>
      <c r="E84" s="3">
        <f>in_parking_demand_data_ver1!E84*calibration!$I$31</f>
        <v>2.8092884318707343</v>
      </c>
      <c r="F84" s="3">
        <f t="shared" si="1"/>
        <v>7.4646806903993879</v>
      </c>
      <c r="G84">
        <v>39</v>
      </c>
    </row>
    <row r="85" spans="1:7" x14ac:dyDescent="0.25">
      <c r="A85">
        <v>18007</v>
      </c>
      <c r="B85" t="s">
        <v>9</v>
      </c>
      <c r="C85">
        <v>11</v>
      </c>
      <c r="D85" s="3">
        <f>in_parking_demand_data_ver1!D85*calibration!$I$31</f>
        <v>4.5751268747609179</v>
      </c>
      <c r="E85" s="3">
        <f>in_parking_demand_data_ver1!E85*calibration!$I$31</f>
        <v>2.1671653617288547</v>
      </c>
      <c r="F85" s="3">
        <f t="shared" si="1"/>
        <v>6.7422922364897726</v>
      </c>
      <c r="G85">
        <v>39</v>
      </c>
    </row>
    <row r="86" spans="1:7" x14ac:dyDescent="0.25">
      <c r="A86">
        <v>18007</v>
      </c>
      <c r="B86" t="s">
        <v>9</v>
      </c>
      <c r="C86">
        <v>12</v>
      </c>
      <c r="D86" s="3">
        <f>in_parking_demand_data_ver1!D86*calibration!$I$31</f>
        <v>4.4948614909931823</v>
      </c>
      <c r="E86" s="3">
        <f>in_parking_demand_data_ver1!E86*calibration!$I$31</f>
        <v>2.086899977961119</v>
      </c>
      <c r="F86" s="3">
        <f t="shared" si="1"/>
        <v>6.5817614689543014</v>
      </c>
      <c r="G86">
        <v>39</v>
      </c>
    </row>
    <row r="87" spans="1:7" x14ac:dyDescent="0.25">
      <c r="A87">
        <v>18007</v>
      </c>
      <c r="B87" t="s">
        <v>9</v>
      </c>
      <c r="C87">
        <v>13</v>
      </c>
      <c r="D87" s="3">
        <f>in_parking_demand_data_ver1!D87*calibration!$I$31</f>
        <v>4.8961884098318613</v>
      </c>
      <c r="E87" s="3">
        <f>in_parking_demand_data_ver1!E87*calibration!$I$31</f>
        <v>2.8092884318707343</v>
      </c>
      <c r="F87" s="3">
        <f t="shared" si="1"/>
        <v>7.7054768417025956</v>
      </c>
      <c r="G87">
        <v>39</v>
      </c>
    </row>
    <row r="88" spans="1:7" x14ac:dyDescent="0.25">
      <c r="A88">
        <v>18007</v>
      </c>
      <c r="B88" t="s">
        <v>9</v>
      </c>
      <c r="C88">
        <v>14</v>
      </c>
      <c r="D88" s="3">
        <f>in_parking_demand_data_ver1!D88*calibration!$I$31</f>
        <v>5.4580460962060133</v>
      </c>
      <c r="E88" s="3">
        <f>in_parking_demand_data_ver1!E88*calibration!$I$31</f>
        <v>2.7290230481030067</v>
      </c>
      <c r="F88" s="3">
        <f t="shared" si="1"/>
        <v>8.1870691443090209</v>
      </c>
      <c r="G88">
        <v>39</v>
      </c>
    </row>
    <row r="89" spans="1:7" x14ac:dyDescent="0.25">
      <c r="A89">
        <v>18007</v>
      </c>
      <c r="B89" t="s">
        <v>9</v>
      </c>
      <c r="C89">
        <v>15</v>
      </c>
      <c r="D89" s="3">
        <f>in_parking_demand_data_ver1!D89*calibration!$I$31</f>
        <v>4.7356576422963901</v>
      </c>
      <c r="E89" s="3">
        <f>in_parking_demand_data_ver1!E89*calibration!$I$31</f>
        <v>0</v>
      </c>
      <c r="F89" s="3">
        <f t="shared" si="1"/>
        <v>4.7356576422963901</v>
      </c>
      <c r="G89">
        <v>39</v>
      </c>
    </row>
    <row r="90" spans="1:7" x14ac:dyDescent="0.25">
      <c r="A90">
        <v>18007</v>
      </c>
      <c r="B90" t="s">
        <v>9</v>
      </c>
      <c r="C90">
        <v>16</v>
      </c>
      <c r="D90" s="3">
        <f>in_parking_demand_data_ver1!D90*calibration!$I$31</f>
        <v>4.7356576422963901</v>
      </c>
      <c r="E90" s="3">
        <f>in_parking_demand_data_ver1!E90*calibration!$I$31</f>
        <v>0.1605307675354703</v>
      </c>
      <c r="F90" s="3">
        <f t="shared" si="1"/>
        <v>4.8961884098318604</v>
      </c>
      <c r="G90">
        <v>39</v>
      </c>
    </row>
    <row r="91" spans="1:7" x14ac:dyDescent="0.25">
      <c r="A91">
        <v>18007</v>
      </c>
      <c r="B91" t="s">
        <v>9</v>
      </c>
      <c r="C91">
        <v>17</v>
      </c>
      <c r="D91" s="3">
        <f>in_parking_demand_data_ver1!D91*calibration!$I$31</f>
        <v>4.2540653396899737</v>
      </c>
      <c r="E91" s="3">
        <f>in_parking_demand_data_ver1!E91*calibration!$I$31</f>
        <v>0.24079615130320631</v>
      </c>
      <c r="F91" s="3">
        <f t="shared" si="1"/>
        <v>4.4948614909931797</v>
      </c>
      <c r="G91">
        <v>39</v>
      </c>
    </row>
    <row r="92" spans="1:7" x14ac:dyDescent="0.25">
      <c r="A92">
        <v>18007</v>
      </c>
      <c r="B92" t="s">
        <v>9</v>
      </c>
      <c r="C92">
        <v>18</v>
      </c>
      <c r="D92" s="3">
        <f>in_parking_demand_data_ver1!D92*calibration!$I$31</f>
        <v>4.8961884098318613</v>
      </c>
      <c r="E92" s="3">
        <f>in_parking_demand_data_ver1!E92*calibration!$I$31</f>
        <v>0.24079615130320631</v>
      </c>
      <c r="F92" s="3">
        <f t="shared" si="1"/>
        <v>5.1369845611350673</v>
      </c>
      <c r="G92">
        <v>39</v>
      </c>
    </row>
    <row r="93" spans="1:7" x14ac:dyDescent="0.25">
      <c r="A93">
        <v>18007</v>
      </c>
      <c r="B93" t="s">
        <v>9</v>
      </c>
      <c r="C93">
        <v>19</v>
      </c>
      <c r="D93" s="3">
        <f>in_parking_demand_data_ver1!D93*calibration!$I$31</f>
        <v>5.3777807124382777</v>
      </c>
      <c r="E93" s="3">
        <f>in_parking_demand_data_ver1!E93*calibration!$I$31</f>
        <v>0</v>
      </c>
      <c r="F93" s="3">
        <f t="shared" si="1"/>
        <v>5.3777807124382777</v>
      </c>
      <c r="G93">
        <v>39</v>
      </c>
    </row>
    <row r="94" spans="1:7" x14ac:dyDescent="0.25">
      <c r="A94">
        <v>18007</v>
      </c>
      <c r="B94" t="s">
        <v>9</v>
      </c>
      <c r="C94">
        <v>20</v>
      </c>
      <c r="D94" s="3">
        <f>in_parking_demand_data_ver1!D94*calibration!$I$31</f>
        <v>6.7422922364897815</v>
      </c>
      <c r="E94" s="3">
        <f>in_parking_demand_data_ver1!E94*calibration!$I$31</f>
        <v>0.1605307675354703</v>
      </c>
      <c r="F94" s="3">
        <f t="shared" si="1"/>
        <v>6.9028230040252518</v>
      </c>
      <c r="G94">
        <v>39</v>
      </c>
    </row>
    <row r="95" spans="1:7" x14ac:dyDescent="0.25">
      <c r="A95">
        <v>18007</v>
      </c>
      <c r="B95" t="s">
        <v>9</v>
      </c>
      <c r="C95">
        <v>21</v>
      </c>
      <c r="D95" s="3">
        <f>in_parking_demand_data_ver1!D95*calibration!$I$31</f>
        <v>7.6252114579348689</v>
      </c>
      <c r="E95" s="3">
        <f>in_parking_demand_data_ver1!E95*calibration!$I$31</f>
        <v>0</v>
      </c>
      <c r="F95" s="3">
        <f t="shared" si="1"/>
        <v>7.6252114579348689</v>
      </c>
      <c r="G95">
        <v>39</v>
      </c>
    </row>
    <row r="96" spans="1:7" x14ac:dyDescent="0.25">
      <c r="A96">
        <v>18007</v>
      </c>
      <c r="B96" t="s">
        <v>9</v>
      </c>
      <c r="C96">
        <v>22</v>
      </c>
      <c r="D96" s="3">
        <f>in_parking_demand_data_ver1!D96*calibration!$I$31</f>
        <v>7.8660076092380766</v>
      </c>
      <c r="E96" s="3">
        <f>in_parking_demand_data_ver1!E96*calibration!$I$31</f>
        <v>0</v>
      </c>
      <c r="F96" s="3">
        <f t="shared" si="1"/>
        <v>7.8660076092380766</v>
      </c>
      <c r="G96">
        <v>39</v>
      </c>
    </row>
    <row r="97" spans="1:7" x14ac:dyDescent="0.25">
      <c r="A97">
        <v>18007</v>
      </c>
      <c r="B97" t="s">
        <v>9</v>
      </c>
      <c r="C97">
        <v>23</v>
      </c>
      <c r="D97" s="3">
        <f>in_parking_demand_data_ver1!D97*calibration!$I$31</f>
        <v>7.8660076092380766</v>
      </c>
      <c r="E97" s="3">
        <f>in_parking_demand_data_ver1!E97*calibration!$I$31</f>
        <v>0</v>
      </c>
      <c r="F97" s="3">
        <f t="shared" si="1"/>
        <v>7.8660076092380766</v>
      </c>
      <c r="G97">
        <v>39</v>
      </c>
    </row>
    <row r="98" spans="1:7" x14ac:dyDescent="0.25">
      <c r="A98">
        <v>18009</v>
      </c>
      <c r="B98" t="s">
        <v>10</v>
      </c>
      <c r="C98">
        <v>0</v>
      </c>
      <c r="D98" s="3">
        <f>in_parking_demand_data_ver1!D98*calibration!$I$31</f>
        <v>0</v>
      </c>
      <c r="E98" s="3">
        <f>in_parking_demand_data_ver1!E98*calibration!$I$31</f>
        <v>0</v>
      </c>
      <c r="F98" s="3">
        <f t="shared" si="1"/>
        <v>0</v>
      </c>
      <c r="G98">
        <v>0</v>
      </c>
    </row>
    <row r="99" spans="1:7" x14ac:dyDescent="0.25">
      <c r="A99">
        <v>18009</v>
      </c>
      <c r="B99" t="s">
        <v>10</v>
      </c>
      <c r="C99">
        <v>1</v>
      </c>
      <c r="D99" s="3">
        <f>in_parking_demand_data_ver1!D99*calibration!$I$31</f>
        <v>0</v>
      </c>
      <c r="E99" s="3">
        <f>in_parking_demand_data_ver1!E99*calibration!$I$31</f>
        <v>0</v>
      </c>
      <c r="F99" s="3">
        <f t="shared" si="1"/>
        <v>0</v>
      </c>
      <c r="G99">
        <v>0</v>
      </c>
    </row>
    <row r="100" spans="1:7" x14ac:dyDescent="0.25">
      <c r="A100">
        <v>18009</v>
      </c>
      <c r="B100" t="s">
        <v>10</v>
      </c>
      <c r="C100">
        <v>2</v>
      </c>
      <c r="D100" s="3">
        <f>in_parking_demand_data_ver1!D100*calibration!$I$31</f>
        <v>0</v>
      </c>
      <c r="E100" s="3">
        <f>in_parking_demand_data_ver1!E100*calibration!$I$31</f>
        <v>0</v>
      </c>
      <c r="F100" s="3">
        <f t="shared" si="1"/>
        <v>0</v>
      </c>
      <c r="G100">
        <v>0</v>
      </c>
    </row>
    <row r="101" spans="1:7" x14ac:dyDescent="0.25">
      <c r="A101">
        <v>18009</v>
      </c>
      <c r="B101" t="s">
        <v>10</v>
      </c>
      <c r="C101">
        <v>3</v>
      </c>
      <c r="D101" s="3">
        <f>in_parking_demand_data_ver1!D101*calibration!$I$31</f>
        <v>0</v>
      </c>
      <c r="E101" s="3">
        <f>in_parking_demand_data_ver1!E101*calibration!$I$31</f>
        <v>0</v>
      </c>
      <c r="F101" s="3">
        <f t="shared" si="1"/>
        <v>0</v>
      </c>
      <c r="G101">
        <v>0</v>
      </c>
    </row>
    <row r="102" spans="1:7" x14ac:dyDescent="0.25">
      <c r="A102">
        <v>18009</v>
      </c>
      <c r="B102" t="s">
        <v>10</v>
      </c>
      <c r="C102">
        <v>4</v>
      </c>
      <c r="D102" s="3">
        <f>in_parking_demand_data_ver1!D102*calibration!$I$31</f>
        <v>0</v>
      </c>
      <c r="E102" s="3">
        <f>in_parking_demand_data_ver1!E102*calibration!$I$31</f>
        <v>0</v>
      </c>
      <c r="F102" s="3">
        <f t="shared" si="1"/>
        <v>0</v>
      </c>
      <c r="G102">
        <v>0</v>
      </c>
    </row>
    <row r="103" spans="1:7" x14ac:dyDescent="0.25">
      <c r="A103">
        <v>18009</v>
      </c>
      <c r="B103" t="s">
        <v>10</v>
      </c>
      <c r="C103">
        <v>5</v>
      </c>
      <c r="D103" s="3">
        <f>in_parking_demand_data_ver1!D103*calibration!$I$31</f>
        <v>0</v>
      </c>
      <c r="E103" s="3">
        <f>in_parking_demand_data_ver1!E103*calibration!$I$31</f>
        <v>0</v>
      </c>
      <c r="F103" s="3">
        <f t="shared" si="1"/>
        <v>0</v>
      </c>
      <c r="G103">
        <v>0</v>
      </c>
    </row>
    <row r="104" spans="1:7" x14ac:dyDescent="0.25">
      <c r="A104">
        <v>18009</v>
      </c>
      <c r="B104" t="s">
        <v>10</v>
      </c>
      <c r="C104">
        <v>6</v>
      </c>
      <c r="D104" s="3">
        <f>in_parking_demand_data_ver1!D104*calibration!$I$31</f>
        <v>0</v>
      </c>
      <c r="E104" s="3">
        <f>in_parking_demand_data_ver1!E104*calibration!$I$31</f>
        <v>0</v>
      </c>
      <c r="F104" s="3">
        <f t="shared" si="1"/>
        <v>0</v>
      </c>
      <c r="G104">
        <v>0</v>
      </c>
    </row>
    <row r="105" spans="1:7" x14ac:dyDescent="0.25">
      <c r="A105">
        <v>18009</v>
      </c>
      <c r="B105" t="s">
        <v>10</v>
      </c>
      <c r="C105">
        <v>7</v>
      </c>
      <c r="D105" s="3">
        <f>in_parking_demand_data_ver1!D105*calibration!$I$31</f>
        <v>0</v>
      </c>
      <c r="E105" s="3">
        <f>in_parking_demand_data_ver1!E105*calibration!$I$31</f>
        <v>0</v>
      </c>
      <c r="F105" s="3">
        <f t="shared" si="1"/>
        <v>0</v>
      </c>
      <c r="G105">
        <v>0</v>
      </c>
    </row>
    <row r="106" spans="1:7" x14ac:dyDescent="0.25">
      <c r="A106">
        <v>18009</v>
      </c>
      <c r="B106" t="s">
        <v>10</v>
      </c>
      <c r="C106">
        <v>8</v>
      </c>
      <c r="D106" s="3">
        <f>in_parking_demand_data_ver1!D106*calibration!$I$31</f>
        <v>0</v>
      </c>
      <c r="E106" s="3">
        <f>in_parking_demand_data_ver1!E106*calibration!$I$31</f>
        <v>0</v>
      </c>
      <c r="F106" s="3">
        <f t="shared" si="1"/>
        <v>0</v>
      </c>
      <c r="G106">
        <v>0</v>
      </c>
    </row>
    <row r="107" spans="1:7" x14ac:dyDescent="0.25">
      <c r="A107">
        <v>18009</v>
      </c>
      <c r="B107" t="s">
        <v>10</v>
      </c>
      <c r="C107">
        <v>9</v>
      </c>
      <c r="D107" s="3">
        <f>in_parking_demand_data_ver1!D107*calibration!$I$31</f>
        <v>0</v>
      </c>
      <c r="E107" s="3">
        <f>in_parking_demand_data_ver1!E107*calibration!$I$31</f>
        <v>0</v>
      </c>
      <c r="F107" s="3">
        <f t="shared" si="1"/>
        <v>0</v>
      </c>
      <c r="G107">
        <v>0</v>
      </c>
    </row>
    <row r="108" spans="1:7" x14ac:dyDescent="0.25">
      <c r="A108">
        <v>18009</v>
      </c>
      <c r="B108" t="s">
        <v>10</v>
      </c>
      <c r="C108">
        <v>10</v>
      </c>
      <c r="D108" s="3">
        <f>in_parking_demand_data_ver1!D108*calibration!$I$31</f>
        <v>0</v>
      </c>
      <c r="E108" s="3">
        <f>in_parking_demand_data_ver1!E108*calibration!$I$31</f>
        <v>0</v>
      </c>
      <c r="F108" s="3">
        <f t="shared" si="1"/>
        <v>0</v>
      </c>
      <c r="G108">
        <v>0</v>
      </c>
    </row>
    <row r="109" spans="1:7" x14ac:dyDescent="0.25">
      <c r="A109">
        <v>18009</v>
      </c>
      <c r="B109" t="s">
        <v>10</v>
      </c>
      <c r="C109">
        <v>11</v>
      </c>
      <c r="D109" s="3">
        <f>in_parking_demand_data_ver1!D109*calibration!$I$31</f>
        <v>0</v>
      </c>
      <c r="E109" s="3">
        <f>in_parking_demand_data_ver1!E109*calibration!$I$31</f>
        <v>0</v>
      </c>
      <c r="F109" s="3">
        <f t="shared" si="1"/>
        <v>0</v>
      </c>
      <c r="G109">
        <v>0</v>
      </c>
    </row>
    <row r="110" spans="1:7" x14ac:dyDescent="0.25">
      <c r="A110">
        <v>18009</v>
      </c>
      <c r="B110" t="s">
        <v>10</v>
      </c>
      <c r="C110">
        <v>12</v>
      </c>
      <c r="D110" s="3">
        <f>in_parking_demand_data_ver1!D110*calibration!$I$31</f>
        <v>0</v>
      </c>
      <c r="E110" s="3">
        <f>in_parking_demand_data_ver1!E110*calibration!$I$31</f>
        <v>0</v>
      </c>
      <c r="F110" s="3">
        <f t="shared" si="1"/>
        <v>0</v>
      </c>
      <c r="G110">
        <v>0</v>
      </c>
    </row>
    <row r="111" spans="1:7" x14ac:dyDescent="0.25">
      <c r="A111">
        <v>18009</v>
      </c>
      <c r="B111" t="s">
        <v>10</v>
      </c>
      <c r="C111">
        <v>13</v>
      </c>
      <c r="D111" s="3">
        <f>in_parking_demand_data_ver1!D111*calibration!$I$31</f>
        <v>0</v>
      </c>
      <c r="E111" s="3">
        <f>in_parking_demand_data_ver1!E111*calibration!$I$31</f>
        <v>0</v>
      </c>
      <c r="F111" s="3">
        <f t="shared" si="1"/>
        <v>0</v>
      </c>
      <c r="G111">
        <v>0</v>
      </c>
    </row>
    <row r="112" spans="1:7" x14ac:dyDescent="0.25">
      <c r="A112">
        <v>18009</v>
      </c>
      <c r="B112" t="s">
        <v>10</v>
      </c>
      <c r="C112">
        <v>14</v>
      </c>
      <c r="D112" s="3">
        <f>in_parking_demand_data_ver1!D112*calibration!$I$31</f>
        <v>0</v>
      </c>
      <c r="E112" s="3">
        <f>in_parking_demand_data_ver1!E112*calibration!$I$31</f>
        <v>0</v>
      </c>
      <c r="F112" s="3">
        <f t="shared" si="1"/>
        <v>0</v>
      </c>
      <c r="G112">
        <v>0</v>
      </c>
    </row>
    <row r="113" spans="1:7" x14ac:dyDescent="0.25">
      <c r="A113">
        <v>18009</v>
      </c>
      <c r="B113" t="s">
        <v>10</v>
      </c>
      <c r="C113">
        <v>15</v>
      </c>
      <c r="D113" s="3">
        <f>in_parking_demand_data_ver1!D113*calibration!$I$31</f>
        <v>0</v>
      </c>
      <c r="E113" s="3">
        <f>in_parking_demand_data_ver1!E113*calibration!$I$31</f>
        <v>0</v>
      </c>
      <c r="F113" s="3">
        <f t="shared" si="1"/>
        <v>0</v>
      </c>
      <c r="G113">
        <v>0</v>
      </c>
    </row>
    <row r="114" spans="1:7" x14ac:dyDescent="0.25">
      <c r="A114">
        <v>18009</v>
      </c>
      <c r="B114" t="s">
        <v>10</v>
      </c>
      <c r="C114">
        <v>16</v>
      </c>
      <c r="D114" s="3">
        <f>in_parking_demand_data_ver1!D114*calibration!$I$31</f>
        <v>0</v>
      </c>
      <c r="E114" s="3">
        <f>in_parking_demand_data_ver1!E114*calibration!$I$31</f>
        <v>0</v>
      </c>
      <c r="F114" s="3">
        <f t="shared" si="1"/>
        <v>0</v>
      </c>
      <c r="G114">
        <v>0</v>
      </c>
    </row>
    <row r="115" spans="1:7" x14ac:dyDescent="0.25">
      <c r="A115">
        <v>18009</v>
      </c>
      <c r="B115" t="s">
        <v>10</v>
      </c>
      <c r="C115">
        <v>17</v>
      </c>
      <c r="D115" s="3">
        <f>in_parking_demand_data_ver1!D115*calibration!$I$31</f>
        <v>0</v>
      </c>
      <c r="E115" s="3">
        <f>in_parking_demand_data_ver1!E115*calibration!$I$31</f>
        <v>0</v>
      </c>
      <c r="F115" s="3">
        <f t="shared" si="1"/>
        <v>0</v>
      </c>
      <c r="G115">
        <v>0</v>
      </c>
    </row>
    <row r="116" spans="1:7" x14ac:dyDescent="0.25">
      <c r="A116">
        <v>18009</v>
      </c>
      <c r="B116" t="s">
        <v>10</v>
      </c>
      <c r="C116">
        <v>18</v>
      </c>
      <c r="D116" s="3">
        <f>in_parking_demand_data_ver1!D116*calibration!$I$31</f>
        <v>0</v>
      </c>
      <c r="E116" s="3">
        <f>in_parking_demand_data_ver1!E116*calibration!$I$31</f>
        <v>0</v>
      </c>
      <c r="F116" s="3">
        <f t="shared" si="1"/>
        <v>0</v>
      </c>
      <c r="G116">
        <v>0</v>
      </c>
    </row>
    <row r="117" spans="1:7" x14ac:dyDescent="0.25">
      <c r="A117">
        <v>18009</v>
      </c>
      <c r="B117" t="s">
        <v>10</v>
      </c>
      <c r="C117">
        <v>19</v>
      </c>
      <c r="D117" s="3">
        <f>in_parking_demand_data_ver1!D117*calibration!$I$31</f>
        <v>0</v>
      </c>
      <c r="E117" s="3">
        <f>in_parking_demand_data_ver1!E117*calibration!$I$31</f>
        <v>0</v>
      </c>
      <c r="F117" s="3">
        <f t="shared" si="1"/>
        <v>0</v>
      </c>
      <c r="G117">
        <v>0</v>
      </c>
    </row>
    <row r="118" spans="1:7" x14ac:dyDescent="0.25">
      <c r="A118">
        <v>18009</v>
      </c>
      <c r="B118" t="s">
        <v>10</v>
      </c>
      <c r="C118">
        <v>20</v>
      </c>
      <c r="D118" s="3">
        <f>in_parking_demand_data_ver1!D118*calibration!$I$31</f>
        <v>0</v>
      </c>
      <c r="E118" s="3">
        <f>in_parking_demand_data_ver1!E118*calibration!$I$31</f>
        <v>0</v>
      </c>
      <c r="F118" s="3">
        <f t="shared" si="1"/>
        <v>0</v>
      </c>
      <c r="G118">
        <v>0</v>
      </c>
    </row>
    <row r="119" spans="1:7" x14ac:dyDescent="0.25">
      <c r="A119">
        <v>18009</v>
      </c>
      <c r="B119" t="s">
        <v>10</v>
      </c>
      <c r="C119">
        <v>21</v>
      </c>
      <c r="D119" s="3">
        <f>in_parking_demand_data_ver1!D119*calibration!$I$31</f>
        <v>0</v>
      </c>
      <c r="E119" s="3">
        <f>in_parking_demand_data_ver1!E119*calibration!$I$31</f>
        <v>0</v>
      </c>
      <c r="F119" s="3">
        <f t="shared" si="1"/>
        <v>0</v>
      </c>
      <c r="G119">
        <v>0</v>
      </c>
    </row>
    <row r="120" spans="1:7" x14ac:dyDescent="0.25">
      <c r="A120">
        <v>18009</v>
      </c>
      <c r="B120" t="s">
        <v>10</v>
      </c>
      <c r="C120">
        <v>22</v>
      </c>
      <c r="D120" s="3">
        <f>in_parking_demand_data_ver1!D120*calibration!$I$31</f>
        <v>0</v>
      </c>
      <c r="E120" s="3">
        <f>in_parking_demand_data_ver1!E120*calibration!$I$31</f>
        <v>0</v>
      </c>
      <c r="F120" s="3">
        <f t="shared" si="1"/>
        <v>0</v>
      </c>
      <c r="G120">
        <v>0</v>
      </c>
    </row>
    <row r="121" spans="1:7" x14ac:dyDescent="0.25">
      <c r="A121">
        <v>18009</v>
      </c>
      <c r="B121" t="s">
        <v>10</v>
      </c>
      <c r="C121">
        <v>23</v>
      </c>
      <c r="D121" s="3">
        <f>in_parking_demand_data_ver1!D121*calibration!$I$31</f>
        <v>0</v>
      </c>
      <c r="E121" s="3">
        <f>in_parking_demand_data_ver1!E121*calibration!$I$31</f>
        <v>0</v>
      </c>
      <c r="F121" s="3">
        <f t="shared" si="1"/>
        <v>0</v>
      </c>
      <c r="G121">
        <v>0</v>
      </c>
    </row>
    <row r="122" spans="1:7" x14ac:dyDescent="0.25">
      <c r="A122">
        <v>18011</v>
      </c>
      <c r="B122" t="s">
        <v>11</v>
      </c>
      <c r="C122">
        <v>0</v>
      </c>
      <c r="D122" s="3">
        <f>in_parking_demand_data_ver1!D122*calibration!$I$31</f>
        <v>525.34599619414041</v>
      </c>
      <c r="E122" s="3">
        <f>in_parking_demand_data_ver1!E122*calibration!$I$31</f>
        <v>28.621923442380293</v>
      </c>
      <c r="F122" s="3">
        <f t="shared" si="1"/>
        <v>553.96791963652072</v>
      </c>
      <c r="G122">
        <v>550</v>
      </c>
    </row>
    <row r="123" spans="1:7" x14ac:dyDescent="0.25">
      <c r="A123">
        <v>18011</v>
      </c>
      <c r="B123" t="s">
        <v>11</v>
      </c>
      <c r="C123">
        <v>1</v>
      </c>
      <c r="D123" s="3">
        <f>in_parking_demand_data_ver1!D123*calibration!$I$31</f>
        <v>525.49455289020807</v>
      </c>
      <c r="E123" s="3">
        <f>in_parking_demand_data_ver1!E123*calibration!$I$31</f>
        <v>32.088246350627102</v>
      </c>
      <c r="F123" s="3">
        <f t="shared" si="1"/>
        <v>557.58279924083513</v>
      </c>
      <c r="G123">
        <v>550</v>
      </c>
    </row>
    <row r="124" spans="1:7" x14ac:dyDescent="0.25">
      <c r="A124">
        <v>18011</v>
      </c>
      <c r="B124" t="s">
        <v>11</v>
      </c>
      <c r="C124">
        <v>2</v>
      </c>
      <c r="D124" s="3">
        <f>in_parking_demand_data_ver1!D124*calibration!$I$31</f>
        <v>522.07774888065046</v>
      </c>
      <c r="E124" s="3">
        <f>in_parking_demand_data_ver1!E124*calibration!$I$31</f>
        <v>35.306974765427604</v>
      </c>
      <c r="F124" s="3">
        <f t="shared" si="1"/>
        <v>557.3847236460781</v>
      </c>
      <c r="G124">
        <v>550</v>
      </c>
    </row>
    <row r="125" spans="1:7" x14ac:dyDescent="0.25">
      <c r="A125">
        <v>18011</v>
      </c>
      <c r="B125" t="s">
        <v>11</v>
      </c>
      <c r="C125">
        <v>3</v>
      </c>
      <c r="D125" s="3">
        <f>in_parking_demand_data_ver1!D125*calibration!$I$31</f>
        <v>509.40091081620557</v>
      </c>
      <c r="E125" s="3">
        <f>in_parking_demand_data_ver1!E125*calibration!$I$31</f>
        <v>36.44590943528015</v>
      </c>
      <c r="F125" s="3">
        <f t="shared" si="1"/>
        <v>545.84682025148572</v>
      </c>
      <c r="G125">
        <v>550</v>
      </c>
    </row>
    <row r="126" spans="1:7" x14ac:dyDescent="0.25">
      <c r="A126">
        <v>18011</v>
      </c>
      <c r="B126" t="s">
        <v>11</v>
      </c>
      <c r="C126">
        <v>4</v>
      </c>
      <c r="D126" s="3">
        <f>in_parking_demand_data_ver1!D126*calibration!$I$31</f>
        <v>491.87122068021444</v>
      </c>
      <c r="E126" s="3">
        <f>in_parking_demand_data_ver1!E126*calibration!$I$31</f>
        <v>37.535325206443375</v>
      </c>
      <c r="F126" s="3">
        <f t="shared" si="1"/>
        <v>529.4065458866578</v>
      </c>
      <c r="G126">
        <v>550</v>
      </c>
    </row>
    <row r="127" spans="1:7" x14ac:dyDescent="0.25">
      <c r="A127">
        <v>18011</v>
      </c>
      <c r="B127" t="s">
        <v>11</v>
      </c>
      <c r="C127">
        <v>5</v>
      </c>
      <c r="D127" s="3">
        <f>in_parking_demand_data_ver1!D127*calibration!$I$31</f>
        <v>466.07187446312088</v>
      </c>
      <c r="E127" s="3">
        <f>in_parking_demand_data_ver1!E127*calibration!$I$31</f>
        <v>37.634363003821861</v>
      </c>
      <c r="F127" s="3">
        <f t="shared" si="1"/>
        <v>503.70623746694275</v>
      </c>
      <c r="G127">
        <v>550</v>
      </c>
    </row>
    <row r="128" spans="1:7" x14ac:dyDescent="0.25">
      <c r="A128">
        <v>18011</v>
      </c>
      <c r="B128" t="s">
        <v>11</v>
      </c>
      <c r="C128">
        <v>6</v>
      </c>
      <c r="D128" s="3">
        <f>in_parking_demand_data_ver1!D128*calibration!$I$31</f>
        <v>425.41685863925471</v>
      </c>
      <c r="E128" s="3">
        <f>in_parking_demand_data_ver1!E128*calibration!$I$31</f>
        <v>36.891579523483273</v>
      </c>
      <c r="F128" s="3">
        <f t="shared" si="1"/>
        <v>462.30843816273796</v>
      </c>
      <c r="G128">
        <v>550</v>
      </c>
    </row>
    <row r="129" spans="1:7" x14ac:dyDescent="0.25">
      <c r="A129">
        <v>18011</v>
      </c>
      <c r="B129" t="s">
        <v>11</v>
      </c>
      <c r="C129">
        <v>7</v>
      </c>
      <c r="D129" s="3">
        <f>in_parking_demand_data_ver1!D129*calibration!$I$31</f>
        <v>374.65998748278503</v>
      </c>
      <c r="E129" s="3">
        <f>in_parking_demand_data_ver1!E129*calibration!$I$31</f>
        <v>33.474775513925792</v>
      </c>
      <c r="F129" s="3">
        <f t="shared" si="1"/>
        <v>408.13476299671083</v>
      </c>
      <c r="G129">
        <v>550</v>
      </c>
    </row>
    <row r="130" spans="1:7" x14ac:dyDescent="0.25">
      <c r="A130">
        <v>18011</v>
      </c>
      <c r="B130" t="s">
        <v>11</v>
      </c>
      <c r="C130">
        <v>8</v>
      </c>
      <c r="D130" s="3">
        <f>in_parking_demand_data_ver1!D130*calibration!$I$31</f>
        <v>314.89067676487298</v>
      </c>
      <c r="E130" s="3">
        <f>in_parking_demand_data_ver1!E130*calibration!$I$31</f>
        <v>27.482988772527829</v>
      </c>
      <c r="F130" s="3">
        <f t="shared" si="1"/>
        <v>342.37366553740083</v>
      </c>
      <c r="G130">
        <v>550</v>
      </c>
    </row>
    <row r="131" spans="1:7" x14ac:dyDescent="0.25">
      <c r="A131">
        <v>18011</v>
      </c>
      <c r="B131" t="s">
        <v>11</v>
      </c>
      <c r="C131">
        <v>9</v>
      </c>
      <c r="D131" s="3">
        <f>in_parking_demand_data_ver1!D131*calibration!$I$31</f>
        <v>276.11737909119847</v>
      </c>
      <c r="E131" s="3">
        <f>in_parking_demand_data_ver1!E131*calibration!$I$31</f>
        <v>20.599861854723539</v>
      </c>
      <c r="F131" s="3">
        <f t="shared" ref="F131:F194" si="2">SUM(D131:E131)</f>
        <v>296.71724094592201</v>
      </c>
      <c r="G131">
        <v>550</v>
      </c>
    </row>
    <row r="132" spans="1:7" x14ac:dyDescent="0.25">
      <c r="A132">
        <v>18011</v>
      </c>
      <c r="B132" t="s">
        <v>11</v>
      </c>
      <c r="C132">
        <v>10</v>
      </c>
      <c r="D132" s="3">
        <f>in_parking_demand_data_ver1!D132*calibration!$I$31</f>
        <v>254.27954476924376</v>
      </c>
      <c r="E132" s="3">
        <f>in_parking_demand_data_ver1!E132*calibration!$I$31</f>
        <v>16.539312162205874</v>
      </c>
      <c r="F132" s="3">
        <f t="shared" si="2"/>
        <v>270.81885693144966</v>
      </c>
      <c r="G132">
        <v>550</v>
      </c>
    </row>
    <row r="133" spans="1:7" x14ac:dyDescent="0.25">
      <c r="A133">
        <v>18011</v>
      </c>
      <c r="B133" t="s">
        <v>11</v>
      </c>
      <c r="C133">
        <v>11</v>
      </c>
      <c r="D133" s="3">
        <f>in_parking_demand_data_ver1!D133*calibration!$I$31</f>
        <v>248.9315037108058</v>
      </c>
      <c r="E133" s="3">
        <f>in_parking_demand_data_ver1!E133*calibration!$I$31</f>
        <v>15.301339694974921</v>
      </c>
      <c r="F133" s="3">
        <f t="shared" si="2"/>
        <v>264.23284340578073</v>
      </c>
      <c r="G133">
        <v>550</v>
      </c>
    </row>
    <row r="134" spans="1:7" x14ac:dyDescent="0.25">
      <c r="A134">
        <v>18011</v>
      </c>
      <c r="B134" t="s">
        <v>11</v>
      </c>
      <c r="C134">
        <v>12</v>
      </c>
      <c r="D134" s="3">
        <f>in_parking_demand_data_ver1!D134*calibration!$I$31</f>
        <v>258.24105666438334</v>
      </c>
      <c r="E134" s="3">
        <f>in_parking_demand_data_ver1!E134*calibration!$I$31</f>
        <v>13.865291632986983</v>
      </c>
      <c r="F134" s="3">
        <f t="shared" si="2"/>
        <v>272.10634829737035</v>
      </c>
      <c r="G134">
        <v>550</v>
      </c>
    </row>
    <row r="135" spans="1:7" x14ac:dyDescent="0.25">
      <c r="A135">
        <v>18011</v>
      </c>
      <c r="B135" t="s">
        <v>11</v>
      </c>
      <c r="C135">
        <v>13</v>
      </c>
      <c r="D135" s="3">
        <f>in_parking_demand_data_ver1!D135*calibration!$I$31</f>
        <v>262.94535203986032</v>
      </c>
      <c r="E135" s="3">
        <f>in_parking_demand_data_ver1!E135*calibration!$I$31</f>
        <v>10.349449826051016</v>
      </c>
      <c r="F135" s="3">
        <f t="shared" si="2"/>
        <v>273.29480186591132</v>
      </c>
      <c r="G135">
        <v>550</v>
      </c>
    </row>
    <row r="136" spans="1:7" x14ac:dyDescent="0.25">
      <c r="A136">
        <v>18011</v>
      </c>
      <c r="B136" t="s">
        <v>11</v>
      </c>
      <c r="C136">
        <v>14</v>
      </c>
      <c r="D136" s="3">
        <f>in_parking_demand_data_ver1!D136*calibration!$I$31</f>
        <v>272.55201838557321</v>
      </c>
      <c r="E136" s="3">
        <f>in_parking_demand_data_ver1!E136*calibration!$I$31</f>
        <v>10.299930927361769</v>
      </c>
      <c r="F136" s="3">
        <f t="shared" si="2"/>
        <v>282.85194931293495</v>
      </c>
      <c r="G136">
        <v>550</v>
      </c>
    </row>
    <row r="137" spans="1:7" x14ac:dyDescent="0.25">
      <c r="A137">
        <v>18011</v>
      </c>
      <c r="B137" t="s">
        <v>11</v>
      </c>
      <c r="C137">
        <v>15</v>
      </c>
      <c r="D137" s="3">
        <f>in_parking_demand_data_ver1!D137*calibration!$I$31</f>
        <v>287.16009349889919</v>
      </c>
      <c r="E137" s="3">
        <f>in_parking_demand_data_ver1!E137*calibration!$I$31</f>
        <v>10.299930927361769</v>
      </c>
      <c r="F137" s="3">
        <f t="shared" si="2"/>
        <v>297.46002442626093</v>
      </c>
      <c r="G137">
        <v>550</v>
      </c>
    </row>
    <row r="138" spans="1:7" x14ac:dyDescent="0.25">
      <c r="A138">
        <v>18011</v>
      </c>
      <c r="B138" t="s">
        <v>11</v>
      </c>
      <c r="C138">
        <v>16</v>
      </c>
      <c r="D138" s="3">
        <f>in_parking_demand_data_ver1!D138*calibration!$I$31</f>
        <v>315.08875235963018</v>
      </c>
      <c r="E138" s="3">
        <f>in_parking_demand_data_ver1!E138*calibration!$I$31</f>
        <v>9.4085907509554438</v>
      </c>
      <c r="F138" s="3">
        <f t="shared" si="2"/>
        <v>324.49734311058563</v>
      </c>
      <c r="G138">
        <v>550</v>
      </c>
    </row>
    <row r="139" spans="1:7" x14ac:dyDescent="0.25">
      <c r="A139">
        <v>18011</v>
      </c>
      <c r="B139" t="s">
        <v>11</v>
      </c>
      <c r="C139">
        <v>17</v>
      </c>
      <c r="D139" s="3">
        <f>in_parking_demand_data_ver1!D139*calibration!$I$31</f>
        <v>353.614455539858</v>
      </c>
      <c r="E139" s="3">
        <f>in_parking_demand_data_ver1!E139*calibration!$I$31</f>
        <v>10.002817535226301</v>
      </c>
      <c r="F139" s="3">
        <f t="shared" si="2"/>
        <v>363.61727307508431</v>
      </c>
      <c r="G139">
        <v>550</v>
      </c>
    </row>
    <row r="140" spans="1:7" x14ac:dyDescent="0.25">
      <c r="A140">
        <v>18011</v>
      </c>
      <c r="B140" t="s">
        <v>11</v>
      </c>
      <c r="C140">
        <v>18</v>
      </c>
      <c r="D140" s="3">
        <f>in_parking_demand_data_ver1!D140*calibration!$I$31</f>
        <v>393.37813118731742</v>
      </c>
      <c r="E140" s="3">
        <f>in_parking_demand_data_ver1!E140*calibration!$I$31</f>
        <v>9.3590718522661991</v>
      </c>
      <c r="F140" s="3">
        <f t="shared" si="2"/>
        <v>402.73720303958362</v>
      </c>
      <c r="G140">
        <v>550</v>
      </c>
    </row>
    <row r="141" spans="1:7" x14ac:dyDescent="0.25">
      <c r="A141">
        <v>18011</v>
      </c>
      <c r="B141" t="s">
        <v>11</v>
      </c>
      <c r="C141">
        <v>19</v>
      </c>
      <c r="D141" s="3">
        <f>in_parking_demand_data_ver1!D141*calibration!$I$31</f>
        <v>431.95335326623479</v>
      </c>
      <c r="E141" s="3">
        <f>in_parking_demand_data_ver1!E141*calibration!$I$31</f>
        <v>10.448487623429504</v>
      </c>
      <c r="F141" s="3">
        <f t="shared" si="2"/>
        <v>442.4018408896643</v>
      </c>
      <c r="G141">
        <v>550</v>
      </c>
    </row>
    <row r="142" spans="1:7" x14ac:dyDescent="0.25">
      <c r="A142">
        <v>18011</v>
      </c>
      <c r="B142" t="s">
        <v>11</v>
      </c>
      <c r="C142">
        <v>20</v>
      </c>
      <c r="D142" s="3">
        <f>in_parking_demand_data_ver1!D142*calibration!$I$31</f>
        <v>465.32909098278174</v>
      </c>
      <c r="E142" s="3">
        <f>in_parking_demand_data_ver1!E142*calibration!$I$31</f>
        <v>15.895566479245774</v>
      </c>
      <c r="F142" s="3">
        <f t="shared" si="2"/>
        <v>481.22465746202749</v>
      </c>
      <c r="G142">
        <v>550</v>
      </c>
    </row>
    <row r="143" spans="1:7" x14ac:dyDescent="0.25">
      <c r="A143">
        <v>18011</v>
      </c>
      <c r="B143" t="s">
        <v>11</v>
      </c>
      <c r="C143">
        <v>21</v>
      </c>
      <c r="D143" s="3">
        <f>in_parking_demand_data_ver1!D143*calibration!$I$31</f>
        <v>494.84235460156907</v>
      </c>
      <c r="E143" s="3">
        <f>in_parking_demand_data_ver1!E143*calibration!$I$31</f>
        <v>21.738796524576006</v>
      </c>
      <c r="F143" s="3">
        <f t="shared" si="2"/>
        <v>516.58115112614507</v>
      </c>
      <c r="G143">
        <v>550</v>
      </c>
    </row>
    <row r="144" spans="1:7" x14ac:dyDescent="0.25">
      <c r="A144">
        <v>18011</v>
      </c>
      <c r="B144" t="s">
        <v>11</v>
      </c>
      <c r="C144">
        <v>22</v>
      </c>
      <c r="D144" s="3">
        <f>in_parking_demand_data_ver1!D144*calibration!$I$31</f>
        <v>509.45042971489426</v>
      </c>
      <c r="E144" s="3">
        <f>in_parking_demand_data_ver1!E144*calibration!$I$31</f>
        <v>22.333023308846943</v>
      </c>
      <c r="F144" s="3">
        <f t="shared" si="2"/>
        <v>531.78345302374123</v>
      </c>
      <c r="G144">
        <v>550</v>
      </c>
    </row>
    <row r="145" spans="1:7" x14ac:dyDescent="0.25">
      <c r="A145">
        <v>18011</v>
      </c>
      <c r="B145" t="s">
        <v>11</v>
      </c>
      <c r="C145">
        <v>23</v>
      </c>
      <c r="D145" s="3">
        <f>in_parking_demand_data_ver1!D145*calibration!$I$31</f>
        <v>520.1960307304596</v>
      </c>
      <c r="E145" s="3">
        <f>in_parking_demand_data_ver1!E145*calibration!$I$31</f>
        <v>24.462335952484224</v>
      </c>
      <c r="F145" s="3">
        <f t="shared" si="2"/>
        <v>544.65836668294378</v>
      </c>
      <c r="G145">
        <v>550</v>
      </c>
    </row>
    <row r="146" spans="1:7" x14ac:dyDescent="0.25">
      <c r="A146">
        <v>18013</v>
      </c>
      <c r="B146" t="s">
        <v>12</v>
      </c>
      <c r="C146">
        <v>0</v>
      </c>
      <c r="D146" s="3">
        <f>in_parking_demand_data_ver1!D146*calibration!$I$31</f>
        <v>0</v>
      </c>
      <c r="E146" s="3">
        <f>in_parking_demand_data_ver1!E146*calibration!$I$31</f>
        <v>0</v>
      </c>
      <c r="F146" s="3">
        <f t="shared" si="2"/>
        <v>0</v>
      </c>
      <c r="G146">
        <v>0</v>
      </c>
    </row>
    <row r="147" spans="1:7" x14ac:dyDescent="0.25">
      <c r="A147">
        <v>18013</v>
      </c>
      <c r="B147" t="s">
        <v>12</v>
      </c>
      <c r="C147">
        <v>1</v>
      </c>
      <c r="D147" s="3">
        <f>in_parking_demand_data_ver1!D147*calibration!$I$31</f>
        <v>0</v>
      </c>
      <c r="E147" s="3">
        <f>in_parking_demand_data_ver1!E147*calibration!$I$31</f>
        <v>0</v>
      </c>
      <c r="F147" s="3">
        <f t="shared" si="2"/>
        <v>0</v>
      </c>
      <c r="G147">
        <v>0</v>
      </c>
    </row>
    <row r="148" spans="1:7" x14ac:dyDescent="0.25">
      <c r="A148">
        <v>18013</v>
      </c>
      <c r="B148" t="s">
        <v>12</v>
      </c>
      <c r="C148">
        <v>2</v>
      </c>
      <c r="D148" s="3">
        <f>in_parking_demand_data_ver1!D148*calibration!$I$31</f>
        <v>0</v>
      </c>
      <c r="E148" s="3">
        <f>in_parking_demand_data_ver1!E148*calibration!$I$31</f>
        <v>0</v>
      </c>
      <c r="F148" s="3">
        <f t="shared" si="2"/>
        <v>0</v>
      </c>
      <c r="G148">
        <v>0</v>
      </c>
    </row>
    <row r="149" spans="1:7" x14ac:dyDescent="0.25">
      <c r="A149">
        <v>18013</v>
      </c>
      <c r="B149" t="s">
        <v>12</v>
      </c>
      <c r="C149">
        <v>3</v>
      </c>
      <c r="D149" s="3">
        <f>in_parking_demand_data_ver1!D149*calibration!$I$31</f>
        <v>0</v>
      </c>
      <c r="E149" s="3">
        <f>in_parking_demand_data_ver1!E149*calibration!$I$31</f>
        <v>0</v>
      </c>
      <c r="F149" s="3">
        <f t="shared" si="2"/>
        <v>0</v>
      </c>
      <c r="G149">
        <v>0</v>
      </c>
    </row>
    <row r="150" spans="1:7" x14ac:dyDescent="0.25">
      <c r="A150">
        <v>18013</v>
      </c>
      <c r="B150" t="s">
        <v>12</v>
      </c>
      <c r="C150">
        <v>4</v>
      </c>
      <c r="D150" s="3">
        <f>in_parking_demand_data_ver1!D150*calibration!$I$31</f>
        <v>0</v>
      </c>
      <c r="E150" s="3">
        <f>in_parking_demand_data_ver1!E150*calibration!$I$31</f>
        <v>0</v>
      </c>
      <c r="F150" s="3">
        <f t="shared" si="2"/>
        <v>0</v>
      </c>
      <c r="G150">
        <v>0</v>
      </c>
    </row>
    <row r="151" spans="1:7" x14ac:dyDescent="0.25">
      <c r="A151">
        <v>18013</v>
      </c>
      <c r="B151" t="s">
        <v>12</v>
      </c>
      <c r="C151">
        <v>5</v>
      </c>
      <c r="D151" s="3">
        <f>in_parking_demand_data_ver1!D151*calibration!$I$31</f>
        <v>0</v>
      </c>
      <c r="E151" s="3">
        <f>in_parking_demand_data_ver1!E151*calibration!$I$31</f>
        <v>0</v>
      </c>
      <c r="F151" s="3">
        <f t="shared" si="2"/>
        <v>0</v>
      </c>
      <c r="G151">
        <v>0</v>
      </c>
    </row>
    <row r="152" spans="1:7" x14ac:dyDescent="0.25">
      <c r="A152">
        <v>18013</v>
      </c>
      <c r="B152" t="s">
        <v>12</v>
      </c>
      <c r="C152">
        <v>6</v>
      </c>
      <c r="D152" s="3">
        <f>in_parking_demand_data_ver1!D152*calibration!$I$31</f>
        <v>0</v>
      </c>
      <c r="E152" s="3">
        <f>in_parking_demand_data_ver1!E152*calibration!$I$31</f>
        <v>0</v>
      </c>
      <c r="F152" s="3">
        <f t="shared" si="2"/>
        <v>0</v>
      </c>
      <c r="G152">
        <v>0</v>
      </c>
    </row>
    <row r="153" spans="1:7" x14ac:dyDescent="0.25">
      <c r="A153">
        <v>18013</v>
      </c>
      <c r="B153" t="s">
        <v>12</v>
      </c>
      <c r="C153">
        <v>7</v>
      </c>
      <c r="D153" s="3">
        <f>in_parking_demand_data_ver1!D153*calibration!$I$31</f>
        <v>0</v>
      </c>
      <c r="E153" s="3">
        <f>in_parking_demand_data_ver1!E153*calibration!$I$31</f>
        <v>0</v>
      </c>
      <c r="F153" s="3">
        <f t="shared" si="2"/>
        <v>0</v>
      </c>
      <c r="G153">
        <v>0</v>
      </c>
    </row>
    <row r="154" spans="1:7" x14ac:dyDescent="0.25">
      <c r="A154">
        <v>18013</v>
      </c>
      <c r="B154" t="s">
        <v>12</v>
      </c>
      <c r="C154">
        <v>8</v>
      </c>
      <c r="D154" s="3">
        <f>in_parking_demand_data_ver1!D154*calibration!$I$31</f>
        <v>0</v>
      </c>
      <c r="E154" s="3">
        <f>in_parking_demand_data_ver1!E154*calibration!$I$31</f>
        <v>0</v>
      </c>
      <c r="F154" s="3">
        <f t="shared" si="2"/>
        <v>0</v>
      </c>
      <c r="G154">
        <v>0</v>
      </c>
    </row>
    <row r="155" spans="1:7" x14ac:dyDescent="0.25">
      <c r="A155">
        <v>18013</v>
      </c>
      <c r="B155" t="s">
        <v>12</v>
      </c>
      <c r="C155">
        <v>9</v>
      </c>
      <c r="D155" s="3">
        <f>in_parking_demand_data_ver1!D155*calibration!$I$31</f>
        <v>0</v>
      </c>
      <c r="E155" s="3">
        <f>in_parking_demand_data_ver1!E155*calibration!$I$31</f>
        <v>0</v>
      </c>
      <c r="F155" s="3">
        <f t="shared" si="2"/>
        <v>0</v>
      </c>
      <c r="G155">
        <v>0</v>
      </c>
    </row>
    <row r="156" spans="1:7" x14ac:dyDescent="0.25">
      <c r="A156">
        <v>18013</v>
      </c>
      <c r="B156" t="s">
        <v>12</v>
      </c>
      <c r="C156">
        <v>10</v>
      </c>
      <c r="D156" s="3">
        <f>in_parking_demand_data_ver1!D156*calibration!$I$31</f>
        <v>0</v>
      </c>
      <c r="E156" s="3">
        <f>in_parking_demand_data_ver1!E156*calibration!$I$31</f>
        <v>0</v>
      </c>
      <c r="F156" s="3">
        <f t="shared" si="2"/>
        <v>0</v>
      </c>
      <c r="G156">
        <v>0</v>
      </c>
    </row>
    <row r="157" spans="1:7" x14ac:dyDescent="0.25">
      <c r="A157">
        <v>18013</v>
      </c>
      <c r="B157" t="s">
        <v>12</v>
      </c>
      <c r="C157">
        <v>11</v>
      </c>
      <c r="D157" s="3">
        <f>in_parking_demand_data_ver1!D157*calibration!$I$31</f>
        <v>0</v>
      </c>
      <c r="E157" s="3">
        <f>in_parking_demand_data_ver1!E157*calibration!$I$31</f>
        <v>0</v>
      </c>
      <c r="F157" s="3">
        <f t="shared" si="2"/>
        <v>0</v>
      </c>
      <c r="G157">
        <v>0</v>
      </c>
    </row>
    <row r="158" spans="1:7" x14ac:dyDescent="0.25">
      <c r="A158">
        <v>18013</v>
      </c>
      <c r="B158" t="s">
        <v>12</v>
      </c>
      <c r="C158">
        <v>12</v>
      </c>
      <c r="D158" s="3">
        <f>in_parking_demand_data_ver1!D158*calibration!$I$31</f>
        <v>0</v>
      </c>
      <c r="E158" s="3">
        <f>in_parking_demand_data_ver1!E158*calibration!$I$31</f>
        <v>0</v>
      </c>
      <c r="F158" s="3">
        <f t="shared" si="2"/>
        <v>0</v>
      </c>
      <c r="G158">
        <v>0</v>
      </c>
    </row>
    <row r="159" spans="1:7" x14ac:dyDescent="0.25">
      <c r="A159">
        <v>18013</v>
      </c>
      <c r="B159" t="s">
        <v>12</v>
      </c>
      <c r="C159">
        <v>13</v>
      </c>
      <c r="D159" s="3">
        <f>in_parking_demand_data_ver1!D159*calibration!$I$31</f>
        <v>0</v>
      </c>
      <c r="E159" s="3">
        <f>in_parking_demand_data_ver1!E159*calibration!$I$31</f>
        <v>0</v>
      </c>
      <c r="F159" s="3">
        <f t="shared" si="2"/>
        <v>0</v>
      </c>
      <c r="G159">
        <v>0</v>
      </c>
    </row>
    <row r="160" spans="1:7" x14ac:dyDescent="0.25">
      <c r="A160">
        <v>18013</v>
      </c>
      <c r="B160" t="s">
        <v>12</v>
      </c>
      <c r="C160">
        <v>14</v>
      </c>
      <c r="D160" s="3">
        <f>in_parking_demand_data_ver1!D160*calibration!$I$31</f>
        <v>0</v>
      </c>
      <c r="E160" s="3">
        <f>in_parking_demand_data_ver1!E160*calibration!$I$31</f>
        <v>0</v>
      </c>
      <c r="F160" s="3">
        <f t="shared" si="2"/>
        <v>0</v>
      </c>
      <c r="G160">
        <v>0</v>
      </c>
    </row>
    <row r="161" spans="1:7" x14ac:dyDescent="0.25">
      <c r="A161">
        <v>18013</v>
      </c>
      <c r="B161" t="s">
        <v>12</v>
      </c>
      <c r="C161">
        <v>15</v>
      </c>
      <c r="D161" s="3">
        <f>in_parking_demand_data_ver1!D161*calibration!$I$31</f>
        <v>0</v>
      </c>
      <c r="E161" s="3">
        <f>in_parking_demand_data_ver1!E161*calibration!$I$31</f>
        <v>0</v>
      </c>
      <c r="F161" s="3">
        <f t="shared" si="2"/>
        <v>0</v>
      </c>
      <c r="G161">
        <v>0</v>
      </c>
    </row>
    <row r="162" spans="1:7" x14ac:dyDescent="0.25">
      <c r="A162">
        <v>18013</v>
      </c>
      <c r="B162" t="s">
        <v>12</v>
      </c>
      <c r="C162">
        <v>16</v>
      </c>
      <c r="D162" s="3">
        <f>in_parking_demand_data_ver1!D162*calibration!$I$31</f>
        <v>0</v>
      </c>
      <c r="E162" s="3">
        <f>in_parking_demand_data_ver1!E162*calibration!$I$31</f>
        <v>0</v>
      </c>
      <c r="F162" s="3">
        <f t="shared" si="2"/>
        <v>0</v>
      </c>
      <c r="G162">
        <v>0</v>
      </c>
    </row>
    <row r="163" spans="1:7" x14ac:dyDescent="0.25">
      <c r="A163">
        <v>18013</v>
      </c>
      <c r="B163" t="s">
        <v>12</v>
      </c>
      <c r="C163">
        <v>17</v>
      </c>
      <c r="D163" s="3">
        <f>in_parking_demand_data_ver1!D163*calibration!$I$31</f>
        <v>0</v>
      </c>
      <c r="E163" s="3">
        <f>in_parking_demand_data_ver1!E163*calibration!$I$31</f>
        <v>0</v>
      </c>
      <c r="F163" s="3">
        <f t="shared" si="2"/>
        <v>0</v>
      </c>
      <c r="G163">
        <v>0</v>
      </c>
    </row>
    <row r="164" spans="1:7" x14ac:dyDescent="0.25">
      <c r="A164">
        <v>18013</v>
      </c>
      <c r="B164" t="s">
        <v>12</v>
      </c>
      <c r="C164">
        <v>18</v>
      </c>
      <c r="D164" s="3">
        <f>in_parking_demand_data_ver1!D164*calibration!$I$31</f>
        <v>0</v>
      </c>
      <c r="E164" s="3">
        <f>in_parking_demand_data_ver1!E164*calibration!$I$31</f>
        <v>0</v>
      </c>
      <c r="F164" s="3">
        <f t="shared" si="2"/>
        <v>0</v>
      </c>
      <c r="G164">
        <v>0</v>
      </c>
    </row>
    <row r="165" spans="1:7" x14ac:dyDescent="0.25">
      <c r="A165">
        <v>18013</v>
      </c>
      <c r="B165" t="s">
        <v>12</v>
      </c>
      <c r="C165">
        <v>19</v>
      </c>
      <c r="D165" s="3">
        <f>in_parking_demand_data_ver1!D165*calibration!$I$31</f>
        <v>0</v>
      </c>
      <c r="E165" s="3">
        <f>in_parking_demand_data_ver1!E165*calibration!$I$31</f>
        <v>0</v>
      </c>
      <c r="F165" s="3">
        <f t="shared" si="2"/>
        <v>0</v>
      </c>
      <c r="G165">
        <v>0</v>
      </c>
    </row>
    <row r="166" spans="1:7" x14ac:dyDescent="0.25">
      <c r="A166">
        <v>18013</v>
      </c>
      <c r="B166" t="s">
        <v>12</v>
      </c>
      <c r="C166">
        <v>20</v>
      </c>
      <c r="D166" s="3">
        <f>in_parking_demand_data_ver1!D166*calibration!$I$31</f>
        <v>0</v>
      </c>
      <c r="E166" s="3">
        <f>in_parking_demand_data_ver1!E166*calibration!$I$31</f>
        <v>0</v>
      </c>
      <c r="F166" s="3">
        <f t="shared" si="2"/>
        <v>0</v>
      </c>
      <c r="G166">
        <v>0</v>
      </c>
    </row>
    <row r="167" spans="1:7" x14ac:dyDescent="0.25">
      <c r="A167">
        <v>18013</v>
      </c>
      <c r="B167" t="s">
        <v>12</v>
      </c>
      <c r="C167">
        <v>21</v>
      </c>
      <c r="D167" s="3">
        <f>in_parking_demand_data_ver1!D167*calibration!$I$31</f>
        <v>0</v>
      </c>
      <c r="E167" s="3">
        <f>in_parking_demand_data_ver1!E167*calibration!$I$31</f>
        <v>0</v>
      </c>
      <c r="F167" s="3">
        <f t="shared" si="2"/>
        <v>0</v>
      </c>
      <c r="G167">
        <v>0</v>
      </c>
    </row>
    <row r="168" spans="1:7" x14ac:dyDescent="0.25">
      <c r="A168">
        <v>18013</v>
      </c>
      <c r="B168" t="s">
        <v>12</v>
      </c>
      <c r="C168">
        <v>22</v>
      </c>
      <c r="D168" s="3">
        <f>in_parking_demand_data_ver1!D168*calibration!$I$31</f>
        <v>0</v>
      </c>
      <c r="E168" s="3">
        <f>in_parking_demand_data_ver1!E168*calibration!$I$31</f>
        <v>0</v>
      </c>
      <c r="F168" s="3">
        <f t="shared" si="2"/>
        <v>0</v>
      </c>
      <c r="G168">
        <v>0</v>
      </c>
    </row>
    <row r="169" spans="1:7" x14ac:dyDescent="0.25">
      <c r="A169">
        <v>18013</v>
      </c>
      <c r="B169" t="s">
        <v>12</v>
      </c>
      <c r="C169">
        <v>23</v>
      </c>
      <c r="D169" s="3">
        <f>in_parking_demand_data_ver1!D169*calibration!$I$31</f>
        <v>0</v>
      </c>
      <c r="E169" s="3">
        <f>in_parking_demand_data_ver1!E169*calibration!$I$31</f>
        <v>0</v>
      </c>
      <c r="F169" s="3">
        <f t="shared" si="2"/>
        <v>0</v>
      </c>
      <c r="G169">
        <v>0</v>
      </c>
    </row>
    <row r="170" spans="1:7" x14ac:dyDescent="0.25">
      <c r="A170">
        <v>18015</v>
      </c>
      <c r="B170" t="s">
        <v>13</v>
      </c>
      <c r="C170">
        <v>0</v>
      </c>
      <c r="D170" s="3">
        <f>in_parking_demand_data_ver1!D170*calibration!$I$31</f>
        <v>0</v>
      </c>
      <c r="E170" s="3">
        <f>in_parking_demand_data_ver1!E170*calibration!$I$31</f>
        <v>0.24603887973973176</v>
      </c>
      <c r="F170" s="3">
        <f t="shared" si="2"/>
        <v>0.24603887973973176</v>
      </c>
      <c r="G170">
        <v>0</v>
      </c>
    </row>
    <row r="171" spans="1:7" x14ac:dyDescent="0.25">
      <c r="A171">
        <v>18015</v>
      </c>
      <c r="B171" t="s">
        <v>13</v>
      </c>
      <c r="C171">
        <v>1</v>
      </c>
      <c r="D171" s="3">
        <f>in_parking_demand_data_ver1!D171*calibration!$I$31</f>
        <v>0</v>
      </c>
      <c r="E171" s="3">
        <f>in_parking_demand_data_ver1!E171*calibration!$I$31</f>
        <v>0.24603887973973176</v>
      </c>
      <c r="F171" s="3">
        <f t="shared" si="2"/>
        <v>0.24603887973973176</v>
      </c>
      <c r="G171">
        <v>0</v>
      </c>
    </row>
    <row r="172" spans="1:7" x14ac:dyDescent="0.25">
      <c r="A172">
        <v>18015</v>
      </c>
      <c r="B172" t="s">
        <v>13</v>
      </c>
      <c r="C172">
        <v>2</v>
      </c>
      <c r="D172" s="3">
        <f>in_parking_demand_data_ver1!D172*calibration!$I$31</f>
        <v>0</v>
      </c>
      <c r="E172" s="3">
        <f>in_parking_demand_data_ver1!E172*calibration!$I$31</f>
        <v>0.24603887973973176</v>
      </c>
      <c r="F172" s="3">
        <f t="shared" si="2"/>
        <v>0.24603887973973176</v>
      </c>
      <c r="G172">
        <v>0</v>
      </c>
    </row>
    <row r="173" spans="1:7" x14ac:dyDescent="0.25">
      <c r="A173">
        <v>18015</v>
      </c>
      <c r="B173" t="s">
        <v>13</v>
      </c>
      <c r="C173">
        <v>3</v>
      </c>
      <c r="D173" s="3">
        <f>in_parking_demand_data_ver1!D173*calibration!$I$31</f>
        <v>0</v>
      </c>
      <c r="E173" s="3">
        <f>in_parking_demand_data_ver1!E173*calibration!$I$31</f>
        <v>0.24603887973973176</v>
      </c>
      <c r="F173" s="3">
        <f t="shared" si="2"/>
        <v>0.24603887973973176</v>
      </c>
      <c r="G173">
        <v>0</v>
      </c>
    </row>
    <row r="174" spans="1:7" x14ac:dyDescent="0.25">
      <c r="A174">
        <v>18015</v>
      </c>
      <c r="B174" t="s">
        <v>13</v>
      </c>
      <c r="C174">
        <v>4</v>
      </c>
      <c r="D174" s="3">
        <f>in_parking_demand_data_ver1!D174*calibration!$I$31</f>
        <v>0</v>
      </c>
      <c r="E174" s="3">
        <f>in_parking_demand_data_ver1!E174*calibration!$I$31</f>
        <v>0.24603887973973176</v>
      </c>
      <c r="F174" s="3">
        <f t="shared" si="2"/>
        <v>0.24603887973973176</v>
      </c>
      <c r="G174">
        <v>0</v>
      </c>
    </row>
    <row r="175" spans="1:7" x14ac:dyDescent="0.25">
      <c r="A175">
        <v>18015</v>
      </c>
      <c r="B175" t="s">
        <v>13</v>
      </c>
      <c r="C175">
        <v>5</v>
      </c>
      <c r="D175" s="3">
        <f>in_parking_demand_data_ver1!D175*calibration!$I$31</f>
        <v>0</v>
      </c>
      <c r="E175" s="3">
        <f>in_parking_demand_data_ver1!E175*calibration!$I$31</f>
        <v>0.20503239978310966</v>
      </c>
      <c r="F175" s="3">
        <f t="shared" si="2"/>
        <v>0.20503239978310966</v>
      </c>
      <c r="G175">
        <v>0</v>
      </c>
    </row>
    <row r="176" spans="1:7" x14ac:dyDescent="0.25">
      <c r="A176">
        <v>18015</v>
      </c>
      <c r="B176" t="s">
        <v>13</v>
      </c>
      <c r="C176">
        <v>6</v>
      </c>
      <c r="D176" s="3">
        <f>in_parking_demand_data_ver1!D176*calibration!$I$31</f>
        <v>0</v>
      </c>
      <c r="E176" s="3">
        <f>in_parking_demand_data_ver1!E176*calibration!$I$31</f>
        <v>0.16402591982648757</v>
      </c>
      <c r="F176" s="3">
        <f t="shared" si="2"/>
        <v>0.16402591982648757</v>
      </c>
      <c r="G176">
        <v>0</v>
      </c>
    </row>
    <row r="177" spans="1:7" x14ac:dyDescent="0.25">
      <c r="A177">
        <v>18015</v>
      </c>
      <c r="B177" t="s">
        <v>13</v>
      </c>
      <c r="C177">
        <v>7</v>
      </c>
      <c r="D177" s="3">
        <f>in_parking_demand_data_ver1!D177*calibration!$I$31</f>
        <v>0</v>
      </c>
      <c r="E177" s="3">
        <f>in_parking_demand_data_ver1!E177*calibration!$I$31</f>
        <v>1.0661684788721695</v>
      </c>
      <c r="F177" s="3">
        <f t="shared" si="2"/>
        <v>1.0661684788721695</v>
      </c>
      <c r="G177">
        <v>0</v>
      </c>
    </row>
    <row r="178" spans="1:7" x14ac:dyDescent="0.25">
      <c r="A178">
        <v>18015</v>
      </c>
      <c r="B178" t="s">
        <v>13</v>
      </c>
      <c r="C178">
        <v>8</v>
      </c>
      <c r="D178" s="3">
        <f>in_parking_demand_data_ver1!D178*calibration!$I$31</f>
        <v>0</v>
      </c>
      <c r="E178" s="3">
        <f>in_parking_demand_data_ver1!E178*calibration!$I$31</f>
        <v>1.5172397583950159</v>
      </c>
      <c r="F178" s="3">
        <f t="shared" si="2"/>
        <v>1.5172397583950159</v>
      </c>
      <c r="G178">
        <v>0</v>
      </c>
    </row>
    <row r="179" spans="1:7" x14ac:dyDescent="0.25">
      <c r="A179">
        <v>18015</v>
      </c>
      <c r="B179" t="s">
        <v>13</v>
      </c>
      <c r="C179">
        <v>9</v>
      </c>
      <c r="D179" s="3">
        <f>in_parking_demand_data_ver1!D179*calibration!$I$31</f>
        <v>0</v>
      </c>
      <c r="E179" s="3">
        <f>in_parking_demand_data_ver1!E179*calibration!$I$31</f>
        <v>1.681265678221501</v>
      </c>
      <c r="F179" s="3">
        <f t="shared" si="2"/>
        <v>1.681265678221501</v>
      </c>
      <c r="G179">
        <v>0</v>
      </c>
    </row>
    <row r="180" spans="1:7" x14ac:dyDescent="0.25">
      <c r="A180">
        <v>18015</v>
      </c>
      <c r="B180" t="s">
        <v>13</v>
      </c>
      <c r="C180">
        <v>10</v>
      </c>
      <c r="D180" s="3">
        <f>in_parking_demand_data_ver1!D180*calibration!$I$31</f>
        <v>0</v>
      </c>
      <c r="E180" s="3">
        <f>in_parking_demand_data_ver1!E180*calibration!$I$31</f>
        <v>1.8862980780046115</v>
      </c>
      <c r="F180" s="3">
        <f t="shared" si="2"/>
        <v>1.8862980780046115</v>
      </c>
      <c r="G180">
        <v>0</v>
      </c>
    </row>
    <row r="181" spans="1:7" x14ac:dyDescent="0.25">
      <c r="A181">
        <v>18015</v>
      </c>
      <c r="B181" t="s">
        <v>13</v>
      </c>
      <c r="C181">
        <v>11</v>
      </c>
      <c r="D181" s="3">
        <f>in_parking_demand_data_ver1!D181*calibration!$I$31</f>
        <v>0</v>
      </c>
      <c r="E181" s="3">
        <f>in_parking_demand_data_ver1!E181*calibration!$I$31</f>
        <v>2.2553563976142068</v>
      </c>
      <c r="F181" s="3">
        <f t="shared" si="2"/>
        <v>2.2553563976142068</v>
      </c>
      <c r="G181">
        <v>0</v>
      </c>
    </row>
    <row r="182" spans="1:7" x14ac:dyDescent="0.25">
      <c r="A182">
        <v>18015</v>
      </c>
      <c r="B182" t="s">
        <v>13</v>
      </c>
      <c r="C182">
        <v>12</v>
      </c>
      <c r="D182" s="3">
        <f>in_parking_demand_data_ver1!D182*calibration!$I$31</f>
        <v>0</v>
      </c>
      <c r="E182" s="3">
        <f>in_parking_demand_data_ver1!E182*calibration!$I$31</f>
        <v>2.2963628775708322</v>
      </c>
      <c r="F182" s="3">
        <f t="shared" si="2"/>
        <v>2.2963628775708322</v>
      </c>
      <c r="G182">
        <v>0</v>
      </c>
    </row>
    <row r="183" spans="1:7" x14ac:dyDescent="0.25">
      <c r="A183">
        <v>18015</v>
      </c>
      <c r="B183" t="s">
        <v>13</v>
      </c>
      <c r="C183">
        <v>13</v>
      </c>
      <c r="D183" s="3">
        <f>in_parking_demand_data_ver1!D183*calibration!$I$31</f>
        <v>0</v>
      </c>
      <c r="E183" s="3">
        <f>in_parking_demand_data_ver1!E183*calibration!$I$31</f>
        <v>0.98415551895892706</v>
      </c>
      <c r="F183" s="3">
        <f t="shared" si="2"/>
        <v>0.98415551895892706</v>
      </c>
      <c r="G183">
        <v>0</v>
      </c>
    </row>
    <row r="184" spans="1:7" x14ac:dyDescent="0.25">
      <c r="A184">
        <v>18015</v>
      </c>
      <c r="B184" t="s">
        <v>13</v>
      </c>
      <c r="C184">
        <v>14</v>
      </c>
      <c r="D184" s="3">
        <f>in_parking_demand_data_ver1!D184*calibration!$I$31</f>
        <v>0</v>
      </c>
      <c r="E184" s="3">
        <f>in_parking_demand_data_ver1!E184*calibration!$I$31</f>
        <v>0.32805183965297596</v>
      </c>
      <c r="F184" s="3">
        <f t="shared" si="2"/>
        <v>0.32805183965297596</v>
      </c>
      <c r="G184">
        <v>0</v>
      </c>
    </row>
    <row r="185" spans="1:7" x14ac:dyDescent="0.25">
      <c r="A185">
        <v>18015</v>
      </c>
      <c r="B185" t="s">
        <v>13</v>
      </c>
      <c r="C185">
        <v>15</v>
      </c>
      <c r="D185" s="3">
        <f>in_parking_demand_data_ver1!D185*calibration!$I$31</f>
        <v>0</v>
      </c>
      <c r="E185" s="3">
        <f>in_parking_demand_data_ver1!E185*calibration!$I$31</f>
        <v>0.20503239978310966</v>
      </c>
      <c r="F185" s="3">
        <f t="shared" si="2"/>
        <v>0.20503239978310966</v>
      </c>
      <c r="G185">
        <v>0</v>
      </c>
    </row>
    <row r="186" spans="1:7" x14ac:dyDescent="0.25">
      <c r="A186">
        <v>18015</v>
      </c>
      <c r="B186" t="s">
        <v>13</v>
      </c>
      <c r="C186">
        <v>16</v>
      </c>
      <c r="D186" s="3">
        <f>in_parking_demand_data_ver1!D186*calibration!$I$31</f>
        <v>0</v>
      </c>
      <c r="E186" s="3">
        <f>in_parking_demand_data_ver1!E186*calibration!$I$31</f>
        <v>0</v>
      </c>
      <c r="F186" s="3">
        <f t="shared" si="2"/>
        <v>0</v>
      </c>
      <c r="G186">
        <v>0</v>
      </c>
    </row>
    <row r="187" spans="1:7" x14ac:dyDescent="0.25">
      <c r="A187">
        <v>18015</v>
      </c>
      <c r="B187" t="s">
        <v>13</v>
      </c>
      <c r="C187">
        <v>17</v>
      </c>
      <c r="D187" s="3">
        <f>in_parking_demand_data_ver1!D187*calibration!$I$31</f>
        <v>0</v>
      </c>
      <c r="E187" s="3">
        <f>in_parking_demand_data_ver1!E187*calibration!$I$31</f>
        <v>0</v>
      </c>
      <c r="F187" s="3">
        <f t="shared" si="2"/>
        <v>0</v>
      </c>
      <c r="G187">
        <v>0</v>
      </c>
    </row>
    <row r="188" spans="1:7" x14ac:dyDescent="0.25">
      <c r="A188">
        <v>18015</v>
      </c>
      <c r="B188" t="s">
        <v>13</v>
      </c>
      <c r="C188">
        <v>18</v>
      </c>
      <c r="D188" s="3">
        <f>in_parking_demand_data_ver1!D188*calibration!$I$31</f>
        <v>0</v>
      </c>
      <c r="E188" s="3">
        <f>in_parking_demand_data_ver1!E188*calibration!$I$31</f>
        <v>0</v>
      </c>
      <c r="F188" s="3">
        <f t="shared" si="2"/>
        <v>0</v>
      </c>
      <c r="G188">
        <v>0</v>
      </c>
    </row>
    <row r="189" spans="1:7" x14ac:dyDescent="0.25">
      <c r="A189">
        <v>18015</v>
      </c>
      <c r="B189" t="s">
        <v>13</v>
      </c>
      <c r="C189">
        <v>19</v>
      </c>
      <c r="D189" s="3">
        <f>in_parking_demand_data_ver1!D189*calibration!$I$31</f>
        <v>0</v>
      </c>
      <c r="E189" s="3">
        <f>in_parking_demand_data_ver1!E189*calibration!$I$31</f>
        <v>0</v>
      </c>
      <c r="F189" s="3">
        <f t="shared" si="2"/>
        <v>0</v>
      </c>
      <c r="G189">
        <v>0</v>
      </c>
    </row>
    <row r="190" spans="1:7" x14ac:dyDescent="0.25">
      <c r="A190">
        <v>18015</v>
      </c>
      <c r="B190" t="s">
        <v>13</v>
      </c>
      <c r="C190">
        <v>20</v>
      </c>
      <c r="D190" s="3">
        <f>in_parking_demand_data_ver1!D190*calibration!$I$31</f>
        <v>0</v>
      </c>
      <c r="E190" s="3">
        <f>in_parking_demand_data_ver1!E190*calibration!$I$31</f>
        <v>8.2012959913244102E-2</v>
      </c>
      <c r="F190" s="3">
        <f t="shared" si="2"/>
        <v>8.2012959913244102E-2</v>
      </c>
      <c r="G190">
        <v>0</v>
      </c>
    </row>
    <row r="191" spans="1:7" x14ac:dyDescent="0.25">
      <c r="A191">
        <v>18015</v>
      </c>
      <c r="B191" t="s">
        <v>13</v>
      </c>
      <c r="C191">
        <v>21</v>
      </c>
      <c r="D191" s="3">
        <f>in_parking_demand_data_ver1!D191*calibration!$I$31</f>
        <v>0</v>
      </c>
      <c r="E191" s="3">
        <f>in_parking_demand_data_ver1!E191*calibration!$I$31</f>
        <v>8.2012959913244102E-2</v>
      </c>
      <c r="F191" s="3">
        <f t="shared" si="2"/>
        <v>8.2012959913244102E-2</v>
      </c>
      <c r="G191">
        <v>0</v>
      </c>
    </row>
    <row r="192" spans="1:7" x14ac:dyDescent="0.25">
      <c r="A192">
        <v>18015</v>
      </c>
      <c r="B192" t="s">
        <v>13</v>
      </c>
      <c r="C192">
        <v>22</v>
      </c>
      <c r="D192" s="3">
        <f>in_parking_demand_data_ver1!D192*calibration!$I$31</f>
        <v>0</v>
      </c>
      <c r="E192" s="3">
        <f>in_parking_demand_data_ver1!E192*calibration!$I$31</f>
        <v>0.16402591982648757</v>
      </c>
      <c r="F192" s="3">
        <f t="shared" si="2"/>
        <v>0.16402591982648757</v>
      </c>
      <c r="G192">
        <v>0</v>
      </c>
    </row>
    <row r="193" spans="1:7" x14ac:dyDescent="0.25">
      <c r="A193">
        <v>18015</v>
      </c>
      <c r="B193" t="s">
        <v>13</v>
      </c>
      <c r="C193">
        <v>23</v>
      </c>
      <c r="D193" s="3">
        <f>in_parking_demand_data_ver1!D193*calibration!$I$31</f>
        <v>0</v>
      </c>
      <c r="E193" s="3">
        <f>in_parking_demand_data_ver1!E193*calibration!$I$31</f>
        <v>0.24603887973973176</v>
      </c>
      <c r="F193" s="3">
        <f t="shared" si="2"/>
        <v>0.24603887973973176</v>
      </c>
      <c r="G193">
        <v>0</v>
      </c>
    </row>
    <row r="194" spans="1:7" x14ac:dyDescent="0.25">
      <c r="A194">
        <v>18017</v>
      </c>
      <c r="B194" t="s">
        <v>14</v>
      </c>
      <c r="C194">
        <v>0</v>
      </c>
      <c r="D194" s="3">
        <f>in_parking_demand_data_ver1!D194*calibration!$I$31</f>
        <v>31.853733093645861</v>
      </c>
      <c r="E194" s="3">
        <f>in_parking_demand_data_ver1!E194*calibration!$I$31</f>
        <v>3.8858486598990121</v>
      </c>
      <c r="F194" s="3">
        <f t="shared" si="2"/>
        <v>35.739581753544876</v>
      </c>
      <c r="G194">
        <v>41</v>
      </c>
    </row>
    <row r="195" spans="1:7" x14ac:dyDescent="0.25">
      <c r="A195">
        <v>18017</v>
      </c>
      <c r="B195" t="s">
        <v>14</v>
      </c>
      <c r="C195">
        <v>1</v>
      </c>
      <c r="D195" s="3">
        <f>in_parking_demand_data_ver1!D195*calibration!$I$31</f>
        <v>31.802603506015597</v>
      </c>
      <c r="E195" s="3">
        <f>in_parking_demand_data_ver1!E195*calibration!$I$31</f>
        <v>3.8858486598990121</v>
      </c>
      <c r="F195" s="3">
        <f t="shared" ref="F195:F258" si="3">SUM(D195:E195)</f>
        <v>35.688452165914612</v>
      </c>
      <c r="G195">
        <v>41</v>
      </c>
    </row>
    <row r="196" spans="1:7" x14ac:dyDescent="0.25">
      <c r="A196">
        <v>18017</v>
      </c>
      <c r="B196" t="s">
        <v>14</v>
      </c>
      <c r="C196">
        <v>2</v>
      </c>
      <c r="D196" s="3">
        <f>in_parking_demand_data_ver1!D196*calibration!$I$31</f>
        <v>31.546955567864384</v>
      </c>
      <c r="E196" s="3">
        <f>in_parking_demand_data_ver1!E196*calibration!$I$31</f>
        <v>3.8858486598990121</v>
      </c>
      <c r="F196" s="3">
        <f t="shared" si="3"/>
        <v>35.432804227763398</v>
      </c>
      <c r="G196">
        <v>41</v>
      </c>
    </row>
    <row r="197" spans="1:7" x14ac:dyDescent="0.25">
      <c r="A197">
        <v>18017</v>
      </c>
      <c r="B197" t="s">
        <v>14</v>
      </c>
      <c r="C197">
        <v>3</v>
      </c>
      <c r="D197" s="3">
        <f>in_parking_demand_data_ver1!D197*calibration!$I$31</f>
        <v>30.88227092867109</v>
      </c>
      <c r="E197" s="3">
        <f>in_parking_demand_data_ver1!E197*calibration!$I$31</f>
        <v>3.8858486598990121</v>
      </c>
      <c r="F197" s="3">
        <f t="shared" si="3"/>
        <v>34.768119588570102</v>
      </c>
      <c r="G197">
        <v>41</v>
      </c>
    </row>
    <row r="198" spans="1:7" x14ac:dyDescent="0.25">
      <c r="A198">
        <v>18017</v>
      </c>
      <c r="B198" t="s">
        <v>14</v>
      </c>
      <c r="C198">
        <v>4</v>
      </c>
      <c r="D198" s="3">
        <f>in_parking_demand_data_ver1!D198*calibration!$I$31</f>
        <v>30.013067938956837</v>
      </c>
      <c r="E198" s="3">
        <f>in_parking_demand_data_ver1!E198*calibration!$I$31</f>
        <v>4.1414965980502609</v>
      </c>
      <c r="F198" s="3">
        <f t="shared" si="3"/>
        <v>34.154564537007097</v>
      </c>
      <c r="G198">
        <v>41</v>
      </c>
    </row>
    <row r="199" spans="1:7" x14ac:dyDescent="0.25">
      <c r="A199">
        <v>18017</v>
      </c>
      <c r="B199" t="s">
        <v>14</v>
      </c>
      <c r="C199">
        <v>5</v>
      </c>
      <c r="D199" s="3">
        <f>in_parking_demand_data_ver1!D199*calibration!$I$31</f>
        <v>28.530309897679551</v>
      </c>
      <c r="E199" s="3">
        <f>in_parking_demand_data_ver1!E199*calibration!$I$31</f>
        <v>4.3460149485712671</v>
      </c>
      <c r="F199" s="3">
        <f t="shared" si="3"/>
        <v>32.876324846250817</v>
      </c>
      <c r="G199">
        <v>41</v>
      </c>
    </row>
    <row r="200" spans="1:7" x14ac:dyDescent="0.25">
      <c r="A200">
        <v>18017</v>
      </c>
      <c r="B200" t="s">
        <v>14</v>
      </c>
      <c r="C200">
        <v>6</v>
      </c>
      <c r="D200" s="3">
        <f>in_parking_demand_data_ver1!D200*calibration!$I$31</f>
        <v>28.683698660570332</v>
      </c>
      <c r="E200" s="3">
        <f>in_parking_demand_data_ver1!E200*calibration!$I$31</f>
        <v>2.7609977320335046</v>
      </c>
      <c r="F200" s="3">
        <f t="shared" si="3"/>
        <v>31.444696392603838</v>
      </c>
      <c r="G200">
        <v>41</v>
      </c>
    </row>
    <row r="201" spans="1:7" x14ac:dyDescent="0.25">
      <c r="A201">
        <v>18017</v>
      </c>
      <c r="B201" t="s">
        <v>14</v>
      </c>
      <c r="C201">
        <v>7</v>
      </c>
      <c r="D201" s="3">
        <f>in_parking_demand_data_ver1!D201*calibration!$I$31</f>
        <v>25.564793815125071</v>
      </c>
      <c r="E201" s="3">
        <f>in_parking_demand_data_ver1!E201*calibration!$I$31</f>
        <v>1.0225917526050043</v>
      </c>
      <c r="F201" s="3">
        <f t="shared" si="3"/>
        <v>26.587385567730074</v>
      </c>
      <c r="G201">
        <v>41</v>
      </c>
    </row>
    <row r="202" spans="1:7" x14ac:dyDescent="0.25">
      <c r="A202">
        <v>18017</v>
      </c>
      <c r="B202" t="s">
        <v>14</v>
      </c>
      <c r="C202">
        <v>8</v>
      </c>
      <c r="D202" s="3">
        <f>in_parking_demand_data_ver1!D202*calibration!$I$31</f>
        <v>18.508910722150549</v>
      </c>
      <c r="E202" s="3">
        <f>in_parking_demand_data_ver1!E202*calibration!$I$31</f>
        <v>1.942924329949506</v>
      </c>
      <c r="F202" s="3">
        <f t="shared" si="3"/>
        <v>20.451835052100055</v>
      </c>
      <c r="G202">
        <v>41</v>
      </c>
    </row>
    <row r="203" spans="1:7" x14ac:dyDescent="0.25">
      <c r="A203">
        <v>18017</v>
      </c>
      <c r="B203" t="s">
        <v>14</v>
      </c>
      <c r="C203">
        <v>9</v>
      </c>
      <c r="D203" s="3">
        <f>in_parking_demand_data_ver1!D203*calibration!$I$31</f>
        <v>14.265154948839735</v>
      </c>
      <c r="E203" s="3">
        <f>in_parking_demand_data_ver1!E203*calibration!$I$31</f>
        <v>2.4542202062520038</v>
      </c>
      <c r="F203" s="3">
        <f t="shared" si="3"/>
        <v>16.71937515509174</v>
      </c>
      <c r="G203">
        <v>41</v>
      </c>
    </row>
    <row r="204" spans="1:7" x14ac:dyDescent="0.25">
      <c r="A204">
        <v>18017</v>
      </c>
      <c r="B204" t="s">
        <v>14</v>
      </c>
      <c r="C204">
        <v>10</v>
      </c>
      <c r="D204" s="3">
        <f>in_parking_demand_data_ver1!D204*calibration!$I$31</f>
        <v>12.884656082823055</v>
      </c>
      <c r="E204" s="3">
        <f>in_parking_demand_data_ver1!E204*calibration!$I$31</f>
        <v>3.1700344330755077</v>
      </c>
      <c r="F204" s="3">
        <f t="shared" si="3"/>
        <v>16.054690515898564</v>
      </c>
      <c r="G204">
        <v>41</v>
      </c>
    </row>
    <row r="205" spans="1:7" x14ac:dyDescent="0.25">
      <c r="A205">
        <v>18017</v>
      </c>
      <c r="B205" t="s">
        <v>14</v>
      </c>
      <c r="C205">
        <v>11</v>
      </c>
      <c r="D205" s="3">
        <f>in_parking_demand_data_ver1!D205*calibration!$I$31</f>
        <v>12.475619381780975</v>
      </c>
      <c r="E205" s="3">
        <f>in_parking_demand_data_ver1!E205*calibration!$I$31</f>
        <v>4.1414965980502609</v>
      </c>
      <c r="F205" s="3">
        <f t="shared" si="3"/>
        <v>16.617115979831237</v>
      </c>
      <c r="G205">
        <v>41</v>
      </c>
    </row>
    <row r="206" spans="1:7" x14ac:dyDescent="0.25">
      <c r="A206">
        <v>18017</v>
      </c>
      <c r="B206" t="s">
        <v>14</v>
      </c>
      <c r="C206">
        <v>12</v>
      </c>
      <c r="D206" s="3">
        <f>in_parking_demand_data_ver1!D206*calibration!$I$31</f>
        <v>12.680137732302015</v>
      </c>
      <c r="E206" s="3">
        <f>in_parking_demand_data_ver1!E206*calibration!$I$31</f>
        <v>3.8347190722687601</v>
      </c>
      <c r="F206" s="3">
        <f t="shared" si="3"/>
        <v>16.514856804570776</v>
      </c>
      <c r="G206">
        <v>41</v>
      </c>
    </row>
    <row r="207" spans="1:7" x14ac:dyDescent="0.25">
      <c r="A207">
        <v>18017</v>
      </c>
      <c r="B207" t="s">
        <v>14</v>
      </c>
      <c r="C207">
        <v>13</v>
      </c>
      <c r="D207" s="3">
        <f>in_parking_demand_data_ver1!D207*calibration!$I$31</f>
        <v>13.14030402097427</v>
      </c>
      <c r="E207" s="3">
        <f>in_parking_demand_data_ver1!E207*calibration!$I$31</f>
        <v>3.1700344330755077</v>
      </c>
      <c r="F207" s="3">
        <f t="shared" si="3"/>
        <v>16.310338454049777</v>
      </c>
      <c r="G207">
        <v>41</v>
      </c>
    </row>
    <row r="208" spans="1:7" x14ac:dyDescent="0.25">
      <c r="A208">
        <v>18017</v>
      </c>
      <c r="B208" t="s">
        <v>14</v>
      </c>
      <c r="C208">
        <v>14</v>
      </c>
      <c r="D208" s="3">
        <f>in_parking_demand_data_ver1!D208*calibration!$I$31</f>
        <v>11.913193917848284</v>
      </c>
      <c r="E208" s="3">
        <f>in_parking_demand_data_ver1!E208*calibration!$I$31</f>
        <v>2.7098681444032611</v>
      </c>
      <c r="F208" s="3">
        <f t="shared" si="3"/>
        <v>14.623062062251545</v>
      </c>
      <c r="G208">
        <v>41</v>
      </c>
    </row>
    <row r="209" spans="1:7" x14ac:dyDescent="0.25">
      <c r="A209">
        <v>18017</v>
      </c>
      <c r="B209" t="s">
        <v>14</v>
      </c>
      <c r="C209">
        <v>15</v>
      </c>
      <c r="D209" s="3">
        <f>in_parking_demand_data_ver1!D209*calibration!$I$31</f>
        <v>12.731267319932273</v>
      </c>
      <c r="E209" s="3">
        <f>in_parking_demand_data_ver1!E209*calibration!$I$31</f>
        <v>2.9143864949242588</v>
      </c>
      <c r="F209" s="3">
        <f t="shared" si="3"/>
        <v>15.645653814856532</v>
      </c>
      <c r="G209">
        <v>41</v>
      </c>
    </row>
    <row r="210" spans="1:7" x14ac:dyDescent="0.25">
      <c r="A210">
        <v>18017</v>
      </c>
      <c r="B210" t="s">
        <v>14</v>
      </c>
      <c r="C210">
        <v>16</v>
      </c>
      <c r="D210" s="3">
        <f>in_parking_demand_data_ver1!D210*calibration!$I$31</f>
        <v>14.929839588033031</v>
      </c>
      <c r="E210" s="3">
        <f>in_parking_demand_data_ver1!E210*calibration!$I$31</f>
        <v>3.7324598970082659</v>
      </c>
      <c r="F210" s="3">
        <f t="shared" si="3"/>
        <v>18.662299485041299</v>
      </c>
      <c r="G210">
        <v>41</v>
      </c>
    </row>
    <row r="211" spans="1:7" x14ac:dyDescent="0.25">
      <c r="A211">
        <v>18017</v>
      </c>
      <c r="B211" t="s">
        <v>14</v>
      </c>
      <c r="C211">
        <v>17</v>
      </c>
      <c r="D211" s="3">
        <f>in_parking_demand_data_ver1!D211*calibration!$I$31</f>
        <v>17.435189381915261</v>
      </c>
      <c r="E211" s="3">
        <f>in_parking_demand_data_ver1!E211*calibration!$I$31</f>
        <v>4.0903670104200174</v>
      </c>
      <c r="F211" s="3">
        <f t="shared" si="3"/>
        <v>21.525556392335279</v>
      </c>
      <c r="G211">
        <v>41</v>
      </c>
    </row>
    <row r="212" spans="1:7" x14ac:dyDescent="0.25">
      <c r="A212">
        <v>18017</v>
      </c>
      <c r="B212" t="s">
        <v>14</v>
      </c>
      <c r="C212">
        <v>18</v>
      </c>
      <c r="D212" s="3">
        <f>in_parking_demand_data_ver1!D212*calibration!$I$31</f>
        <v>19.122465773713582</v>
      </c>
      <c r="E212" s="3">
        <f>in_parking_demand_data_ver1!E212*calibration!$I$31</f>
        <v>3.8347190722687601</v>
      </c>
      <c r="F212" s="3">
        <f t="shared" si="3"/>
        <v>22.957184845982344</v>
      </c>
      <c r="G212">
        <v>41</v>
      </c>
    </row>
    <row r="213" spans="1:7" x14ac:dyDescent="0.25">
      <c r="A213">
        <v>18017</v>
      </c>
      <c r="B213" t="s">
        <v>14</v>
      </c>
      <c r="C213">
        <v>19</v>
      </c>
      <c r="D213" s="3">
        <f>in_parking_demand_data_ver1!D213*calibration!$I$31</f>
        <v>21.781204330486592</v>
      </c>
      <c r="E213" s="3">
        <f>in_parking_demand_data_ver1!E213*calibration!$I$31</f>
        <v>3.6813303093780143</v>
      </c>
      <c r="F213" s="3">
        <f t="shared" si="3"/>
        <v>25.462534639864607</v>
      </c>
      <c r="G213">
        <v>41</v>
      </c>
    </row>
    <row r="214" spans="1:7" x14ac:dyDescent="0.25">
      <c r="A214">
        <v>18017</v>
      </c>
      <c r="B214" t="s">
        <v>14</v>
      </c>
      <c r="C214">
        <v>20</v>
      </c>
      <c r="D214" s="3">
        <f>in_parking_demand_data_ver1!D214*calibration!$I$31</f>
        <v>24.593331650150301</v>
      </c>
      <c r="E214" s="3">
        <f>in_parking_demand_data_ver1!E214*calibration!$I$31</f>
        <v>3.2722936083360108</v>
      </c>
      <c r="F214" s="3">
        <f t="shared" si="3"/>
        <v>27.865625258486311</v>
      </c>
      <c r="G214">
        <v>41</v>
      </c>
    </row>
    <row r="215" spans="1:7" x14ac:dyDescent="0.25">
      <c r="A215">
        <v>18017</v>
      </c>
      <c r="B215" t="s">
        <v>14</v>
      </c>
      <c r="C215">
        <v>21</v>
      </c>
      <c r="D215" s="3">
        <f>in_parking_demand_data_ver1!D215*calibration!$I$31</f>
        <v>28.019014021377124</v>
      </c>
      <c r="E215" s="3">
        <f>in_parking_demand_data_ver1!E215*calibration!$I$31</f>
        <v>3.5279415464872601</v>
      </c>
      <c r="F215" s="3">
        <f t="shared" si="3"/>
        <v>31.546955567864384</v>
      </c>
      <c r="G215">
        <v>41</v>
      </c>
    </row>
    <row r="216" spans="1:7" x14ac:dyDescent="0.25">
      <c r="A216">
        <v>18017</v>
      </c>
      <c r="B216" t="s">
        <v>14</v>
      </c>
      <c r="C216">
        <v>22</v>
      </c>
      <c r="D216" s="3">
        <f>in_parking_demand_data_ver1!D216*calibration!$I$31</f>
        <v>29.859679176066063</v>
      </c>
      <c r="E216" s="3">
        <f>in_parking_demand_data_ver1!E216*calibration!$I$31</f>
        <v>3.7324598970082659</v>
      </c>
      <c r="F216" s="3">
        <f t="shared" si="3"/>
        <v>33.592139073074328</v>
      </c>
      <c r="G216">
        <v>41</v>
      </c>
    </row>
    <row r="217" spans="1:7" x14ac:dyDescent="0.25">
      <c r="A217">
        <v>18017</v>
      </c>
      <c r="B217" t="s">
        <v>14</v>
      </c>
      <c r="C217">
        <v>23</v>
      </c>
      <c r="D217" s="3">
        <f>in_parking_demand_data_ver1!D217*calibration!$I$31</f>
        <v>31.70034433075508</v>
      </c>
      <c r="E217" s="3">
        <f>in_parking_demand_data_ver1!E217*calibration!$I$31</f>
        <v>3.8858486598990121</v>
      </c>
      <c r="F217" s="3">
        <f t="shared" si="3"/>
        <v>35.586192990654091</v>
      </c>
      <c r="G217">
        <v>41</v>
      </c>
    </row>
    <row r="218" spans="1:7" x14ac:dyDescent="0.25">
      <c r="A218">
        <v>18019</v>
      </c>
      <c r="B218" t="s">
        <v>15</v>
      </c>
      <c r="C218">
        <v>0</v>
      </c>
      <c r="D218" s="3">
        <f>in_parking_demand_data_ver1!D218*calibration!$I$31</f>
        <v>320.57390247511211</v>
      </c>
      <c r="E218" s="3">
        <f>in_parking_demand_data_ver1!E218*calibration!$I$31</f>
        <v>24.896967983994504</v>
      </c>
      <c r="F218" s="3">
        <f t="shared" si="3"/>
        <v>345.47087045910661</v>
      </c>
      <c r="G218">
        <v>571</v>
      </c>
    </row>
    <row r="219" spans="1:7" x14ac:dyDescent="0.25">
      <c r="A219">
        <v>18019</v>
      </c>
      <c r="B219" t="s">
        <v>15</v>
      </c>
      <c r="C219">
        <v>1</v>
      </c>
      <c r="D219" s="3">
        <f>in_parking_demand_data_ver1!D219*calibration!$I$31</f>
        <v>321.65932887223391</v>
      </c>
      <c r="E219" s="3">
        <f>in_parking_demand_data_ver1!E219*calibration!$I$31</f>
        <v>26.626866304408328</v>
      </c>
      <c r="F219" s="3">
        <f t="shared" si="3"/>
        <v>348.28619517664225</v>
      </c>
      <c r="G219">
        <v>571</v>
      </c>
    </row>
    <row r="220" spans="1:7" x14ac:dyDescent="0.25">
      <c r="A220">
        <v>18019</v>
      </c>
      <c r="B220" t="s">
        <v>15</v>
      </c>
      <c r="C220">
        <v>2</v>
      </c>
      <c r="D220" s="3">
        <f>in_parking_demand_data_ver1!D220*calibration!$I$31</f>
        <v>320.84525907439257</v>
      </c>
      <c r="E220" s="3">
        <f>in_parking_demand_data_ver1!E220*calibration!$I$31</f>
        <v>27.915810150991106</v>
      </c>
      <c r="F220" s="3">
        <f t="shared" si="3"/>
        <v>348.76106922538366</v>
      </c>
      <c r="G220">
        <v>571</v>
      </c>
    </row>
    <row r="221" spans="1:7" x14ac:dyDescent="0.25">
      <c r="A221">
        <v>18019</v>
      </c>
      <c r="B221" t="s">
        <v>15</v>
      </c>
      <c r="C221">
        <v>3</v>
      </c>
      <c r="D221" s="3">
        <f>in_parking_demand_data_ver1!D221*calibration!$I$31</f>
        <v>317.24978413392427</v>
      </c>
      <c r="E221" s="3">
        <f>in_parking_demand_data_ver1!E221*calibration!$I$31</f>
        <v>28.594201649192566</v>
      </c>
      <c r="F221" s="3">
        <f t="shared" si="3"/>
        <v>345.84398578311681</v>
      </c>
      <c r="G221">
        <v>571</v>
      </c>
    </row>
    <row r="222" spans="1:7" x14ac:dyDescent="0.25">
      <c r="A222">
        <v>18019</v>
      </c>
      <c r="B222" t="s">
        <v>15</v>
      </c>
      <c r="C222">
        <v>4</v>
      </c>
      <c r="D222" s="3">
        <f>in_parking_demand_data_ver1!D222*calibration!$I$31</f>
        <v>308.87164913113605</v>
      </c>
      <c r="E222" s="3">
        <f>in_parking_demand_data_ver1!E222*calibration!$I$31</f>
        <v>29.035156123023537</v>
      </c>
      <c r="F222" s="3">
        <f t="shared" si="3"/>
        <v>337.90680525415956</v>
      </c>
      <c r="G222">
        <v>571</v>
      </c>
    </row>
    <row r="223" spans="1:7" x14ac:dyDescent="0.25">
      <c r="A223">
        <v>18019</v>
      </c>
      <c r="B223" t="s">
        <v>15</v>
      </c>
      <c r="C223">
        <v>5</v>
      </c>
      <c r="D223" s="3">
        <f>in_parking_demand_data_ver1!D223*calibration!$I$31</f>
        <v>291.77618337645833</v>
      </c>
      <c r="E223" s="3">
        <f>in_parking_demand_data_ver1!E223*calibration!$I$31</f>
        <v>30.425858694336583</v>
      </c>
      <c r="F223" s="3">
        <f t="shared" si="3"/>
        <v>322.2020420707949</v>
      </c>
      <c r="G223">
        <v>571</v>
      </c>
    </row>
    <row r="224" spans="1:7" x14ac:dyDescent="0.25">
      <c r="A224">
        <v>18019</v>
      </c>
      <c r="B224" t="s">
        <v>15</v>
      </c>
      <c r="C224">
        <v>6</v>
      </c>
      <c r="D224" s="3">
        <f>in_parking_demand_data_ver1!D224*calibration!$I$31</f>
        <v>272.7133822769967</v>
      </c>
      <c r="E224" s="3">
        <f>in_parking_demand_data_ver1!E224*calibration!$I$31</f>
        <v>32.83414851295187</v>
      </c>
      <c r="F224" s="3">
        <f t="shared" si="3"/>
        <v>305.54753078994855</v>
      </c>
      <c r="G224">
        <v>571</v>
      </c>
    </row>
    <row r="225" spans="1:7" x14ac:dyDescent="0.25">
      <c r="A225">
        <v>18019</v>
      </c>
      <c r="B225" t="s">
        <v>15</v>
      </c>
      <c r="C225">
        <v>7</v>
      </c>
      <c r="D225" s="3">
        <f>in_parking_demand_data_ver1!D225*calibration!$I$31</f>
        <v>233.57019283077079</v>
      </c>
      <c r="E225" s="3">
        <f>in_parking_demand_data_ver1!E225*calibration!$I$31</f>
        <v>26.084153105847086</v>
      </c>
      <c r="F225" s="3">
        <f t="shared" si="3"/>
        <v>259.65434593661786</v>
      </c>
      <c r="G225">
        <v>571</v>
      </c>
    </row>
    <row r="226" spans="1:7" x14ac:dyDescent="0.25">
      <c r="A226">
        <v>18019</v>
      </c>
      <c r="B226" t="s">
        <v>15</v>
      </c>
      <c r="C226">
        <v>8</v>
      </c>
      <c r="D226" s="3">
        <f>in_parking_demand_data_ver1!D226*calibration!$I$31</f>
        <v>189.47474544767428</v>
      </c>
      <c r="E226" s="3">
        <f>in_parking_demand_data_ver1!E226*calibration!$I$31</f>
        <v>18.587927050720687</v>
      </c>
      <c r="F226" s="3">
        <f t="shared" si="3"/>
        <v>208.06267249839496</v>
      </c>
      <c r="G226">
        <v>571</v>
      </c>
    </row>
    <row r="227" spans="1:7" x14ac:dyDescent="0.25">
      <c r="A227">
        <v>18019</v>
      </c>
      <c r="B227" t="s">
        <v>15</v>
      </c>
      <c r="C227">
        <v>9</v>
      </c>
      <c r="D227" s="3">
        <f>in_parking_demand_data_ver1!D227*calibration!$I$31</f>
        <v>157.01371225873314</v>
      </c>
      <c r="E227" s="3">
        <f>in_parking_demand_data_ver1!E227*calibration!$I$31</f>
        <v>15.84044148300462</v>
      </c>
      <c r="F227" s="3">
        <f t="shared" si="3"/>
        <v>172.85415374173775</v>
      </c>
      <c r="G227">
        <v>571</v>
      </c>
    </row>
    <row r="228" spans="1:7" x14ac:dyDescent="0.25">
      <c r="A228">
        <v>18019</v>
      </c>
      <c r="B228" t="s">
        <v>15</v>
      </c>
      <c r="C228">
        <v>10</v>
      </c>
      <c r="D228" s="3">
        <f>in_parking_demand_data_ver1!D228*calibration!$I$31</f>
        <v>143.85291719362496</v>
      </c>
      <c r="E228" s="3">
        <f>in_parking_demand_data_ver1!E228*calibration!$I$31</f>
        <v>11.837931643615899</v>
      </c>
      <c r="F228" s="3">
        <f t="shared" si="3"/>
        <v>155.69084883724085</v>
      </c>
      <c r="G228">
        <v>571</v>
      </c>
    </row>
    <row r="229" spans="1:7" x14ac:dyDescent="0.25">
      <c r="A229">
        <v>18019</v>
      </c>
      <c r="B229" t="s">
        <v>15</v>
      </c>
      <c r="C229">
        <v>11</v>
      </c>
      <c r="D229" s="3">
        <f>in_parking_demand_data_ver1!D229*calibration!$I$31</f>
        <v>148.29638150684454</v>
      </c>
      <c r="E229" s="3">
        <f>in_parking_demand_data_ver1!E229*calibration!$I$31</f>
        <v>11.396977169784934</v>
      </c>
      <c r="F229" s="3">
        <f t="shared" si="3"/>
        <v>159.69335867662949</v>
      </c>
      <c r="G229">
        <v>571</v>
      </c>
    </row>
    <row r="230" spans="1:7" x14ac:dyDescent="0.25">
      <c r="A230">
        <v>18019</v>
      </c>
      <c r="B230" t="s">
        <v>15</v>
      </c>
      <c r="C230">
        <v>12</v>
      </c>
      <c r="D230" s="3">
        <f>in_parking_demand_data_ver1!D230*calibration!$I$31</f>
        <v>146.53256361152035</v>
      </c>
      <c r="E230" s="3">
        <f>in_parking_demand_data_ver1!E230*calibration!$I$31</f>
        <v>10.481148647212885</v>
      </c>
      <c r="F230" s="3">
        <f t="shared" si="3"/>
        <v>157.01371225873322</v>
      </c>
      <c r="G230">
        <v>571</v>
      </c>
    </row>
    <row r="231" spans="1:7" x14ac:dyDescent="0.25">
      <c r="A231">
        <v>18019</v>
      </c>
      <c r="B231" t="s">
        <v>15</v>
      </c>
      <c r="C231">
        <v>13</v>
      </c>
      <c r="D231" s="3">
        <f>in_parking_demand_data_ver1!D231*calibration!$I$31</f>
        <v>140.96975332626815</v>
      </c>
      <c r="E231" s="3">
        <f>in_parking_demand_data_ver1!E231*calibration!$I$31</f>
        <v>7.9711001038674567</v>
      </c>
      <c r="F231" s="3">
        <f t="shared" si="3"/>
        <v>148.9408534301356</v>
      </c>
      <c r="G231">
        <v>571</v>
      </c>
    </row>
    <row r="232" spans="1:7" x14ac:dyDescent="0.25">
      <c r="A232">
        <v>18019</v>
      </c>
      <c r="B232" t="s">
        <v>15</v>
      </c>
      <c r="C232">
        <v>14</v>
      </c>
      <c r="D232" s="3">
        <f>in_parking_demand_data_ver1!D232*calibration!$I$31</f>
        <v>142.63181249686164</v>
      </c>
      <c r="E232" s="3">
        <f>in_parking_demand_data_ver1!E232*calibration!$I$31</f>
        <v>5.2914536859715886</v>
      </c>
      <c r="F232" s="3">
        <f t="shared" si="3"/>
        <v>147.92326618283323</v>
      </c>
      <c r="G232">
        <v>571</v>
      </c>
    </row>
    <row r="233" spans="1:7" x14ac:dyDescent="0.25">
      <c r="A233">
        <v>18019</v>
      </c>
      <c r="B233" t="s">
        <v>15</v>
      </c>
      <c r="C233">
        <v>15</v>
      </c>
      <c r="D233" s="3">
        <f>in_parking_demand_data_ver1!D233*calibration!$I$31</f>
        <v>151.95969559713274</v>
      </c>
      <c r="E233" s="3">
        <f>in_parking_demand_data_ver1!E233*calibration!$I$31</f>
        <v>4.714820912500322</v>
      </c>
      <c r="F233" s="3">
        <f t="shared" si="3"/>
        <v>156.67451650963307</v>
      </c>
      <c r="G233">
        <v>571</v>
      </c>
    </row>
    <row r="234" spans="1:7" x14ac:dyDescent="0.25">
      <c r="A234">
        <v>18019</v>
      </c>
      <c r="B234" t="s">
        <v>15</v>
      </c>
      <c r="C234">
        <v>16</v>
      </c>
      <c r="D234" s="3">
        <f>in_parking_demand_data_ver1!D234*calibration!$I$31</f>
        <v>169.19083965145023</v>
      </c>
      <c r="E234" s="3">
        <f>in_parking_demand_data_ver1!E234*calibration!$I$31</f>
        <v>4.7487404874103989</v>
      </c>
      <c r="F234" s="3">
        <f t="shared" si="3"/>
        <v>173.93958013886063</v>
      </c>
      <c r="G234">
        <v>571</v>
      </c>
    </row>
    <row r="235" spans="1:7" x14ac:dyDescent="0.25">
      <c r="A235">
        <v>18019</v>
      </c>
      <c r="B235" t="s">
        <v>15</v>
      </c>
      <c r="C235">
        <v>17</v>
      </c>
      <c r="D235" s="3">
        <f>in_parking_demand_data_ver1!D235*calibration!$I$31</f>
        <v>193.34157698742305</v>
      </c>
      <c r="E235" s="3">
        <f>in_parking_demand_data_ver1!E235*calibration!$I$31</f>
        <v>5.1896949612413641</v>
      </c>
      <c r="F235" s="3">
        <f t="shared" si="3"/>
        <v>198.53127194866443</v>
      </c>
      <c r="G235">
        <v>571</v>
      </c>
    </row>
    <row r="236" spans="1:7" x14ac:dyDescent="0.25">
      <c r="A236">
        <v>18019</v>
      </c>
      <c r="B236" t="s">
        <v>15</v>
      </c>
      <c r="C236">
        <v>18</v>
      </c>
      <c r="D236" s="3">
        <f>in_parking_demand_data_ver1!D236*calibration!$I$31</f>
        <v>222.47849183517721</v>
      </c>
      <c r="E236" s="3">
        <f>in_parking_demand_data_ver1!E236*calibration!$I$31</f>
        <v>7.6997435045868619</v>
      </c>
      <c r="F236" s="3">
        <f t="shared" si="3"/>
        <v>230.17823533976406</v>
      </c>
      <c r="G236">
        <v>571</v>
      </c>
    </row>
    <row r="237" spans="1:7" x14ac:dyDescent="0.25">
      <c r="A237">
        <v>18019</v>
      </c>
      <c r="B237" t="s">
        <v>15</v>
      </c>
      <c r="C237">
        <v>19</v>
      </c>
      <c r="D237" s="3">
        <f>in_parking_demand_data_ver1!D237*calibration!$I$31</f>
        <v>252.22595903131216</v>
      </c>
      <c r="E237" s="3">
        <f>in_parking_demand_data_ver1!E237*calibration!$I$31</f>
        <v>11.125620570504315</v>
      </c>
      <c r="F237" s="3">
        <f t="shared" si="3"/>
        <v>263.35157960181647</v>
      </c>
      <c r="G237">
        <v>571</v>
      </c>
    </row>
    <row r="238" spans="1:7" x14ac:dyDescent="0.25">
      <c r="A238">
        <v>18019</v>
      </c>
      <c r="B238" t="s">
        <v>15</v>
      </c>
      <c r="C238">
        <v>20</v>
      </c>
      <c r="D238" s="3">
        <f>in_parking_demand_data_ver1!D238*calibration!$I$31</f>
        <v>277.29252488985702</v>
      </c>
      <c r="E238" s="3">
        <f>in_parking_demand_data_ver1!E238*calibration!$I$31</f>
        <v>14.551497636421844</v>
      </c>
      <c r="F238" s="3">
        <f t="shared" si="3"/>
        <v>291.84402252627888</v>
      </c>
      <c r="G238">
        <v>571</v>
      </c>
    </row>
    <row r="239" spans="1:7" x14ac:dyDescent="0.25">
      <c r="A239">
        <v>18019</v>
      </c>
      <c r="B239" t="s">
        <v>15</v>
      </c>
      <c r="C239">
        <v>21</v>
      </c>
      <c r="D239" s="3">
        <f>in_parking_demand_data_ver1!D239*calibration!$I$31</f>
        <v>294.0487948954335</v>
      </c>
      <c r="E239" s="3">
        <f>in_parking_demand_data_ver1!E239*calibration!$I$31</f>
        <v>17.434661503778134</v>
      </c>
      <c r="F239" s="3">
        <f t="shared" si="3"/>
        <v>311.48345639921166</v>
      </c>
      <c r="G239">
        <v>571</v>
      </c>
    </row>
    <row r="240" spans="1:7" x14ac:dyDescent="0.25">
      <c r="A240">
        <v>18019</v>
      </c>
      <c r="B240" t="s">
        <v>15</v>
      </c>
      <c r="C240">
        <v>22</v>
      </c>
      <c r="D240" s="3">
        <f>in_parking_demand_data_ver1!D240*calibration!$I$31</f>
        <v>306.73471591180152</v>
      </c>
      <c r="E240" s="3">
        <f>in_parking_demand_data_ver1!E240*calibration!$I$31</f>
        <v>20.1821470714942</v>
      </c>
      <c r="F240" s="3">
        <f t="shared" si="3"/>
        <v>326.91686298329569</v>
      </c>
      <c r="G240">
        <v>571</v>
      </c>
    </row>
    <row r="241" spans="1:7" x14ac:dyDescent="0.25">
      <c r="A241">
        <v>18019</v>
      </c>
      <c r="B241" t="s">
        <v>15</v>
      </c>
      <c r="C241">
        <v>23</v>
      </c>
      <c r="D241" s="3">
        <f>in_parking_demand_data_ver1!D241*calibration!$I$31</f>
        <v>315.55380538842081</v>
      </c>
      <c r="E241" s="3">
        <f>in_parking_demand_data_ver1!E241*calibration!$I$31</f>
        <v>22.624356465019524</v>
      </c>
      <c r="F241" s="3">
        <f t="shared" si="3"/>
        <v>338.17816185344032</v>
      </c>
      <c r="G241">
        <v>571</v>
      </c>
    </row>
    <row r="242" spans="1:7" x14ac:dyDescent="0.25">
      <c r="A242">
        <v>18021</v>
      </c>
      <c r="B242" t="s">
        <v>16</v>
      </c>
      <c r="C242">
        <v>0</v>
      </c>
      <c r="D242" s="3">
        <f>in_parking_demand_data_ver1!D242*calibration!$I$31</f>
        <v>255.37521662264942</v>
      </c>
      <c r="E242" s="3">
        <f>in_parking_demand_data_ver1!E242*calibration!$I$31</f>
        <v>16.9230127209998</v>
      </c>
      <c r="F242" s="3">
        <f t="shared" si="3"/>
        <v>272.29822934364921</v>
      </c>
      <c r="G242">
        <v>277</v>
      </c>
    </row>
    <row r="243" spans="1:7" x14ac:dyDescent="0.25">
      <c r="A243">
        <v>18021</v>
      </c>
      <c r="B243" t="s">
        <v>16</v>
      </c>
      <c r="C243">
        <v>1</v>
      </c>
      <c r="D243" s="3">
        <f>in_parking_demand_data_ver1!D243*calibration!$I$31</f>
        <v>253.75246197817017</v>
      </c>
      <c r="E243" s="3">
        <f>in_parking_demand_data_ver1!E243*calibration!$I$31</f>
        <v>19.102140386443626</v>
      </c>
      <c r="F243" s="3">
        <f t="shared" si="3"/>
        <v>272.85460236461381</v>
      </c>
      <c r="G243">
        <v>277</v>
      </c>
    </row>
    <row r="244" spans="1:7" x14ac:dyDescent="0.25">
      <c r="A244">
        <v>18021</v>
      </c>
      <c r="B244" t="s">
        <v>16</v>
      </c>
      <c r="C244">
        <v>2</v>
      </c>
      <c r="D244" s="3">
        <f>in_parking_demand_data_ver1!D244*calibration!$I$31</f>
        <v>251.66606314955359</v>
      </c>
      <c r="E244" s="3">
        <f>in_parking_demand_data_ver1!E244*calibration!$I$31</f>
        <v>20.168522009958711</v>
      </c>
      <c r="F244" s="3">
        <f t="shared" si="3"/>
        <v>271.8345851595123</v>
      </c>
      <c r="G244">
        <v>277</v>
      </c>
    </row>
    <row r="245" spans="1:7" x14ac:dyDescent="0.25">
      <c r="A245">
        <v>18021</v>
      </c>
      <c r="B245" t="s">
        <v>16</v>
      </c>
      <c r="C245">
        <v>3</v>
      </c>
      <c r="D245" s="3">
        <f>in_parking_demand_data_ver1!D245*calibration!$I$31</f>
        <v>248.93056246314515</v>
      </c>
      <c r="E245" s="3">
        <f>in_parking_demand_data_ver1!E245*calibration!$I$31</f>
        <v>20.86398828616413</v>
      </c>
      <c r="F245" s="3">
        <f t="shared" si="3"/>
        <v>269.79455074930928</v>
      </c>
      <c r="G245">
        <v>277</v>
      </c>
    </row>
    <row r="246" spans="1:7" x14ac:dyDescent="0.25">
      <c r="A246">
        <v>18021</v>
      </c>
      <c r="B246" t="s">
        <v>16</v>
      </c>
      <c r="C246">
        <v>4</v>
      </c>
      <c r="D246" s="3">
        <f>in_parking_demand_data_ver1!D246*calibration!$I$31</f>
        <v>242.39317946681408</v>
      </c>
      <c r="E246" s="3">
        <f>in_parking_demand_data_ver1!E246*calibration!$I$31</f>
        <v>22.023098746506609</v>
      </c>
      <c r="F246" s="3">
        <f t="shared" si="3"/>
        <v>264.41627821332071</v>
      </c>
      <c r="G246">
        <v>277</v>
      </c>
    </row>
    <row r="247" spans="1:7" x14ac:dyDescent="0.25">
      <c r="A247">
        <v>18021</v>
      </c>
      <c r="B247" t="s">
        <v>16</v>
      </c>
      <c r="C247">
        <v>5</v>
      </c>
      <c r="D247" s="3">
        <f>in_parking_demand_data_ver1!D247*calibration!$I$31</f>
        <v>234.7430504285538</v>
      </c>
      <c r="E247" s="3">
        <f>in_parking_demand_data_ver1!E247*calibration!$I$31</f>
        <v>26.891362679944887</v>
      </c>
      <c r="F247" s="3">
        <f t="shared" si="3"/>
        <v>261.63441310849868</v>
      </c>
      <c r="G247">
        <v>277</v>
      </c>
    </row>
    <row r="248" spans="1:7" x14ac:dyDescent="0.25">
      <c r="A248">
        <v>18021</v>
      </c>
      <c r="B248" t="s">
        <v>16</v>
      </c>
      <c r="C248">
        <v>6</v>
      </c>
      <c r="D248" s="3">
        <f>in_parking_demand_data_ver1!D248*calibration!$I$31</f>
        <v>217.68094445231293</v>
      </c>
      <c r="E248" s="3">
        <f>in_parking_demand_data_ver1!E248*calibration!$I$31</f>
        <v>27.308642445668209</v>
      </c>
      <c r="F248" s="3">
        <f t="shared" si="3"/>
        <v>244.98958689798113</v>
      </c>
      <c r="G248">
        <v>277</v>
      </c>
    </row>
    <row r="249" spans="1:7" x14ac:dyDescent="0.25">
      <c r="A249">
        <v>18021</v>
      </c>
      <c r="B249" t="s">
        <v>16</v>
      </c>
      <c r="C249">
        <v>7</v>
      </c>
      <c r="D249" s="3">
        <f>in_parking_demand_data_ver1!D249*calibration!$I$31</f>
        <v>182.02670669217883</v>
      </c>
      <c r="E249" s="3">
        <f>in_parking_demand_data_ver1!E249*calibration!$I$31</f>
        <v>22.115827583334003</v>
      </c>
      <c r="F249" s="3">
        <f t="shared" si="3"/>
        <v>204.14253427551284</v>
      </c>
      <c r="G249">
        <v>277</v>
      </c>
    </row>
    <row r="250" spans="1:7" x14ac:dyDescent="0.25">
      <c r="A250">
        <v>18021</v>
      </c>
      <c r="B250" t="s">
        <v>16</v>
      </c>
      <c r="C250">
        <v>8</v>
      </c>
      <c r="D250" s="3">
        <f>in_parking_demand_data_ver1!D250*calibration!$I$31</f>
        <v>145.9088247479082</v>
      </c>
      <c r="E250" s="3">
        <f>in_parking_demand_data_ver1!E250*calibration!$I$31</f>
        <v>17.989394344514881</v>
      </c>
      <c r="F250" s="3">
        <f t="shared" si="3"/>
        <v>163.89821909242309</v>
      </c>
      <c r="G250">
        <v>277</v>
      </c>
    </row>
    <row r="251" spans="1:7" x14ac:dyDescent="0.25">
      <c r="A251">
        <v>18021</v>
      </c>
      <c r="B251" t="s">
        <v>16</v>
      </c>
      <c r="C251">
        <v>9</v>
      </c>
      <c r="D251" s="3">
        <f>in_parking_demand_data_ver1!D251*calibration!$I$31</f>
        <v>121.38204740706149</v>
      </c>
      <c r="E251" s="3">
        <f>in_parking_demand_data_ver1!E251*calibration!$I$31</f>
        <v>13.399316921558706</v>
      </c>
      <c r="F251" s="3">
        <f t="shared" si="3"/>
        <v>134.78136432862019</v>
      </c>
      <c r="G251">
        <v>277</v>
      </c>
    </row>
    <row r="252" spans="1:7" x14ac:dyDescent="0.25">
      <c r="A252">
        <v>18021</v>
      </c>
      <c r="B252" t="s">
        <v>16</v>
      </c>
      <c r="C252">
        <v>10</v>
      </c>
      <c r="D252" s="3">
        <f>in_parking_demand_data_ver1!D252*calibration!$I$31</f>
        <v>105.43268747274905</v>
      </c>
      <c r="E252" s="3">
        <f>in_parking_demand_data_ver1!E252*calibration!$I$31</f>
        <v>10.617451816736855</v>
      </c>
      <c r="F252" s="3">
        <f t="shared" si="3"/>
        <v>116.05013928948591</v>
      </c>
      <c r="G252">
        <v>277</v>
      </c>
    </row>
    <row r="253" spans="1:7" x14ac:dyDescent="0.25">
      <c r="A253">
        <v>18021</v>
      </c>
      <c r="B253" t="s">
        <v>16</v>
      </c>
      <c r="C253">
        <v>11</v>
      </c>
      <c r="D253" s="3">
        <f>in_parking_demand_data_ver1!D253*calibration!$I$31</f>
        <v>104.13448375716536</v>
      </c>
      <c r="E253" s="3">
        <f>in_parking_demand_data_ver1!E253*calibration!$I$31</f>
        <v>7.7428578750875925</v>
      </c>
      <c r="F253" s="3">
        <f t="shared" si="3"/>
        <v>111.87734163225295</v>
      </c>
      <c r="G253">
        <v>277</v>
      </c>
    </row>
    <row r="254" spans="1:7" x14ac:dyDescent="0.25">
      <c r="A254">
        <v>18021</v>
      </c>
      <c r="B254" t="s">
        <v>16</v>
      </c>
      <c r="C254">
        <v>12</v>
      </c>
      <c r="D254" s="3">
        <f>in_parking_demand_data_ver1!D254*calibration!$I$31</f>
        <v>109.23456978267251</v>
      </c>
      <c r="E254" s="3">
        <f>in_parking_demand_data_ver1!E254*calibration!$I$31</f>
        <v>4.5900774229561199</v>
      </c>
      <c r="F254" s="3">
        <f t="shared" si="3"/>
        <v>113.82464720562862</v>
      </c>
      <c r="G254">
        <v>277</v>
      </c>
    </row>
    <row r="255" spans="1:7" x14ac:dyDescent="0.25">
      <c r="A255">
        <v>18021</v>
      </c>
      <c r="B255" t="s">
        <v>16</v>
      </c>
      <c r="C255">
        <v>13</v>
      </c>
      <c r="D255" s="3">
        <f>in_parking_demand_data_ver1!D255*calibration!$I$31</f>
        <v>108.07545932232985</v>
      </c>
      <c r="E255" s="3">
        <f>in_parking_demand_data_ver1!E255*calibration!$I$31</f>
        <v>4.6364418413698179</v>
      </c>
      <c r="F255" s="3">
        <f t="shared" si="3"/>
        <v>112.71190116369966</v>
      </c>
      <c r="G255">
        <v>277</v>
      </c>
    </row>
    <row r="256" spans="1:7" x14ac:dyDescent="0.25">
      <c r="A256">
        <v>18021</v>
      </c>
      <c r="B256" t="s">
        <v>16</v>
      </c>
      <c r="C256">
        <v>14</v>
      </c>
      <c r="D256" s="3">
        <f>in_parking_demand_data_ver1!D256*calibration!$I$31</f>
        <v>100.79624563137929</v>
      </c>
      <c r="E256" s="3">
        <f>in_parking_demand_data_ver1!E256*calibration!$I$31</f>
        <v>4.1727976572328345</v>
      </c>
      <c r="F256" s="3">
        <f t="shared" si="3"/>
        <v>104.96904328861213</v>
      </c>
      <c r="G256">
        <v>277</v>
      </c>
    </row>
    <row r="257" spans="1:7" x14ac:dyDescent="0.25">
      <c r="A257">
        <v>18021</v>
      </c>
      <c r="B257" t="s">
        <v>16</v>
      </c>
      <c r="C257">
        <v>15</v>
      </c>
      <c r="D257" s="3">
        <f>in_parking_demand_data_ver1!D257*calibration!$I$31</f>
        <v>106.96271328040145</v>
      </c>
      <c r="E257" s="3">
        <f>in_parking_demand_data_ver1!E257*calibration!$I$31</f>
        <v>4.5437130045424228</v>
      </c>
      <c r="F257" s="3">
        <f t="shared" si="3"/>
        <v>111.50642628494387</v>
      </c>
      <c r="G257">
        <v>277</v>
      </c>
    </row>
    <row r="258" spans="1:7" x14ac:dyDescent="0.25">
      <c r="A258">
        <v>18021</v>
      </c>
      <c r="B258" t="s">
        <v>16</v>
      </c>
      <c r="C258">
        <v>16</v>
      </c>
      <c r="D258" s="3">
        <f>in_parking_demand_data_ver1!D258*calibration!$I$31</f>
        <v>122.07751368326673</v>
      </c>
      <c r="E258" s="3">
        <f>in_parking_demand_data_ver1!E258*calibration!$I$31</f>
        <v>4.4973485861287257</v>
      </c>
      <c r="F258" s="3">
        <f t="shared" si="3"/>
        <v>126.57486226939545</v>
      </c>
      <c r="G258">
        <v>277</v>
      </c>
    </row>
    <row r="259" spans="1:7" x14ac:dyDescent="0.25">
      <c r="A259">
        <v>18021</v>
      </c>
      <c r="B259" t="s">
        <v>16</v>
      </c>
      <c r="C259">
        <v>17</v>
      </c>
      <c r="D259" s="3">
        <f>in_parking_demand_data_ver1!D259*calibration!$I$31</f>
        <v>140.29873011985023</v>
      </c>
      <c r="E259" s="3">
        <f>in_parking_demand_data_ver1!E259*calibration!$I$31</f>
        <v>3.4773313810273634</v>
      </c>
      <c r="F259" s="3">
        <f t="shared" ref="F259:F322" si="4">SUM(D259:E259)</f>
        <v>143.7760615008776</v>
      </c>
      <c r="G259">
        <v>277</v>
      </c>
    </row>
    <row r="260" spans="1:7" x14ac:dyDescent="0.25">
      <c r="A260">
        <v>18021</v>
      </c>
      <c r="B260" t="s">
        <v>16</v>
      </c>
      <c r="C260">
        <v>18</v>
      </c>
      <c r="D260" s="3">
        <f>in_parking_demand_data_ver1!D260*calibration!$I$31</f>
        <v>166.81917745248589</v>
      </c>
      <c r="E260" s="3">
        <f>in_parking_demand_data_ver1!E260*calibration!$I$31</f>
        <v>3.8482467283369433</v>
      </c>
      <c r="F260" s="3">
        <f t="shared" si="4"/>
        <v>170.66742418082282</v>
      </c>
      <c r="G260">
        <v>277</v>
      </c>
    </row>
    <row r="261" spans="1:7" x14ac:dyDescent="0.25">
      <c r="A261">
        <v>18021</v>
      </c>
      <c r="B261" t="s">
        <v>16</v>
      </c>
      <c r="C261">
        <v>19</v>
      </c>
      <c r="D261" s="3">
        <f>in_parking_demand_data_ver1!D261*calibration!$I$31</f>
        <v>191.85596339588255</v>
      </c>
      <c r="E261" s="3">
        <f>in_parking_demand_data_ver1!E261*calibration!$I$31</f>
        <v>4.3118909124739275</v>
      </c>
      <c r="F261" s="3">
        <f t="shared" si="4"/>
        <v>196.16785430835648</v>
      </c>
      <c r="G261">
        <v>277</v>
      </c>
    </row>
    <row r="262" spans="1:7" x14ac:dyDescent="0.25">
      <c r="A262">
        <v>18021</v>
      </c>
      <c r="B262" t="s">
        <v>16</v>
      </c>
      <c r="C262">
        <v>20</v>
      </c>
      <c r="D262" s="3">
        <f>in_parking_demand_data_ver1!D262*calibration!$I$31</f>
        <v>209.98445099563838</v>
      </c>
      <c r="E262" s="3">
        <f>in_parking_demand_data_ver1!E262*calibration!$I$31</f>
        <v>4.8682639334383051</v>
      </c>
      <c r="F262" s="3">
        <f t="shared" si="4"/>
        <v>214.85271492907668</v>
      </c>
      <c r="G262">
        <v>277</v>
      </c>
    </row>
    <row r="263" spans="1:7" x14ac:dyDescent="0.25">
      <c r="A263">
        <v>18021</v>
      </c>
      <c r="B263" t="s">
        <v>16</v>
      </c>
      <c r="C263">
        <v>21</v>
      </c>
      <c r="D263" s="3">
        <f>in_parking_demand_data_ver1!D263*calibration!$I$31</f>
        <v>224.72833605119479</v>
      </c>
      <c r="E263" s="3">
        <f>in_parking_demand_data_ver1!E263*calibration!$I$31</f>
        <v>6.8155695068136346</v>
      </c>
      <c r="F263" s="3">
        <f t="shared" si="4"/>
        <v>231.54390555800842</v>
      </c>
      <c r="G263">
        <v>277</v>
      </c>
    </row>
    <row r="264" spans="1:7" x14ac:dyDescent="0.25">
      <c r="A264">
        <v>18021</v>
      </c>
      <c r="B264" t="s">
        <v>16</v>
      </c>
      <c r="C264">
        <v>22</v>
      </c>
      <c r="D264" s="3">
        <f>in_parking_demand_data_ver1!D264*calibration!$I$31</f>
        <v>237.52491553337566</v>
      </c>
      <c r="E264" s="3">
        <f>in_parking_demand_data_ver1!E264*calibration!$I$31</f>
        <v>10.571087398323114</v>
      </c>
      <c r="F264" s="3">
        <f t="shared" si="4"/>
        <v>248.09600293169876</v>
      </c>
      <c r="G264">
        <v>277</v>
      </c>
    </row>
    <row r="265" spans="1:7" x14ac:dyDescent="0.25">
      <c r="A265">
        <v>18021</v>
      </c>
      <c r="B265" t="s">
        <v>16</v>
      </c>
      <c r="C265">
        <v>23</v>
      </c>
      <c r="D265" s="3">
        <f>in_parking_demand_data_ver1!D265*calibration!$I$31</f>
        <v>249.44057106569593</v>
      </c>
      <c r="E265" s="3">
        <f>in_parking_demand_data_ver1!E265*calibration!$I$31</f>
        <v>14.32660528983274</v>
      </c>
      <c r="F265" s="3">
        <f t="shared" si="4"/>
        <v>263.76717635552865</v>
      </c>
      <c r="G265">
        <v>277</v>
      </c>
    </row>
    <row r="266" spans="1:7" x14ac:dyDescent="0.25">
      <c r="A266">
        <v>18023</v>
      </c>
      <c r="B266" t="s">
        <v>17</v>
      </c>
      <c r="C266">
        <v>0</v>
      </c>
      <c r="D266" s="3">
        <f>in_parking_demand_data_ver1!D266*calibration!$I$31</f>
        <v>79.038605972530178</v>
      </c>
      <c r="E266" s="3">
        <f>in_parking_demand_data_ver1!E266*calibration!$I$31</f>
        <v>7.52363393597268</v>
      </c>
      <c r="F266" s="3">
        <f t="shared" si="4"/>
        <v>86.56223990850286</v>
      </c>
      <c r="G266">
        <v>100</v>
      </c>
    </row>
    <row r="267" spans="1:7" x14ac:dyDescent="0.25">
      <c r="A267">
        <v>18023</v>
      </c>
      <c r="B267" t="s">
        <v>17</v>
      </c>
      <c r="C267">
        <v>1</v>
      </c>
      <c r="D267" s="3">
        <f>in_parking_demand_data_ver1!D267*calibration!$I$31</f>
        <v>80.899289634114822</v>
      </c>
      <c r="E267" s="3">
        <f>in_parking_demand_data_ver1!E267*calibration!$I$31</f>
        <v>9.0607204390208391</v>
      </c>
      <c r="F267" s="3">
        <f t="shared" si="4"/>
        <v>89.960010073135663</v>
      </c>
      <c r="G267">
        <v>100</v>
      </c>
    </row>
    <row r="268" spans="1:7" x14ac:dyDescent="0.25">
      <c r="A268">
        <v>18023</v>
      </c>
      <c r="B268" t="s">
        <v>17</v>
      </c>
      <c r="C268">
        <v>2</v>
      </c>
      <c r="D268" s="3">
        <f>in_parking_demand_data_ver1!D268*calibration!$I$31</f>
        <v>81.141987503017162</v>
      </c>
      <c r="E268" s="3">
        <f>in_parking_demand_data_ver1!E268*calibration!$I$31</f>
        <v>10.193310493898446</v>
      </c>
      <c r="F268" s="3">
        <f t="shared" si="4"/>
        <v>91.335297996915614</v>
      </c>
      <c r="G268">
        <v>100</v>
      </c>
    </row>
    <row r="269" spans="1:7" x14ac:dyDescent="0.25">
      <c r="A269">
        <v>18023</v>
      </c>
      <c r="B269" t="s">
        <v>17</v>
      </c>
      <c r="C269">
        <v>3</v>
      </c>
      <c r="D269" s="3">
        <f>in_parking_demand_data_ver1!D269*calibration!$I$31</f>
        <v>80.332994606675982</v>
      </c>
      <c r="E269" s="3">
        <f>in_parking_demand_data_ver1!E269*calibration!$I$31</f>
        <v>11.5685984176784</v>
      </c>
      <c r="F269" s="3">
        <f t="shared" si="4"/>
        <v>91.901593024354383</v>
      </c>
      <c r="G269">
        <v>100</v>
      </c>
    </row>
    <row r="270" spans="1:7" x14ac:dyDescent="0.25">
      <c r="A270">
        <v>18023</v>
      </c>
      <c r="B270" t="s">
        <v>17</v>
      </c>
      <c r="C270">
        <v>4</v>
      </c>
      <c r="D270" s="3">
        <f>in_parking_demand_data_ver1!D270*calibration!$I$31</f>
        <v>78.229613076188969</v>
      </c>
      <c r="E270" s="3">
        <f>in_parking_demand_data_ver1!E270*calibration!$I$31</f>
        <v>11.164101969507845</v>
      </c>
      <c r="F270" s="3">
        <f t="shared" si="4"/>
        <v>89.393715045696808</v>
      </c>
      <c r="G270">
        <v>100</v>
      </c>
    </row>
    <row r="271" spans="1:7" x14ac:dyDescent="0.25">
      <c r="A271">
        <v>18023</v>
      </c>
      <c r="B271" t="s">
        <v>17</v>
      </c>
      <c r="C271">
        <v>5</v>
      </c>
      <c r="D271" s="3">
        <f>in_parking_demand_data_ver1!D271*calibration!$I$31</f>
        <v>75.883533676799701</v>
      </c>
      <c r="E271" s="3">
        <f>in_parking_demand_data_ver1!E271*calibration!$I$31</f>
        <v>11.730396996946604</v>
      </c>
      <c r="F271" s="3">
        <f t="shared" si="4"/>
        <v>87.61393067374631</v>
      </c>
      <c r="G271">
        <v>100</v>
      </c>
    </row>
    <row r="272" spans="1:7" x14ac:dyDescent="0.25">
      <c r="A272">
        <v>18023</v>
      </c>
      <c r="B272" t="s">
        <v>17</v>
      </c>
      <c r="C272">
        <v>6</v>
      </c>
      <c r="D272" s="3">
        <f>in_parking_demand_data_ver1!D272*calibration!$I$31</f>
        <v>71.110475588386933</v>
      </c>
      <c r="E272" s="3">
        <f>in_parking_demand_data_ver1!E272*calibration!$I$31</f>
        <v>12.215792734751306</v>
      </c>
      <c r="F272" s="3">
        <f t="shared" si="4"/>
        <v>83.326268323138237</v>
      </c>
      <c r="G272">
        <v>100</v>
      </c>
    </row>
    <row r="273" spans="1:7" x14ac:dyDescent="0.25">
      <c r="A273">
        <v>18023</v>
      </c>
      <c r="B273" t="s">
        <v>17</v>
      </c>
      <c r="C273">
        <v>7</v>
      </c>
      <c r="D273" s="3">
        <f>in_parking_demand_data_ver1!D273*calibration!$I$31</f>
        <v>61.80705728046366</v>
      </c>
      <c r="E273" s="3">
        <f>in_parking_demand_data_ver1!E273*calibration!$I$31</f>
        <v>10.961853745422525</v>
      </c>
      <c r="F273" s="3">
        <f t="shared" si="4"/>
        <v>72.768911025886183</v>
      </c>
      <c r="G273">
        <v>100</v>
      </c>
    </row>
    <row r="274" spans="1:7" x14ac:dyDescent="0.25">
      <c r="A274">
        <v>18023</v>
      </c>
      <c r="B274" t="s">
        <v>17</v>
      </c>
      <c r="C274">
        <v>8</v>
      </c>
      <c r="D274" s="3">
        <f>in_parking_demand_data_ver1!D274*calibration!$I$31</f>
        <v>49.469915611261179</v>
      </c>
      <c r="E274" s="3">
        <f>in_parking_demand_data_ver1!E274*calibration!$I$31</f>
        <v>8.6966736356673149</v>
      </c>
      <c r="F274" s="3">
        <f t="shared" si="4"/>
        <v>58.166589246928496</v>
      </c>
      <c r="G274">
        <v>100</v>
      </c>
    </row>
    <row r="275" spans="1:7" x14ac:dyDescent="0.25">
      <c r="A275">
        <v>18023</v>
      </c>
      <c r="B275" t="s">
        <v>17</v>
      </c>
      <c r="C275">
        <v>9</v>
      </c>
      <c r="D275" s="3">
        <f>in_parking_demand_data_ver1!D275*calibration!$I$31</f>
        <v>37.699068969497453</v>
      </c>
      <c r="E275" s="3">
        <f>in_parking_demand_data_ver1!E275*calibration!$I$31</f>
        <v>7.3213857118873849</v>
      </c>
      <c r="F275" s="3">
        <f t="shared" si="4"/>
        <v>45.020454681384841</v>
      </c>
      <c r="G275">
        <v>100</v>
      </c>
    </row>
    <row r="276" spans="1:7" x14ac:dyDescent="0.25">
      <c r="A276">
        <v>18023</v>
      </c>
      <c r="B276" t="s">
        <v>17</v>
      </c>
      <c r="C276">
        <v>10</v>
      </c>
      <c r="D276" s="3">
        <f>in_parking_demand_data_ver1!D276*calibration!$I$31</f>
        <v>29.447341426817726</v>
      </c>
      <c r="E276" s="3">
        <f>in_parking_demand_data_ver1!E276*calibration!$I$31</f>
        <v>6.5932921051803524</v>
      </c>
      <c r="F276" s="3">
        <f t="shared" si="4"/>
        <v>36.040633531998076</v>
      </c>
      <c r="G276">
        <v>100</v>
      </c>
    </row>
    <row r="277" spans="1:7" x14ac:dyDescent="0.25">
      <c r="A277">
        <v>18023</v>
      </c>
      <c r="B277" t="s">
        <v>17</v>
      </c>
      <c r="C277">
        <v>11</v>
      </c>
      <c r="D277" s="3">
        <f>in_parking_demand_data_ver1!D277*calibration!$I$31</f>
        <v>26.737215224074934</v>
      </c>
      <c r="E277" s="3">
        <f>in_parking_demand_data_ver1!E277*calibration!$I$31</f>
        <v>6.6337417499974167</v>
      </c>
      <c r="F277" s="3">
        <f t="shared" si="4"/>
        <v>33.37095697407235</v>
      </c>
      <c r="G277">
        <v>100</v>
      </c>
    </row>
    <row r="278" spans="1:7" x14ac:dyDescent="0.25">
      <c r="A278">
        <v>18023</v>
      </c>
      <c r="B278" t="s">
        <v>17</v>
      </c>
      <c r="C278">
        <v>12</v>
      </c>
      <c r="D278" s="3">
        <f>in_parking_demand_data_ver1!D278*calibration!$I$31</f>
        <v>26.818114513708995</v>
      </c>
      <c r="E278" s="3">
        <f>in_parking_demand_data_ver1!E278*calibration!$I$31</f>
        <v>7.1595871326191629</v>
      </c>
      <c r="F278" s="3">
        <f t="shared" si="4"/>
        <v>33.977701646328157</v>
      </c>
      <c r="G278">
        <v>100</v>
      </c>
    </row>
    <row r="279" spans="1:7" x14ac:dyDescent="0.25">
      <c r="A279">
        <v>18023</v>
      </c>
      <c r="B279" t="s">
        <v>17</v>
      </c>
      <c r="C279">
        <v>13</v>
      </c>
      <c r="D279" s="3">
        <f>in_parking_demand_data_ver1!D279*calibration!$I$31</f>
        <v>23.784391152429702</v>
      </c>
      <c r="E279" s="3">
        <f>in_parking_demand_data_ver1!E279*calibration!$I$31</f>
        <v>7.8067814496920764</v>
      </c>
      <c r="F279" s="3">
        <f t="shared" si="4"/>
        <v>31.59117260212178</v>
      </c>
      <c r="G279">
        <v>100</v>
      </c>
    </row>
    <row r="280" spans="1:7" x14ac:dyDescent="0.25">
      <c r="A280">
        <v>18023</v>
      </c>
      <c r="B280" t="s">
        <v>17</v>
      </c>
      <c r="C280">
        <v>14</v>
      </c>
      <c r="D280" s="3">
        <f>in_parking_demand_data_ver1!D280*calibration!$I$31</f>
        <v>22.611351452735068</v>
      </c>
      <c r="E280" s="3">
        <f>in_parking_demand_data_ver1!E280*calibration!$I$31</f>
        <v>7.3618353567044501</v>
      </c>
      <c r="F280" s="3">
        <f t="shared" si="4"/>
        <v>29.973186809439518</v>
      </c>
      <c r="G280">
        <v>100</v>
      </c>
    </row>
    <row r="281" spans="1:7" x14ac:dyDescent="0.25">
      <c r="A281">
        <v>18023</v>
      </c>
      <c r="B281" t="s">
        <v>17</v>
      </c>
      <c r="C281">
        <v>15</v>
      </c>
      <c r="D281" s="3">
        <f>in_parking_demand_data_ver1!D281*calibration!$I$31</f>
        <v>24.269786890234403</v>
      </c>
      <c r="E281" s="3">
        <f>in_parking_demand_data_ver1!E281*calibration!$I$31</f>
        <v>4.0854141265227923</v>
      </c>
      <c r="F281" s="3">
        <f t="shared" si="4"/>
        <v>28.355201016757196</v>
      </c>
      <c r="G281">
        <v>100</v>
      </c>
    </row>
    <row r="282" spans="1:7" x14ac:dyDescent="0.25">
      <c r="A282">
        <v>18023</v>
      </c>
      <c r="B282" t="s">
        <v>17</v>
      </c>
      <c r="C282">
        <v>16</v>
      </c>
      <c r="D282" s="3">
        <f>in_parking_demand_data_ver1!D282*calibration!$I$31</f>
        <v>26.049571262184916</v>
      </c>
      <c r="E282" s="3">
        <f>in_parking_demand_data_ver1!E282*calibration!$I$31</f>
        <v>3.8022666128033955</v>
      </c>
      <c r="F282" s="3">
        <f t="shared" si="4"/>
        <v>29.851837874988313</v>
      </c>
      <c r="G282">
        <v>100</v>
      </c>
    </row>
    <row r="283" spans="1:7" x14ac:dyDescent="0.25">
      <c r="A283">
        <v>18023</v>
      </c>
      <c r="B283" t="s">
        <v>17</v>
      </c>
      <c r="C283">
        <v>17</v>
      </c>
      <c r="D283" s="3">
        <f>in_parking_demand_data_ver1!D283*calibration!$I$31</f>
        <v>31.429374022853555</v>
      </c>
      <c r="E283" s="3">
        <f>in_parking_demand_data_ver1!E283*calibration!$I$31</f>
        <v>3.3573205198157594</v>
      </c>
      <c r="F283" s="3">
        <f t="shared" si="4"/>
        <v>34.786694542669316</v>
      </c>
      <c r="G283">
        <v>100</v>
      </c>
    </row>
    <row r="284" spans="1:7" x14ac:dyDescent="0.25">
      <c r="A284">
        <v>18023</v>
      </c>
      <c r="B284" t="s">
        <v>17</v>
      </c>
      <c r="C284">
        <v>18</v>
      </c>
      <c r="D284" s="3">
        <f>in_parking_demand_data_ver1!D284*calibration!$I$31</f>
        <v>38.791209379558033</v>
      </c>
      <c r="E284" s="3">
        <f>in_parking_demand_data_ver1!E284*calibration!$I$31</f>
        <v>1.6988850823164074</v>
      </c>
      <c r="F284" s="3">
        <f t="shared" si="4"/>
        <v>40.490094461874442</v>
      </c>
      <c r="G284">
        <v>100</v>
      </c>
    </row>
    <row r="285" spans="1:7" x14ac:dyDescent="0.25">
      <c r="A285">
        <v>18023</v>
      </c>
      <c r="B285" t="s">
        <v>17</v>
      </c>
      <c r="C285">
        <v>19</v>
      </c>
      <c r="D285" s="3">
        <f>in_parking_demand_data_ver1!D285*calibration!$I$31</f>
        <v>46.476641894798917</v>
      </c>
      <c r="E285" s="3">
        <f>in_parking_demand_data_ver1!E285*calibration!$I$31</f>
        <v>1.7797843719505184</v>
      </c>
      <c r="F285" s="3">
        <f t="shared" si="4"/>
        <v>48.256426266749436</v>
      </c>
      <c r="G285">
        <v>100</v>
      </c>
    </row>
    <row r="286" spans="1:7" x14ac:dyDescent="0.25">
      <c r="A286">
        <v>18023</v>
      </c>
      <c r="B286" t="s">
        <v>17</v>
      </c>
      <c r="C286">
        <v>20</v>
      </c>
      <c r="D286" s="3">
        <f>in_parking_demand_data_ver1!D286*calibration!$I$31</f>
        <v>56.184556650892752</v>
      </c>
      <c r="E286" s="3">
        <f>in_parking_demand_data_ver1!E286*calibration!$I$31</f>
        <v>1.5370865030481771</v>
      </c>
      <c r="F286" s="3">
        <f t="shared" si="4"/>
        <v>57.721643153940931</v>
      </c>
      <c r="G286">
        <v>100</v>
      </c>
    </row>
    <row r="287" spans="1:7" x14ac:dyDescent="0.25">
      <c r="A287">
        <v>18023</v>
      </c>
      <c r="B287" t="s">
        <v>17</v>
      </c>
      <c r="C287">
        <v>21</v>
      </c>
      <c r="D287" s="3">
        <f>in_parking_demand_data_ver1!D287*calibration!$I$31</f>
        <v>64.921679931377085</v>
      </c>
      <c r="E287" s="3">
        <f>in_parking_demand_data_ver1!E287*calibration!$I$31</f>
        <v>2.7101262027428459</v>
      </c>
      <c r="F287" s="3">
        <f t="shared" si="4"/>
        <v>67.631806134119927</v>
      </c>
      <c r="G287">
        <v>100</v>
      </c>
    </row>
    <row r="288" spans="1:7" x14ac:dyDescent="0.25">
      <c r="A288">
        <v>18023</v>
      </c>
      <c r="B288" t="s">
        <v>17</v>
      </c>
      <c r="C288">
        <v>22</v>
      </c>
      <c r="D288" s="3">
        <f>in_parking_demand_data_ver1!D288*calibration!$I$31</f>
        <v>71.83856919509391</v>
      </c>
      <c r="E288" s="3">
        <f>in_parking_demand_data_ver1!E288*calibration!$I$31</f>
        <v>4.2472127057910223</v>
      </c>
      <c r="F288" s="3">
        <f t="shared" si="4"/>
        <v>76.085781900884939</v>
      </c>
      <c r="G288">
        <v>100</v>
      </c>
    </row>
    <row r="289" spans="1:7" x14ac:dyDescent="0.25">
      <c r="A289">
        <v>18023</v>
      </c>
      <c r="B289" t="s">
        <v>17</v>
      </c>
      <c r="C289">
        <v>23</v>
      </c>
      <c r="D289" s="3">
        <f>in_parking_demand_data_ver1!D289*calibration!$I$31</f>
        <v>75.802634387165568</v>
      </c>
      <c r="E289" s="3">
        <f>in_parking_demand_data_ver1!E289*calibration!$I$31</f>
        <v>5.4607020503027472</v>
      </c>
      <c r="F289" s="3">
        <f t="shared" si="4"/>
        <v>81.263336437468311</v>
      </c>
      <c r="G289">
        <v>100</v>
      </c>
    </row>
    <row r="290" spans="1:7" x14ac:dyDescent="0.25">
      <c r="A290">
        <v>18025</v>
      </c>
      <c r="B290" t="s">
        <v>18</v>
      </c>
      <c r="C290">
        <v>0</v>
      </c>
      <c r="D290" s="3">
        <f>in_parking_demand_data_ver1!D290*calibration!$I$31</f>
        <v>95.788350467084996</v>
      </c>
      <c r="E290" s="3">
        <f>in_parking_demand_data_ver1!E290*calibration!$I$31</f>
        <v>7.6060895572910407</v>
      </c>
      <c r="F290" s="3">
        <f t="shared" si="4"/>
        <v>103.39444002437604</v>
      </c>
      <c r="G290">
        <v>115</v>
      </c>
    </row>
    <row r="291" spans="1:7" x14ac:dyDescent="0.25">
      <c r="A291">
        <v>18025</v>
      </c>
      <c r="B291" t="s">
        <v>18</v>
      </c>
      <c r="C291">
        <v>1</v>
      </c>
      <c r="D291" s="3">
        <f>in_parking_demand_data_ver1!D291*calibration!$I$31</f>
        <v>96.836539487348347</v>
      </c>
      <c r="E291" s="3">
        <f>in_parking_demand_data_ver1!E291*calibration!$I$31</f>
        <v>8.4123888036469765</v>
      </c>
      <c r="F291" s="3">
        <f t="shared" si="4"/>
        <v>105.24892829099532</v>
      </c>
      <c r="G291">
        <v>115</v>
      </c>
    </row>
    <row r="292" spans="1:7" x14ac:dyDescent="0.25">
      <c r="A292">
        <v>18025</v>
      </c>
      <c r="B292" t="s">
        <v>18</v>
      </c>
      <c r="C292">
        <v>2</v>
      </c>
      <c r="D292" s="3">
        <f>in_parking_demand_data_ver1!D292*calibration!$I$31</f>
        <v>95.734597183994552</v>
      </c>
      <c r="E292" s="3">
        <f>in_parking_demand_data_ver1!E292*calibration!$I$31</f>
        <v>9.4337011823644552</v>
      </c>
      <c r="F292" s="3">
        <f t="shared" si="4"/>
        <v>105.16829836635901</v>
      </c>
      <c r="G292">
        <v>115</v>
      </c>
    </row>
    <row r="293" spans="1:7" x14ac:dyDescent="0.25">
      <c r="A293">
        <v>18025</v>
      </c>
      <c r="B293" t="s">
        <v>18</v>
      </c>
      <c r="C293">
        <v>3</v>
      </c>
      <c r="D293" s="3">
        <f>in_parking_demand_data_ver1!D293*calibration!$I$31</f>
        <v>94.632654880641596</v>
      </c>
      <c r="E293" s="3">
        <f>in_parking_demand_data_ver1!E293*calibration!$I$31</f>
        <v>10.455013561081985</v>
      </c>
      <c r="F293" s="3">
        <f t="shared" si="4"/>
        <v>105.08766844172358</v>
      </c>
      <c r="G293">
        <v>115</v>
      </c>
    </row>
    <row r="294" spans="1:7" x14ac:dyDescent="0.25">
      <c r="A294">
        <v>18025</v>
      </c>
      <c r="B294" t="s">
        <v>18</v>
      </c>
      <c r="C294">
        <v>4</v>
      </c>
      <c r="D294" s="3">
        <f>in_parking_demand_data_ver1!D294*calibration!$I$31</f>
        <v>92.240633783119549</v>
      </c>
      <c r="E294" s="3">
        <f>in_parking_demand_data_ver1!E294*calibration!$I$31</f>
        <v>11.234436165892745</v>
      </c>
      <c r="F294" s="3">
        <f t="shared" si="4"/>
        <v>103.47506994901229</v>
      </c>
      <c r="G294">
        <v>115</v>
      </c>
    </row>
    <row r="295" spans="1:7" x14ac:dyDescent="0.25">
      <c r="A295">
        <v>18025</v>
      </c>
      <c r="B295" t="s">
        <v>18</v>
      </c>
      <c r="C295">
        <v>5</v>
      </c>
      <c r="D295" s="3">
        <f>in_parking_demand_data_ver1!D295*calibration!$I$31</f>
        <v>87.537221512709849</v>
      </c>
      <c r="E295" s="3">
        <f>in_parking_demand_data_ver1!E295*calibration!$I$31</f>
        <v>11.476325939799514</v>
      </c>
      <c r="F295" s="3">
        <f t="shared" si="4"/>
        <v>99.013547452509357</v>
      </c>
      <c r="G295">
        <v>115</v>
      </c>
    </row>
    <row r="296" spans="1:7" x14ac:dyDescent="0.25">
      <c r="A296">
        <v>18025</v>
      </c>
      <c r="B296" t="s">
        <v>18</v>
      </c>
      <c r="C296">
        <v>6</v>
      </c>
      <c r="D296" s="3">
        <f>in_parking_demand_data_ver1!D296*calibration!$I$31</f>
        <v>78.291656821161808</v>
      </c>
      <c r="E296" s="3">
        <f>in_parking_demand_data_ver1!E296*calibration!$I$31</f>
        <v>10.535643485717575</v>
      </c>
      <c r="F296" s="3">
        <f t="shared" si="4"/>
        <v>88.82730030687938</v>
      </c>
      <c r="G296">
        <v>115</v>
      </c>
    </row>
    <row r="297" spans="1:7" x14ac:dyDescent="0.25">
      <c r="A297">
        <v>18025</v>
      </c>
      <c r="B297" t="s">
        <v>18</v>
      </c>
      <c r="C297">
        <v>7</v>
      </c>
      <c r="D297" s="3">
        <f>in_parking_demand_data_ver1!D297*calibration!$I$31</f>
        <v>66.250921408913072</v>
      </c>
      <c r="E297" s="3">
        <f>in_parking_demand_data_ver1!E297*calibration!$I$31</f>
        <v>9.3530712577288639</v>
      </c>
      <c r="F297" s="3">
        <f t="shared" si="4"/>
        <v>75.603992666641943</v>
      </c>
      <c r="G297">
        <v>115</v>
      </c>
    </row>
    <row r="298" spans="1:7" x14ac:dyDescent="0.25">
      <c r="A298">
        <v>18025</v>
      </c>
      <c r="B298" t="s">
        <v>18</v>
      </c>
      <c r="C298">
        <v>8</v>
      </c>
      <c r="D298" s="3">
        <f>in_parking_demand_data_ver1!D298*calibration!$I$31</f>
        <v>55.554018073924318</v>
      </c>
      <c r="E298" s="3">
        <f>in_parking_demand_data_ver1!E298*calibration!$I$31</f>
        <v>7.3641997833842554</v>
      </c>
      <c r="F298" s="3">
        <f t="shared" si="4"/>
        <v>62.918217857308576</v>
      </c>
      <c r="G298">
        <v>115</v>
      </c>
    </row>
    <row r="299" spans="1:7" x14ac:dyDescent="0.25">
      <c r="A299">
        <v>18025</v>
      </c>
      <c r="B299" t="s">
        <v>18</v>
      </c>
      <c r="C299">
        <v>9</v>
      </c>
      <c r="D299" s="3">
        <f>in_parking_demand_data_ver1!D299*calibration!$I$31</f>
        <v>44.238951983395893</v>
      </c>
      <c r="E299" s="3">
        <f>in_parking_demand_data_ver1!E299*calibration!$I$31</f>
        <v>5.1334385351328153</v>
      </c>
      <c r="F299" s="3">
        <f t="shared" si="4"/>
        <v>49.372390518528711</v>
      </c>
      <c r="G299">
        <v>115</v>
      </c>
    </row>
    <row r="300" spans="1:7" x14ac:dyDescent="0.25">
      <c r="A300">
        <v>18025</v>
      </c>
      <c r="B300" t="s">
        <v>18</v>
      </c>
      <c r="C300">
        <v>10</v>
      </c>
      <c r="D300" s="3">
        <f>in_parking_demand_data_ver1!D300*calibration!$I$31</f>
        <v>41.175014847243304</v>
      </c>
      <c r="E300" s="3">
        <f>in_parking_demand_data_ver1!E300*calibration!$I$31</f>
        <v>4.0314962317796947</v>
      </c>
      <c r="F300" s="3">
        <f t="shared" si="4"/>
        <v>45.206511079023002</v>
      </c>
      <c r="G300">
        <v>115</v>
      </c>
    </row>
    <row r="301" spans="1:7" x14ac:dyDescent="0.25">
      <c r="A301">
        <v>18025</v>
      </c>
      <c r="B301" t="s">
        <v>18</v>
      </c>
      <c r="C301">
        <v>11</v>
      </c>
      <c r="D301" s="3">
        <f>in_parking_demand_data_ver1!D301*calibration!$I$31</f>
        <v>41.255644771878892</v>
      </c>
      <c r="E301" s="3">
        <f>in_parking_demand_data_ver1!E301*calibration!$I$31</f>
        <v>3.7896064578729169</v>
      </c>
      <c r="F301" s="3">
        <f t="shared" si="4"/>
        <v>45.045251229751806</v>
      </c>
      <c r="G301">
        <v>115</v>
      </c>
    </row>
    <row r="302" spans="1:7" x14ac:dyDescent="0.25">
      <c r="A302">
        <v>18025</v>
      </c>
      <c r="B302" t="s">
        <v>18</v>
      </c>
      <c r="C302">
        <v>12</v>
      </c>
      <c r="D302" s="3">
        <f>in_parking_demand_data_ver1!D302*calibration!$I$31</f>
        <v>41.793177602782883</v>
      </c>
      <c r="E302" s="3">
        <f>in_parking_demand_data_ver1!E302*calibration!$I$31</f>
        <v>3.0101838530621738</v>
      </c>
      <c r="F302" s="3">
        <f t="shared" si="4"/>
        <v>44.803361455845057</v>
      </c>
      <c r="G302">
        <v>115</v>
      </c>
    </row>
    <row r="303" spans="1:7" x14ac:dyDescent="0.25">
      <c r="A303">
        <v>18025</v>
      </c>
      <c r="B303" t="s">
        <v>18</v>
      </c>
      <c r="C303">
        <v>13</v>
      </c>
      <c r="D303" s="3">
        <f>in_parking_demand_data_ver1!D303*calibration!$I$31</f>
        <v>41.175014847243304</v>
      </c>
      <c r="E303" s="3">
        <f>in_parking_demand_data_ver1!E303*calibration!$I$31</f>
        <v>2.2845145313418298</v>
      </c>
      <c r="F303" s="3">
        <f t="shared" si="4"/>
        <v>43.459529378585131</v>
      </c>
      <c r="G303">
        <v>115</v>
      </c>
    </row>
    <row r="304" spans="1:7" x14ac:dyDescent="0.25">
      <c r="A304">
        <v>18025</v>
      </c>
      <c r="B304" t="s">
        <v>18</v>
      </c>
      <c r="C304">
        <v>14</v>
      </c>
      <c r="D304" s="3">
        <f>in_parking_demand_data_ver1!D304*calibration!$I$31</f>
        <v>43.432652737039994</v>
      </c>
      <c r="E304" s="3">
        <f>in_parking_demand_data_ver1!E304*calibration!$I$31</f>
        <v>1.9082415497090539</v>
      </c>
      <c r="F304" s="3">
        <f t="shared" si="4"/>
        <v>45.340894286749048</v>
      </c>
      <c r="G304">
        <v>115</v>
      </c>
    </row>
    <row r="305" spans="1:7" x14ac:dyDescent="0.25">
      <c r="A305">
        <v>18025</v>
      </c>
      <c r="B305" t="s">
        <v>18</v>
      </c>
      <c r="C305">
        <v>15</v>
      </c>
      <c r="D305" s="3">
        <f>in_parking_demand_data_ver1!D305*calibration!$I$31</f>
        <v>48.915487612260371</v>
      </c>
      <c r="E305" s="3">
        <f>in_parking_demand_data_ver1!E305*calibration!$I$31</f>
        <v>1.4513386434406879</v>
      </c>
      <c r="F305" s="3">
        <f t="shared" si="4"/>
        <v>50.366826255701056</v>
      </c>
      <c r="G305">
        <v>115</v>
      </c>
    </row>
    <row r="306" spans="1:7" x14ac:dyDescent="0.25">
      <c r="A306">
        <v>18025</v>
      </c>
      <c r="B306" t="s">
        <v>18</v>
      </c>
      <c r="C306">
        <v>16</v>
      </c>
      <c r="D306" s="3">
        <f>in_parking_demand_data_ver1!D306*calibration!$I$31</f>
        <v>57.435382982088107</v>
      </c>
      <c r="E306" s="3">
        <f>in_parking_demand_data_ver1!E306*calibration!$I$31</f>
        <v>1.128818944898311</v>
      </c>
      <c r="F306" s="3">
        <f t="shared" si="4"/>
        <v>58.564201926986421</v>
      </c>
      <c r="G306">
        <v>115</v>
      </c>
    </row>
    <row r="307" spans="1:7" x14ac:dyDescent="0.25">
      <c r="A307">
        <v>18025</v>
      </c>
      <c r="B307" t="s">
        <v>18</v>
      </c>
      <c r="C307">
        <v>17</v>
      </c>
      <c r="D307" s="3">
        <f>in_parking_demand_data_ver1!D307*calibration!$I$31</f>
        <v>66.143414842732341</v>
      </c>
      <c r="E307" s="3">
        <f>in_parking_demand_data_ver1!E307*calibration!$I$31</f>
        <v>1.1556955864435106</v>
      </c>
      <c r="F307" s="3">
        <f t="shared" si="4"/>
        <v>67.299110429175855</v>
      </c>
      <c r="G307">
        <v>115</v>
      </c>
    </row>
    <row r="308" spans="1:7" x14ac:dyDescent="0.25">
      <c r="A308">
        <v>18025</v>
      </c>
      <c r="B308" t="s">
        <v>18</v>
      </c>
      <c r="C308">
        <v>18</v>
      </c>
      <c r="D308" s="3">
        <f>in_parking_demand_data_ver1!D308*calibration!$I$31</f>
        <v>74.582680287924489</v>
      </c>
      <c r="E308" s="3">
        <f>in_parking_demand_data_ver1!E308*calibration!$I$31</f>
        <v>1.5588452096214773</v>
      </c>
      <c r="F308" s="3">
        <f t="shared" si="4"/>
        <v>76.14152549754597</v>
      </c>
      <c r="G308">
        <v>115</v>
      </c>
    </row>
    <row r="309" spans="1:7" x14ac:dyDescent="0.25">
      <c r="A309">
        <v>18025</v>
      </c>
      <c r="B309" t="s">
        <v>18</v>
      </c>
      <c r="C309">
        <v>19</v>
      </c>
      <c r="D309" s="3">
        <f>in_parking_demand_data_ver1!D309*calibration!$I$31</f>
        <v>80.60304799404885</v>
      </c>
      <c r="E309" s="3">
        <f>in_parking_demand_data_ver1!E309*calibration!$I$31</f>
        <v>2.6070342298842073</v>
      </c>
      <c r="F309" s="3">
        <f t="shared" si="4"/>
        <v>83.210082223933057</v>
      </c>
      <c r="G309">
        <v>115</v>
      </c>
    </row>
    <row r="310" spans="1:7" x14ac:dyDescent="0.25">
      <c r="A310">
        <v>18025</v>
      </c>
      <c r="B310" t="s">
        <v>18</v>
      </c>
      <c r="C310">
        <v>20</v>
      </c>
      <c r="D310" s="3">
        <f>in_parking_demand_data_ver1!D310*calibration!$I$31</f>
        <v>87.187825172622354</v>
      </c>
      <c r="E310" s="3">
        <f>in_parking_demand_data_ver1!E310*calibration!$I$31</f>
        <v>3.7358531747825179</v>
      </c>
      <c r="F310" s="3">
        <f t="shared" si="4"/>
        <v>90.923678347404874</v>
      </c>
      <c r="G310">
        <v>115</v>
      </c>
    </row>
    <row r="311" spans="1:7" x14ac:dyDescent="0.25">
      <c r="A311">
        <v>18025</v>
      </c>
      <c r="B311" t="s">
        <v>18</v>
      </c>
      <c r="C311">
        <v>21</v>
      </c>
      <c r="D311" s="3">
        <f>in_parking_demand_data_ver1!D311*calibration!$I$31</f>
        <v>91.219321404401853</v>
      </c>
      <c r="E311" s="3">
        <f>in_parking_demand_data_ver1!E311*calibration!$I$31</f>
        <v>4.5690290626836596</v>
      </c>
      <c r="F311" s="3">
        <f t="shared" si="4"/>
        <v>95.788350467085507</v>
      </c>
      <c r="G311">
        <v>115</v>
      </c>
    </row>
    <row r="312" spans="1:7" x14ac:dyDescent="0.25">
      <c r="A312">
        <v>18025</v>
      </c>
      <c r="B312" t="s">
        <v>18</v>
      </c>
      <c r="C312">
        <v>22</v>
      </c>
      <c r="D312" s="3">
        <f>in_parking_demand_data_ver1!D312*calibration!$I$31</f>
        <v>95.035804503819548</v>
      </c>
      <c r="E312" s="3">
        <f>in_parking_demand_data_ver1!E312*calibration!$I$31</f>
        <v>5.6172180829463807</v>
      </c>
      <c r="F312" s="3">
        <f t="shared" si="4"/>
        <v>100.65302258676593</v>
      </c>
      <c r="G312">
        <v>115</v>
      </c>
    </row>
    <row r="313" spans="1:7" x14ac:dyDescent="0.25">
      <c r="A313">
        <v>18025</v>
      </c>
      <c r="B313" t="s">
        <v>18</v>
      </c>
      <c r="C313">
        <v>23</v>
      </c>
      <c r="D313" s="3">
        <f>in_parking_demand_data_ver1!D313*calibration!$I$31</f>
        <v>95.304570919271796</v>
      </c>
      <c r="E313" s="3">
        <f>in_parking_demand_data_ver1!E313*calibration!$I$31</f>
        <v>6.6654071032091018</v>
      </c>
      <c r="F313" s="3">
        <f t="shared" si="4"/>
        <v>101.9699780224809</v>
      </c>
      <c r="G313">
        <v>115</v>
      </c>
    </row>
    <row r="314" spans="1:7" x14ac:dyDescent="0.25">
      <c r="A314">
        <v>18027</v>
      </c>
      <c r="B314" t="s">
        <v>19</v>
      </c>
      <c r="C314">
        <v>0</v>
      </c>
      <c r="D314" s="3">
        <f>in_parking_demand_data_ver1!D314*calibration!$I$31</f>
        <v>22.294132179561057</v>
      </c>
      <c r="E314" s="3">
        <f>in_parking_demand_data_ver1!E314*calibration!$I$31</f>
        <v>2.7867665224451321</v>
      </c>
      <c r="F314" s="3">
        <f t="shared" si="4"/>
        <v>25.080898702006188</v>
      </c>
      <c r="G314">
        <v>15</v>
      </c>
    </row>
    <row r="315" spans="1:7" x14ac:dyDescent="0.25">
      <c r="A315">
        <v>18027</v>
      </c>
      <c r="B315" t="s">
        <v>19</v>
      </c>
      <c r="C315">
        <v>1</v>
      </c>
      <c r="D315" s="3">
        <f>in_parking_demand_data_ver1!D315*calibration!$I$31</f>
        <v>22.294132179561057</v>
      </c>
      <c r="E315" s="3">
        <f>in_parking_demand_data_ver1!E315*calibration!$I$31</f>
        <v>3.0801103669130385</v>
      </c>
      <c r="F315" s="3">
        <f t="shared" si="4"/>
        <v>25.374242546474097</v>
      </c>
      <c r="G315">
        <v>15</v>
      </c>
    </row>
    <row r="316" spans="1:7" x14ac:dyDescent="0.25">
      <c r="A316">
        <v>18027</v>
      </c>
      <c r="B316" t="s">
        <v>19</v>
      </c>
      <c r="C316">
        <v>2</v>
      </c>
      <c r="D316" s="3">
        <f>in_parking_demand_data_ver1!D316*calibration!$I$31</f>
        <v>22.294132179561057</v>
      </c>
      <c r="E316" s="3">
        <f>in_parking_demand_data_ver1!E316*calibration!$I$31</f>
        <v>2.7134305613281557</v>
      </c>
      <c r="F316" s="3">
        <f t="shared" si="4"/>
        <v>25.007562740889213</v>
      </c>
      <c r="G316">
        <v>15</v>
      </c>
    </row>
    <row r="317" spans="1:7" x14ac:dyDescent="0.25">
      <c r="A317">
        <v>18027</v>
      </c>
      <c r="B317" t="s">
        <v>19</v>
      </c>
      <c r="C317">
        <v>3</v>
      </c>
      <c r="D317" s="3">
        <f>in_parking_demand_data_ver1!D317*calibration!$I$31</f>
        <v>22.294132179561057</v>
      </c>
      <c r="E317" s="3">
        <f>in_parking_demand_data_ver1!E317*calibration!$I$31</f>
        <v>5.573533044890274</v>
      </c>
      <c r="F317" s="3">
        <f t="shared" si="4"/>
        <v>27.867665224451329</v>
      </c>
      <c r="G317">
        <v>15</v>
      </c>
    </row>
    <row r="318" spans="1:7" x14ac:dyDescent="0.25">
      <c r="A318">
        <v>18027</v>
      </c>
      <c r="B318" t="s">
        <v>19</v>
      </c>
      <c r="C318">
        <v>4</v>
      </c>
      <c r="D318" s="3">
        <f>in_parking_demand_data_ver1!D318*calibration!$I$31</f>
        <v>21.927452373976134</v>
      </c>
      <c r="E318" s="3">
        <f>in_parking_demand_data_ver1!E318*calibration!$I$31</f>
        <v>10.927058206429574</v>
      </c>
      <c r="F318" s="3">
        <f t="shared" si="4"/>
        <v>32.854510580405709</v>
      </c>
      <c r="G318">
        <v>15</v>
      </c>
    </row>
    <row r="319" spans="1:7" x14ac:dyDescent="0.25">
      <c r="A319">
        <v>18027</v>
      </c>
      <c r="B319" t="s">
        <v>19</v>
      </c>
      <c r="C319">
        <v>5</v>
      </c>
      <c r="D319" s="3">
        <f>in_parking_demand_data_ver1!D319*calibration!$I$31</f>
        <v>20.607405073870574</v>
      </c>
      <c r="E319" s="3">
        <f>in_parking_demand_data_ver1!E319*calibration!$I$31</f>
        <v>5.2068532393053824</v>
      </c>
      <c r="F319" s="3">
        <f t="shared" si="4"/>
        <v>25.814258313175955</v>
      </c>
      <c r="G319">
        <v>15</v>
      </c>
    </row>
    <row r="320" spans="1:7" x14ac:dyDescent="0.25">
      <c r="A320">
        <v>18027</v>
      </c>
      <c r="B320" t="s">
        <v>19</v>
      </c>
      <c r="C320">
        <v>6</v>
      </c>
      <c r="D320" s="3">
        <f>in_parking_demand_data_ver1!D320*calibration!$I$31</f>
        <v>19.507365657115887</v>
      </c>
      <c r="E320" s="3">
        <f>in_parking_demand_data_ver1!E320*calibration!$I$31</f>
        <v>7.5536039950486549</v>
      </c>
      <c r="F320" s="3">
        <f t="shared" si="4"/>
        <v>27.060969652164541</v>
      </c>
      <c r="G320">
        <v>15</v>
      </c>
    </row>
    <row r="321" spans="1:7" x14ac:dyDescent="0.25">
      <c r="A321">
        <v>18027</v>
      </c>
      <c r="B321" t="s">
        <v>19</v>
      </c>
      <c r="C321">
        <v>7</v>
      </c>
      <c r="D321" s="3">
        <f>in_parking_demand_data_ver1!D321*calibration!$I$31</f>
        <v>21.267428723923356</v>
      </c>
      <c r="E321" s="3">
        <f>in_parking_demand_data_ver1!E321*calibration!$I$31</f>
        <v>7.7002759172826085</v>
      </c>
      <c r="F321" s="3">
        <f t="shared" si="4"/>
        <v>28.967704641205962</v>
      </c>
      <c r="G321">
        <v>15</v>
      </c>
    </row>
    <row r="322" spans="1:7" x14ac:dyDescent="0.25">
      <c r="A322">
        <v>18027</v>
      </c>
      <c r="B322" t="s">
        <v>19</v>
      </c>
      <c r="C322">
        <v>8</v>
      </c>
      <c r="D322" s="3">
        <f>in_parking_demand_data_ver1!D322*calibration!$I$31</f>
        <v>19.507365657115887</v>
      </c>
      <c r="E322" s="3">
        <f>in_parking_demand_data_ver1!E322*calibration!$I$31</f>
        <v>8.1402916839844757</v>
      </c>
      <c r="F322" s="3">
        <f t="shared" si="4"/>
        <v>27.647657341100363</v>
      </c>
      <c r="G322">
        <v>15</v>
      </c>
    </row>
    <row r="323" spans="1:7" x14ac:dyDescent="0.25">
      <c r="A323">
        <v>18027</v>
      </c>
      <c r="B323" t="s">
        <v>19</v>
      </c>
      <c r="C323">
        <v>9</v>
      </c>
      <c r="D323" s="3">
        <f>in_parking_demand_data_ver1!D323*calibration!$I$31</f>
        <v>15.693895679033089</v>
      </c>
      <c r="E323" s="3">
        <f>in_parking_demand_data_ver1!E323*calibration!$I$31</f>
        <v>9.6803468674410009</v>
      </c>
      <c r="F323" s="3">
        <f t="shared" ref="F323:F386" si="5">SUM(D323:E323)</f>
        <v>25.37424254647409</v>
      </c>
      <c r="G323">
        <v>15</v>
      </c>
    </row>
    <row r="324" spans="1:7" x14ac:dyDescent="0.25">
      <c r="A324">
        <v>18027</v>
      </c>
      <c r="B324" t="s">
        <v>19</v>
      </c>
      <c r="C324">
        <v>10</v>
      </c>
      <c r="D324" s="3">
        <f>in_parking_demand_data_ver1!D324*calibration!$I$31</f>
        <v>14.080504534459589</v>
      </c>
      <c r="E324" s="3">
        <f>in_parking_demand_data_ver1!E324*calibration!$I$31</f>
        <v>7.7002759172826085</v>
      </c>
      <c r="F324" s="3">
        <f t="shared" si="5"/>
        <v>21.780780451742196</v>
      </c>
      <c r="G324">
        <v>15</v>
      </c>
    </row>
    <row r="325" spans="1:7" x14ac:dyDescent="0.25">
      <c r="A325">
        <v>18027</v>
      </c>
      <c r="B325" t="s">
        <v>19</v>
      </c>
      <c r="C325">
        <v>11</v>
      </c>
      <c r="D325" s="3">
        <f>in_parking_demand_data_ver1!D325*calibration!$I$31</f>
        <v>14.447184340044515</v>
      </c>
      <c r="E325" s="3">
        <f>in_parking_demand_data_ver1!E325*calibration!$I$31</f>
        <v>6.1602207338260859</v>
      </c>
      <c r="F325" s="3">
        <f t="shared" si="5"/>
        <v>20.607405073870602</v>
      </c>
      <c r="G325">
        <v>15</v>
      </c>
    </row>
    <row r="326" spans="1:7" x14ac:dyDescent="0.25">
      <c r="A326">
        <v>18027</v>
      </c>
      <c r="B326" t="s">
        <v>19</v>
      </c>
      <c r="C326">
        <v>12</v>
      </c>
      <c r="D326" s="3">
        <f>in_parking_demand_data_ver1!D326*calibration!$I$31</f>
        <v>14.153840495576576</v>
      </c>
      <c r="E326" s="3">
        <f>in_parking_demand_data_ver1!E326*calibration!$I$31</f>
        <v>7.1135882283467957</v>
      </c>
      <c r="F326" s="3">
        <f t="shared" si="5"/>
        <v>21.267428723923373</v>
      </c>
      <c r="G326">
        <v>15</v>
      </c>
    </row>
    <row r="327" spans="1:7" x14ac:dyDescent="0.25">
      <c r="A327">
        <v>18027</v>
      </c>
      <c r="B327" t="s">
        <v>19</v>
      </c>
      <c r="C327">
        <v>13</v>
      </c>
      <c r="D327" s="3">
        <f>in_parking_demand_data_ver1!D327*calibration!$I$31</f>
        <v>13.78716068999165</v>
      </c>
      <c r="E327" s="3">
        <f>in_parking_demand_data_ver1!E327*calibration!$I$31</f>
        <v>6.7469084227619058</v>
      </c>
      <c r="F327" s="3">
        <f t="shared" si="5"/>
        <v>20.534069112753556</v>
      </c>
      <c r="G327">
        <v>15</v>
      </c>
    </row>
    <row r="328" spans="1:7" x14ac:dyDescent="0.25">
      <c r="A328">
        <v>18027</v>
      </c>
      <c r="B328" t="s">
        <v>19</v>
      </c>
      <c r="C328">
        <v>14</v>
      </c>
      <c r="D328" s="3">
        <f>in_parking_demand_data_ver1!D328*calibration!$I$31</f>
        <v>13.860496651108633</v>
      </c>
      <c r="E328" s="3">
        <f>in_parking_demand_data_ver1!E328*calibration!$I$31</f>
        <v>5.7202049671242268</v>
      </c>
      <c r="F328" s="3">
        <f t="shared" si="5"/>
        <v>19.580701618232858</v>
      </c>
      <c r="G328">
        <v>15</v>
      </c>
    </row>
    <row r="329" spans="1:7" x14ac:dyDescent="0.25">
      <c r="A329">
        <v>18027</v>
      </c>
      <c r="B329" t="s">
        <v>19</v>
      </c>
      <c r="C329">
        <v>15</v>
      </c>
      <c r="D329" s="3">
        <f>in_parking_demand_data_ver1!D329*calibration!$I$31</f>
        <v>15.107207990097296</v>
      </c>
      <c r="E329" s="3">
        <f>in_parking_demand_data_ver1!E329*calibration!$I$31</f>
        <v>3.9601419003167728</v>
      </c>
      <c r="F329" s="3">
        <f t="shared" si="5"/>
        <v>19.067349890414068</v>
      </c>
      <c r="G329">
        <v>15</v>
      </c>
    </row>
    <row r="330" spans="1:7" x14ac:dyDescent="0.25">
      <c r="A330">
        <v>18027</v>
      </c>
      <c r="B330" t="s">
        <v>19</v>
      </c>
      <c r="C330">
        <v>16</v>
      </c>
      <c r="D330" s="3">
        <f>in_parking_demand_data_ver1!D330*calibration!$I$31</f>
        <v>16.280583367968884</v>
      </c>
      <c r="E330" s="3">
        <f>in_parking_demand_data_ver1!E330*calibration!$I$31</f>
        <v>1.9800709501583824</v>
      </c>
      <c r="F330" s="3">
        <f t="shared" si="5"/>
        <v>18.260654318127266</v>
      </c>
      <c r="G330">
        <v>15</v>
      </c>
    </row>
    <row r="331" spans="1:7" x14ac:dyDescent="0.25">
      <c r="A331">
        <v>18027</v>
      </c>
      <c r="B331" t="s">
        <v>19</v>
      </c>
      <c r="C331">
        <v>17</v>
      </c>
      <c r="D331" s="3">
        <f>in_parking_demand_data_ver1!D331*calibration!$I$31</f>
        <v>17.673966629191515</v>
      </c>
      <c r="E331" s="3">
        <f>in_parking_demand_data_ver1!E331*calibration!$I$31</f>
        <v>1.540055183456515</v>
      </c>
      <c r="F331" s="3">
        <f t="shared" si="5"/>
        <v>19.214021812648031</v>
      </c>
      <c r="G331">
        <v>15</v>
      </c>
    </row>
    <row r="332" spans="1:7" x14ac:dyDescent="0.25">
      <c r="A332">
        <v>18027</v>
      </c>
      <c r="B332" t="s">
        <v>19</v>
      </c>
      <c r="C332">
        <v>18</v>
      </c>
      <c r="D332" s="3">
        <f>in_parking_demand_data_ver1!D332*calibration!$I$31</f>
        <v>18.92067796818009</v>
      </c>
      <c r="E332" s="3">
        <f>in_parking_demand_data_ver1!E332*calibration!$I$31</f>
        <v>1.540055183456515</v>
      </c>
      <c r="F332" s="3">
        <f t="shared" si="5"/>
        <v>20.460733151636607</v>
      </c>
      <c r="G332">
        <v>15</v>
      </c>
    </row>
    <row r="333" spans="1:7" x14ac:dyDescent="0.25">
      <c r="A333">
        <v>18027</v>
      </c>
      <c r="B333" t="s">
        <v>19</v>
      </c>
      <c r="C333">
        <v>19</v>
      </c>
      <c r="D333" s="3">
        <f>in_parking_demand_data_ver1!D333*calibration!$I$31</f>
        <v>19.947381423817795</v>
      </c>
      <c r="E333" s="3">
        <f>in_parking_demand_data_ver1!E333*calibration!$I$31</f>
        <v>1.8333990279244294</v>
      </c>
      <c r="F333" s="3">
        <f t="shared" si="5"/>
        <v>21.780780451742224</v>
      </c>
      <c r="G333">
        <v>15</v>
      </c>
    </row>
    <row r="334" spans="1:7" x14ac:dyDescent="0.25">
      <c r="A334">
        <v>18027</v>
      </c>
      <c r="B334" t="s">
        <v>19</v>
      </c>
      <c r="C334">
        <v>20</v>
      </c>
      <c r="D334" s="3">
        <f>in_parking_demand_data_ver1!D334*calibration!$I$31</f>
        <v>20.900748918338515</v>
      </c>
      <c r="E334" s="3">
        <f>in_parking_demand_data_ver1!E334*calibration!$I$31</f>
        <v>1.3200473001055855</v>
      </c>
      <c r="F334" s="3">
        <f t="shared" si="5"/>
        <v>22.2207962184441</v>
      </c>
      <c r="G334">
        <v>15</v>
      </c>
    </row>
    <row r="335" spans="1:7" x14ac:dyDescent="0.25">
      <c r="A335">
        <v>18027</v>
      </c>
      <c r="B335" t="s">
        <v>19</v>
      </c>
      <c r="C335">
        <v>21</v>
      </c>
      <c r="D335" s="3">
        <f>in_parking_demand_data_ver1!D335*calibration!$I$31</f>
        <v>21.340764685040337</v>
      </c>
      <c r="E335" s="3">
        <f>in_parking_demand_data_ver1!E335*calibration!$I$31</f>
        <v>1.7600630668074528</v>
      </c>
      <c r="F335" s="3">
        <f t="shared" si="5"/>
        <v>23.100827751847792</v>
      </c>
      <c r="G335">
        <v>15</v>
      </c>
    </row>
    <row r="336" spans="1:7" x14ac:dyDescent="0.25">
      <c r="A336">
        <v>18027</v>
      </c>
      <c r="B336" t="s">
        <v>19</v>
      </c>
      <c r="C336">
        <v>22</v>
      </c>
      <c r="D336" s="3">
        <f>in_parking_demand_data_ver1!D336*calibration!$I$31</f>
        <v>21.854116412859234</v>
      </c>
      <c r="E336" s="3">
        <f>in_parking_demand_data_ver1!E336*calibration!$I$31</f>
        <v>2.1267428723923354</v>
      </c>
      <c r="F336" s="3">
        <f t="shared" si="5"/>
        <v>23.980859285251569</v>
      </c>
      <c r="G336">
        <v>15</v>
      </c>
    </row>
    <row r="337" spans="1:7" x14ac:dyDescent="0.25">
      <c r="A337">
        <v>18027</v>
      </c>
      <c r="B337" t="s">
        <v>19</v>
      </c>
      <c r="C337">
        <v>23</v>
      </c>
      <c r="D337" s="3">
        <f>in_parking_demand_data_ver1!D337*calibration!$I$31</f>
        <v>22.294132179561057</v>
      </c>
      <c r="E337" s="3">
        <f>in_parking_demand_data_ver1!E337*calibration!$I$31</f>
        <v>2.566758639094203</v>
      </c>
      <c r="F337" s="3">
        <f t="shared" si="5"/>
        <v>24.86089081865526</v>
      </c>
      <c r="G337">
        <v>15</v>
      </c>
    </row>
    <row r="338" spans="1:7" x14ac:dyDescent="0.25">
      <c r="A338">
        <v>18029</v>
      </c>
      <c r="B338" t="s">
        <v>20</v>
      </c>
      <c r="C338">
        <v>0</v>
      </c>
      <c r="D338" s="3">
        <f>in_parking_demand_data_ver1!D338*calibration!$I$31</f>
        <v>28.0520115214028</v>
      </c>
      <c r="E338" s="3">
        <f>in_parking_demand_data_ver1!E338*calibration!$I$31</f>
        <v>3.449017810008546</v>
      </c>
      <c r="F338" s="3">
        <f t="shared" si="5"/>
        <v>31.501029331411345</v>
      </c>
      <c r="G338">
        <v>85</v>
      </c>
    </row>
    <row r="339" spans="1:7" x14ac:dyDescent="0.25">
      <c r="A339">
        <v>18029</v>
      </c>
      <c r="B339" t="s">
        <v>20</v>
      </c>
      <c r="C339">
        <v>1</v>
      </c>
      <c r="D339" s="3">
        <f>in_parking_demand_data_ver1!D339*calibration!$I$31</f>
        <v>28.396913302403675</v>
      </c>
      <c r="E339" s="3">
        <f>in_parking_demand_data_ver1!E339*calibration!$I$31</f>
        <v>3.7172747507869932</v>
      </c>
      <c r="F339" s="3">
        <f t="shared" si="5"/>
        <v>32.114188053190666</v>
      </c>
      <c r="G339">
        <v>85</v>
      </c>
    </row>
    <row r="340" spans="1:7" x14ac:dyDescent="0.25">
      <c r="A340">
        <v>18029</v>
      </c>
      <c r="B340" t="s">
        <v>20</v>
      </c>
      <c r="C340">
        <v>2</v>
      </c>
      <c r="D340" s="3">
        <f>in_parking_demand_data_ver1!D340*calibration!$I$31</f>
        <v>28.243623621958868</v>
      </c>
      <c r="E340" s="3">
        <f>in_parking_demand_data_ver1!E340*calibration!$I$31</f>
        <v>4.1004989518990476</v>
      </c>
      <c r="F340" s="3">
        <f t="shared" si="5"/>
        <v>32.344122573857916</v>
      </c>
      <c r="G340">
        <v>85</v>
      </c>
    </row>
    <row r="341" spans="1:7" x14ac:dyDescent="0.25">
      <c r="A341">
        <v>18029</v>
      </c>
      <c r="B341" t="s">
        <v>20</v>
      </c>
      <c r="C341">
        <v>3</v>
      </c>
      <c r="D341" s="3">
        <f>in_parking_demand_data_ver1!D341*calibration!$I$31</f>
        <v>28.166978781736422</v>
      </c>
      <c r="E341" s="3">
        <f>in_parking_demand_data_ver1!E341*calibration!$I$31</f>
        <v>4.3304334725662894</v>
      </c>
      <c r="F341" s="3">
        <f t="shared" si="5"/>
        <v>32.497412254302709</v>
      </c>
      <c r="G341">
        <v>85</v>
      </c>
    </row>
    <row r="342" spans="1:7" x14ac:dyDescent="0.25">
      <c r="A342">
        <v>18029</v>
      </c>
      <c r="B342" t="s">
        <v>20</v>
      </c>
      <c r="C342">
        <v>4</v>
      </c>
      <c r="D342" s="3">
        <f>in_parking_demand_data_ver1!D342*calibration!$I$31</f>
        <v>27.898721840957993</v>
      </c>
      <c r="E342" s="3">
        <f>in_parking_demand_data_ver1!E342*calibration!$I$31</f>
        <v>4.8669473541231749</v>
      </c>
      <c r="F342" s="3">
        <f t="shared" si="5"/>
        <v>32.765669195081166</v>
      </c>
      <c r="G342">
        <v>85</v>
      </c>
    </row>
    <row r="343" spans="1:7" x14ac:dyDescent="0.25">
      <c r="A343">
        <v>18029</v>
      </c>
      <c r="B343" t="s">
        <v>20</v>
      </c>
      <c r="C343">
        <v>5</v>
      </c>
      <c r="D343" s="3">
        <f>in_parking_demand_data_ver1!D343*calibration!$I$31</f>
        <v>25.48440937395204</v>
      </c>
      <c r="E343" s="3">
        <f>in_parking_demand_data_ver1!E343*calibration!$I$31</f>
        <v>6.0166199574593566</v>
      </c>
      <c r="F343" s="3">
        <f t="shared" si="5"/>
        <v>31.501029331411395</v>
      </c>
      <c r="G343">
        <v>85</v>
      </c>
    </row>
    <row r="344" spans="1:7" x14ac:dyDescent="0.25">
      <c r="A344">
        <v>18029</v>
      </c>
      <c r="B344" t="s">
        <v>20</v>
      </c>
      <c r="C344">
        <v>6</v>
      </c>
      <c r="D344" s="3">
        <f>in_parking_demand_data_ver1!D344*calibration!$I$31</f>
        <v>23.108419327057266</v>
      </c>
      <c r="E344" s="3">
        <f>in_parking_demand_data_ver1!E344*calibration!$I$31</f>
        <v>9.5039601875791</v>
      </c>
      <c r="F344" s="3">
        <f t="shared" si="5"/>
        <v>32.612379514636366</v>
      </c>
      <c r="G344">
        <v>85</v>
      </c>
    </row>
    <row r="345" spans="1:7" x14ac:dyDescent="0.25">
      <c r="A345">
        <v>18029</v>
      </c>
      <c r="B345" t="s">
        <v>20</v>
      </c>
      <c r="C345">
        <v>7</v>
      </c>
      <c r="D345" s="3">
        <f>in_parking_demand_data_ver1!D345*calibration!$I$31</f>
        <v>19.391144576270253</v>
      </c>
      <c r="E345" s="3">
        <f>in_parking_demand_data_ver1!E345*calibration!$I$31</f>
        <v>9.4273153473566556</v>
      </c>
      <c r="F345" s="3">
        <f t="shared" si="5"/>
        <v>28.818459923626911</v>
      </c>
      <c r="G345">
        <v>85</v>
      </c>
    </row>
    <row r="346" spans="1:7" x14ac:dyDescent="0.25">
      <c r="A346">
        <v>18029</v>
      </c>
      <c r="B346" t="s">
        <v>20</v>
      </c>
      <c r="C346">
        <v>8</v>
      </c>
      <c r="D346" s="3">
        <f>in_parking_demand_data_ver1!D346*calibration!$I$31</f>
        <v>14.715809322703064</v>
      </c>
      <c r="E346" s="3">
        <f>in_parking_demand_data_ver1!E346*calibration!$I$31</f>
        <v>7.5878391820188078</v>
      </c>
      <c r="F346" s="3">
        <f t="shared" si="5"/>
        <v>22.30364850472187</v>
      </c>
      <c r="G346">
        <v>85</v>
      </c>
    </row>
    <row r="347" spans="1:7" x14ac:dyDescent="0.25">
      <c r="A347">
        <v>18029</v>
      </c>
      <c r="B347" t="s">
        <v>20</v>
      </c>
      <c r="C347">
        <v>9</v>
      </c>
      <c r="D347" s="3">
        <f>in_parking_demand_data_ver1!D347*calibration!$I$31</f>
        <v>12.03323991491868</v>
      </c>
      <c r="E347" s="3">
        <f>in_parking_demand_data_ver1!E347*calibration!$I$31</f>
        <v>8.6991893652437255</v>
      </c>
      <c r="F347" s="3">
        <f t="shared" si="5"/>
        <v>20.732429280162407</v>
      </c>
      <c r="G347">
        <v>85</v>
      </c>
    </row>
    <row r="348" spans="1:7" x14ac:dyDescent="0.25">
      <c r="A348">
        <v>18029</v>
      </c>
      <c r="B348" t="s">
        <v>20</v>
      </c>
      <c r="C348">
        <v>10</v>
      </c>
      <c r="D348" s="3">
        <f>in_parking_demand_data_ver1!D348*calibration!$I$31</f>
        <v>11.305113932805751</v>
      </c>
      <c r="E348" s="3">
        <f>in_parking_demand_data_ver1!E348*calibration!$I$31</f>
        <v>7.7794512825748345</v>
      </c>
      <c r="F348" s="3">
        <f t="shared" si="5"/>
        <v>19.084565215380586</v>
      </c>
      <c r="G348">
        <v>85</v>
      </c>
    </row>
    <row r="349" spans="1:7" x14ac:dyDescent="0.25">
      <c r="A349">
        <v>18029</v>
      </c>
      <c r="B349" t="s">
        <v>20</v>
      </c>
      <c r="C349">
        <v>11</v>
      </c>
      <c r="D349" s="3">
        <f>in_parking_demand_data_ver1!D349*calibration!$I$31</f>
        <v>11.650015713806624</v>
      </c>
      <c r="E349" s="3">
        <f>in_parking_demand_data_ver1!E349*calibration!$I$31</f>
        <v>6.2848768982377949</v>
      </c>
      <c r="F349" s="3">
        <f t="shared" si="5"/>
        <v>17.934892612044418</v>
      </c>
      <c r="G349">
        <v>85</v>
      </c>
    </row>
    <row r="350" spans="1:7" x14ac:dyDescent="0.25">
      <c r="A350">
        <v>18029</v>
      </c>
      <c r="B350" t="s">
        <v>20</v>
      </c>
      <c r="C350">
        <v>12</v>
      </c>
      <c r="D350" s="3">
        <f>in_parking_demand_data_ver1!D350*calibration!$I$31</f>
        <v>11.0751794121385</v>
      </c>
      <c r="E350" s="3">
        <f>in_parking_demand_data_ver1!E350*calibration!$I$31</f>
        <v>4.5986904133447277</v>
      </c>
      <c r="F350" s="3">
        <f t="shared" si="5"/>
        <v>15.673869825483226</v>
      </c>
      <c r="G350">
        <v>85</v>
      </c>
    </row>
    <row r="351" spans="1:7" x14ac:dyDescent="0.25">
      <c r="A351">
        <v>18029</v>
      </c>
      <c r="B351" t="s">
        <v>20</v>
      </c>
      <c r="C351">
        <v>13</v>
      </c>
      <c r="D351" s="3">
        <f>in_parking_demand_data_ver1!D351*calibration!$I$31</f>
        <v>11.305113932805751</v>
      </c>
      <c r="E351" s="3">
        <f>in_parking_demand_data_ver1!E351*calibration!$I$31</f>
        <v>3.4106953898973402</v>
      </c>
      <c r="F351" s="3">
        <f t="shared" si="5"/>
        <v>14.715809322703091</v>
      </c>
      <c r="G351">
        <v>85</v>
      </c>
    </row>
    <row r="352" spans="1:7" x14ac:dyDescent="0.25">
      <c r="A352">
        <v>18029</v>
      </c>
      <c r="B352" t="s">
        <v>20</v>
      </c>
      <c r="C352">
        <v>14</v>
      </c>
      <c r="D352" s="3">
        <f>in_parking_demand_data_ver1!D352*calibration!$I$31</f>
        <v>10.99853457191614</v>
      </c>
      <c r="E352" s="3">
        <f>in_parking_demand_data_ver1!E352*calibration!$I$31</f>
        <v>2.7208918278956329</v>
      </c>
      <c r="F352" s="3">
        <f t="shared" si="5"/>
        <v>13.719426399811773</v>
      </c>
      <c r="G352">
        <v>85</v>
      </c>
    </row>
    <row r="353" spans="1:7" x14ac:dyDescent="0.25">
      <c r="A353">
        <v>18029</v>
      </c>
      <c r="B353" t="s">
        <v>20</v>
      </c>
      <c r="C353">
        <v>15</v>
      </c>
      <c r="D353" s="3">
        <f>in_parking_demand_data_ver1!D353*calibration!$I$31</f>
        <v>10.385375850136835</v>
      </c>
      <c r="E353" s="3">
        <f>in_parking_demand_data_ver1!E353*calibration!$I$31</f>
        <v>1.7628313251154786</v>
      </c>
      <c r="F353" s="3">
        <f t="shared" si="5"/>
        <v>12.148207175252313</v>
      </c>
      <c r="G353">
        <v>85</v>
      </c>
    </row>
    <row r="354" spans="1:7" x14ac:dyDescent="0.25">
      <c r="A354">
        <v>18029</v>
      </c>
      <c r="B354" t="s">
        <v>20</v>
      </c>
      <c r="C354">
        <v>16</v>
      </c>
      <c r="D354" s="3">
        <f>in_parking_demand_data_ver1!D354*calibration!$I$31</f>
        <v>12.723043476920429</v>
      </c>
      <c r="E354" s="3">
        <f>in_parking_demand_data_ver1!E354*calibration!$I$31</f>
        <v>0.88141566255773496</v>
      </c>
      <c r="F354" s="3">
        <f t="shared" si="5"/>
        <v>13.604459139478164</v>
      </c>
      <c r="G354">
        <v>85</v>
      </c>
    </row>
    <row r="355" spans="1:7" x14ac:dyDescent="0.25">
      <c r="A355">
        <v>18029</v>
      </c>
      <c r="B355" t="s">
        <v>20</v>
      </c>
      <c r="C355">
        <v>17</v>
      </c>
      <c r="D355" s="3">
        <f>in_parking_demand_data_ver1!D355*calibration!$I$31</f>
        <v>15.75051466570569</v>
      </c>
      <c r="E355" s="3">
        <f>in_parking_demand_data_ver1!E355*calibration!$I$31</f>
        <v>0.80477082233532826</v>
      </c>
      <c r="F355" s="3">
        <f t="shared" si="5"/>
        <v>16.555285488041019</v>
      </c>
      <c r="G355">
        <v>85</v>
      </c>
    </row>
    <row r="356" spans="1:7" x14ac:dyDescent="0.25">
      <c r="A356">
        <v>18029</v>
      </c>
      <c r="B356" t="s">
        <v>20</v>
      </c>
      <c r="C356">
        <v>18</v>
      </c>
      <c r="D356" s="3">
        <f>in_parking_demand_data_ver1!D356*calibration!$I$31</f>
        <v>19.965980877938378</v>
      </c>
      <c r="E356" s="3">
        <f>in_parking_demand_data_ver1!E356*calibration!$I$31</f>
        <v>1.4179295441146205</v>
      </c>
      <c r="F356" s="3">
        <f t="shared" si="5"/>
        <v>21.383910422052999</v>
      </c>
      <c r="G356">
        <v>85</v>
      </c>
    </row>
    <row r="357" spans="1:7" x14ac:dyDescent="0.25">
      <c r="A357">
        <v>18029</v>
      </c>
      <c r="B357" t="s">
        <v>20</v>
      </c>
      <c r="C357">
        <v>19</v>
      </c>
      <c r="D357" s="3">
        <f>in_parking_demand_data_ver1!D357*calibration!$I$31</f>
        <v>22.686872705833945</v>
      </c>
      <c r="E357" s="3">
        <f>in_parking_demand_data_ver1!E357*calibration!$I$31</f>
        <v>2.4526348871171857</v>
      </c>
      <c r="F357" s="3">
        <f t="shared" si="5"/>
        <v>25.13950759295113</v>
      </c>
      <c r="G357">
        <v>85</v>
      </c>
    </row>
    <row r="358" spans="1:7" x14ac:dyDescent="0.25">
      <c r="A358">
        <v>18029</v>
      </c>
      <c r="B358" t="s">
        <v>20</v>
      </c>
      <c r="C358">
        <v>20</v>
      </c>
      <c r="D358" s="3">
        <f>in_parking_demand_data_ver1!D358*calibration!$I$31</f>
        <v>24.756283391839109</v>
      </c>
      <c r="E358" s="3">
        <f>in_parking_demand_data_ver1!E358*calibration!$I$31</f>
        <v>2.605924567562008</v>
      </c>
      <c r="F358" s="3">
        <f t="shared" si="5"/>
        <v>27.362207959401118</v>
      </c>
      <c r="G358">
        <v>85</v>
      </c>
    </row>
    <row r="359" spans="1:7" x14ac:dyDescent="0.25">
      <c r="A359">
        <v>18029</v>
      </c>
      <c r="B359" t="s">
        <v>20</v>
      </c>
      <c r="C359">
        <v>21</v>
      </c>
      <c r="D359" s="3">
        <f>in_parking_demand_data_ver1!D359*calibration!$I$31</f>
        <v>26.365825036509772</v>
      </c>
      <c r="E359" s="3">
        <f>in_parking_demand_data_ver1!E359*calibration!$I$31</f>
        <v>1.9927658457827113</v>
      </c>
      <c r="F359" s="3">
        <f t="shared" si="5"/>
        <v>28.358590882292482</v>
      </c>
      <c r="G359">
        <v>85</v>
      </c>
    </row>
    <row r="360" spans="1:7" x14ac:dyDescent="0.25">
      <c r="A360">
        <v>18029</v>
      </c>
      <c r="B360" t="s">
        <v>20</v>
      </c>
      <c r="C360">
        <v>22</v>
      </c>
      <c r="D360" s="3">
        <f>in_parking_demand_data_ver1!D360*calibration!$I$31</f>
        <v>27.707109740402011</v>
      </c>
      <c r="E360" s="3">
        <f>in_parking_demand_data_ver1!E360*calibration!$I$31</f>
        <v>2.4909573072283915</v>
      </c>
      <c r="F360" s="3">
        <f t="shared" si="5"/>
        <v>30.198067047630403</v>
      </c>
      <c r="G360">
        <v>85</v>
      </c>
    </row>
    <row r="361" spans="1:7" x14ac:dyDescent="0.25">
      <c r="A361">
        <v>18029</v>
      </c>
      <c r="B361" t="s">
        <v>20</v>
      </c>
      <c r="C361">
        <v>23</v>
      </c>
      <c r="D361" s="3">
        <f>in_parking_demand_data_ver1!D361*calibration!$I$31</f>
        <v>27.783754580624368</v>
      </c>
      <c r="E361" s="3">
        <f>in_parking_demand_data_ver1!E361*calibration!$I$31</f>
        <v>3.0274711887852765</v>
      </c>
      <c r="F361" s="3">
        <f t="shared" si="5"/>
        <v>30.811225769409646</v>
      </c>
      <c r="G361">
        <v>85</v>
      </c>
    </row>
    <row r="362" spans="1:7" x14ac:dyDescent="0.25">
      <c r="A362">
        <v>18031</v>
      </c>
      <c r="B362" t="s">
        <v>21</v>
      </c>
      <c r="C362">
        <v>0</v>
      </c>
      <c r="D362" s="3">
        <f>in_parking_demand_data_ver1!D362*calibration!$I$31</f>
        <v>246.35575819730474</v>
      </c>
      <c r="E362" s="3">
        <f>in_parking_demand_data_ver1!E362*calibration!$I$31</f>
        <v>6.8037733411839891</v>
      </c>
      <c r="F362" s="3">
        <f t="shared" si="5"/>
        <v>253.15953153848872</v>
      </c>
      <c r="G362">
        <v>209</v>
      </c>
    </row>
    <row r="363" spans="1:7" x14ac:dyDescent="0.25">
      <c r="A363">
        <v>18031</v>
      </c>
      <c r="B363" t="s">
        <v>21</v>
      </c>
      <c r="C363">
        <v>1</v>
      </c>
      <c r="D363" s="3">
        <f>in_parking_demand_data_ver1!D363*calibration!$I$31</f>
        <v>248.07149234421254</v>
      </c>
      <c r="E363" s="3">
        <f>in_parking_demand_data_ver1!E363*calibration!$I$31</f>
        <v>7.5137322985249275</v>
      </c>
      <c r="F363" s="3">
        <f t="shared" si="5"/>
        <v>255.58522464273747</v>
      </c>
      <c r="G363">
        <v>209</v>
      </c>
    </row>
    <row r="364" spans="1:7" x14ac:dyDescent="0.25">
      <c r="A364">
        <v>18031</v>
      </c>
      <c r="B364" t="s">
        <v>21</v>
      </c>
      <c r="C364">
        <v>2</v>
      </c>
      <c r="D364" s="3">
        <f>in_parking_demand_data_ver1!D364*calibration!$I$31</f>
        <v>245.58663599351954</v>
      </c>
      <c r="E364" s="3">
        <f>in_parking_demand_data_ver1!E364*calibration!$I$31</f>
        <v>7.8095485307503143</v>
      </c>
      <c r="F364" s="3">
        <f t="shared" si="5"/>
        <v>253.39618452426984</v>
      </c>
      <c r="G364">
        <v>209</v>
      </c>
    </row>
    <row r="365" spans="1:7" x14ac:dyDescent="0.25">
      <c r="A365">
        <v>18031</v>
      </c>
      <c r="B365" t="s">
        <v>21</v>
      </c>
      <c r="C365">
        <v>3</v>
      </c>
      <c r="D365" s="3">
        <f>in_parking_demand_data_ver1!D365*calibration!$I$31</f>
        <v>235.7063738371908</v>
      </c>
      <c r="E365" s="3">
        <f>in_parking_demand_data_ver1!E365*calibration!$I$31</f>
        <v>8.460344241646176</v>
      </c>
      <c r="F365" s="3">
        <f t="shared" si="5"/>
        <v>244.16671807883696</v>
      </c>
      <c r="G365">
        <v>209</v>
      </c>
    </row>
    <row r="366" spans="1:7" x14ac:dyDescent="0.25">
      <c r="A366">
        <v>18031</v>
      </c>
      <c r="B366" t="s">
        <v>21</v>
      </c>
      <c r="C366">
        <v>4</v>
      </c>
      <c r="D366" s="3">
        <f>in_parking_demand_data_ver1!D366*calibration!$I$31</f>
        <v>219.43648106479472</v>
      </c>
      <c r="E366" s="3">
        <f>in_parking_demand_data_ver1!E366*calibration!$I$31</f>
        <v>8.992813459651865</v>
      </c>
      <c r="F366" s="3">
        <f t="shared" si="5"/>
        <v>228.42929452444659</v>
      </c>
      <c r="G366">
        <v>209</v>
      </c>
    </row>
    <row r="367" spans="1:7" x14ac:dyDescent="0.25">
      <c r="A367">
        <v>18031</v>
      </c>
      <c r="B367" t="s">
        <v>21</v>
      </c>
      <c r="C367">
        <v>5</v>
      </c>
      <c r="D367" s="3">
        <f>in_parking_demand_data_ver1!D367*calibration!$I$31</f>
        <v>209.2604026762412</v>
      </c>
      <c r="E367" s="3">
        <f>in_parking_demand_data_ver1!E367*calibration!$I$31</f>
        <v>10.590221113668914</v>
      </c>
      <c r="F367" s="3">
        <f t="shared" si="5"/>
        <v>219.85062378991012</v>
      </c>
      <c r="G367">
        <v>209</v>
      </c>
    </row>
    <row r="368" spans="1:7" x14ac:dyDescent="0.25">
      <c r="A368">
        <v>18031</v>
      </c>
      <c r="B368" t="s">
        <v>21</v>
      </c>
      <c r="C368">
        <v>6</v>
      </c>
      <c r="D368" s="3">
        <f>in_parking_demand_data_ver1!D368*calibration!$I$31</f>
        <v>190.97895952471168</v>
      </c>
      <c r="E368" s="3">
        <f>in_parking_demand_data_ver1!E368*calibration!$I$31</f>
        <v>13.903362914593339</v>
      </c>
      <c r="F368" s="3">
        <f t="shared" si="5"/>
        <v>204.88232243930503</v>
      </c>
      <c r="G368">
        <v>209</v>
      </c>
    </row>
    <row r="369" spans="1:7" x14ac:dyDescent="0.25">
      <c r="A369">
        <v>18031</v>
      </c>
      <c r="B369" t="s">
        <v>21</v>
      </c>
      <c r="C369">
        <v>7</v>
      </c>
      <c r="D369" s="3">
        <f>in_parking_demand_data_ver1!D369*calibration!$I$31</f>
        <v>158.67582696569929</v>
      </c>
      <c r="E369" s="3">
        <f>in_parking_demand_data_ver1!E369*calibration!$I$31</f>
        <v>15.027464597049855</v>
      </c>
      <c r="F369" s="3">
        <f t="shared" si="5"/>
        <v>173.70329156274914</v>
      </c>
      <c r="G369">
        <v>209</v>
      </c>
    </row>
    <row r="370" spans="1:7" x14ac:dyDescent="0.25">
      <c r="A370">
        <v>18031</v>
      </c>
      <c r="B370" t="s">
        <v>21</v>
      </c>
      <c r="C370">
        <v>8</v>
      </c>
      <c r="D370" s="3">
        <f>in_parking_demand_data_ver1!D370*calibration!$I$31</f>
        <v>136.01630357723414</v>
      </c>
      <c r="E370" s="3">
        <f>in_parking_demand_data_ver1!E370*calibration!$I$31</f>
        <v>11.359343317454965</v>
      </c>
      <c r="F370" s="3">
        <f t="shared" si="5"/>
        <v>147.37564689468911</v>
      </c>
      <c r="G370">
        <v>209</v>
      </c>
    </row>
    <row r="371" spans="1:7" x14ac:dyDescent="0.25">
      <c r="A371">
        <v>18031</v>
      </c>
      <c r="B371" t="s">
        <v>21</v>
      </c>
      <c r="C371">
        <v>9</v>
      </c>
      <c r="D371" s="3">
        <f>in_parking_demand_data_ver1!D371*calibration!$I$31</f>
        <v>131.46073360096364</v>
      </c>
      <c r="E371" s="3">
        <f>in_parking_demand_data_ver1!E371*calibration!$I$31</f>
        <v>9.5252826776575201</v>
      </c>
      <c r="F371" s="3">
        <f t="shared" si="5"/>
        <v>140.98601627862115</v>
      </c>
      <c r="G371">
        <v>209</v>
      </c>
    </row>
    <row r="372" spans="1:7" x14ac:dyDescent="0.25">
      <c r="A372">
        <v>18031</v>
      </c>
      <c r="B372" t="s">
        <v>21</v>
      </c>
      <c r="C372">
        <v>10</v>
      </c>
      <c r="D372" s="3">
        <f>in_parking_demand_data_ver1!D372*calibration!$I$31</f>
        <v>121.5804714446349</v>
      </c>
      <c r="E372" s="3">
        <f>in_parking_demand_data_ver1!E372*calibration!$I$31</f>
        <v>8.6969972274264347</v>
      </c>
      <c r="F372" s="3">
        <f t="shared" si="5"/>
        <v>130.27746867206133</v>
      </c>
      <c r="G372">
        <v>209</v>
      </c>
    </row>
    <row r="373" spans="1:7" x14ac:dyDescent="0.25">
      <c r="A373">
        <v>18031</v>
      </c>
      <c r="B373" t="s">
        <v>21</v>
      </c>
      <c r="C373">
        <v>11</v>
      </c>
      <c r="D373" s="3">
        <f>in_parking_demand_data_ver1!D373*calibration!$I$31</f>
        <v>119.92390054417289</v>
      </c>
      <c r="E373" s="3">
        <f>in_parking_demand_data_ver1!E373*calibration!$I$31</f>
        <v>5.7979981516176542</v>
      </c>
      <c r="F373" s="3">
        <f t="shared" si="5"/>
        <v>125.72189869579054</v>
      </c>
      <c r="G373">
        <v>209</v>
      </c>
    </row>
    <row r="374" spans="1:7" x14ac:dyDescent="0.25">
      <c r="A374">
        <v>18031</v>
      </c>
      <c r="B374" t="s">
        <v>21</v>
      </c>
      <c r="C374">
        <v>12</v>
      </c>
      <c r="D374" s="3">
        <f>in_parking_demand_data_ver1!D374*calibration!$I$31</f>
        <v>122.76373637353646</v>
      </c>
      <c r="E374" s="3">
        <f>in_parking_demand_data_ver1!E374*calibration!$I$31</f>
        <v>4.4372434833808638</v>
      </c>
      <c r="F374" s="3">
        <f t="shared" si="5"/>
        <v>127.20097985691733</v>
      </c>
      <c r="G374">
        <v>209</v>
      </c>
    </row>
    <row r="375" spans="1:7" x14ac:dyDescent="0.25">
      <c r="A375">
        <v>18031</v>
      </c>
      <c r="B375" t="s">
        <v>21</v>
      </c>
      <c r="C375">
        <v>13</v>
      </c>
      <c r="D375" s="3">
        <f>in_parking_demand_data_ver1!D375*calibration!$I$31</f>
        <v>123.5328585773225</v>
      </c>
      <c r="E375" s="3">
        <f>in_parking_demand_data_ver1!E375*calibration!$I$31</f>
        <v>2.0115503791326521</v>
      </c>
      <c r="F375" s="3">
        <f t="shared" si="5"/>
        <v>125.54440895645516</v>
      </c>
      <c r="G375">
        <v>209</v>
      </c>
    </row>
    <row r="376" spans="1:7" x14ac:dyDescent="0.25">
      <c r="A376">
        <v>18031</v>
      </c>
      <c r="B376" t="s">
        <v>21</v>
      </c>
      <c r="C376">
        <v>14</v>
      </c>
      <c r="D376" s="3">
        <f>in_parking_demand_data_ver1!D376*calibration!$I$31</f>
        <v>126.0768781744613</v>
      </c>
      <c r="E376" s="3">
        <f>in_parking_demand_data_ver1!E376*calibration!$I$31</f>
        <v>1.3015914217917135</v>
      </c>
      <c r="F376" s="3">
        <f t="shared" si="5"/>
        <v>127.37846959625301</v>
      </c>
      <c r="G376">
        <v>209</v>
      </c>
    </row>
    <row r="377" spans="1:7" x14ac:dyDescent="0.25">
      <c r="A377">
        <v>18031</v>
      </c>
      <c r="B377" t="s">
        <v>21</v>
      </c>
      <c r="C377">
        <v>15</v>
      </c>
      <c r="D377" s="3">
        <f>in_parking_demand_data_ver1!D377*calibration!$I$31</f>
        <v>133.2947942407605</v>
      </c>
      <c r="E377" s="3">
        <f>in_parking_demand_data_ver1!E377*calibration!$I$31</f>
        <v>0.88744869667617099</v>
      </c>
      <c r="F377" s="3">
        <f t="shared" si="5"/>
        <v>134.18224293743665</v>
      </c>
      <c r="G377">
        <v>209</v>
      </c>
    </row>
    <row r="378" spans="1:7" x14ac:dyDescent="0.25">
      <c r="A378">
        <v>18031</v>
      </c>
      <c r="B378" t="s">
        <v>21</v>
      </c>
      <c r="C378">
        <v>16</v>
      </c>
      <c r="D378" s="3">
        <f>in_parking_demand_data_ver1!D378*calibration!$I$31</f>
        <v>154.41607322165353</v>
      </c>
      <c r="E378" s="3">
        <f>in_parking_demand_data_ver1!E378*calibration!$I$31</f>
        <v>0.59163246445078177</v>
      </c>
      <c r="F378" s="3">
        <f t="shared" si="5"/>
        <v>155.00770568610432</v>
      </c>
      <c r="G378">
        <v>209</v>
      </c>
    </row>
    <row r="379" spans="1:7" x14ac:dyDescent="0.25">
      <c r="A379">
        <v>18031</v>
      </c>
      <c r="B379" t="s">
        <v>21</v>
      </c>
      <c r="C379">
        <v>17</v>
      </c>
      <c r="D379" s="3">
        <f>in_parking_demand_data_ver1!D379*calibration!$I$31</f>
        <v>173.05249585185359</v>
      </c>
      <c r="E379" s="3">
        <f>in_parking_demand_data_ver1!E379*calibration!$I$31</f>
        <v>0.76912220378601603</v>
      </c>
      <c r="F379" s="3">
        <f t="shared" si="5"/>
        <v>173.82161805563962</v>
      </c>
      <c r="G379">
        <v>209</v>
      </c>
    </row>
    <row r="380" spans="1:7" x14ac:dyDescent="0.25">
      <c r="A380">
        <v>18031</v>
      </c>
      <c r="B380" t="s">
        <v>21</v>
      </c>
      <c r="C380">
        <v>18</v>
      </c>
      <c r="D380" s="3">
        <f>in_parking_demand_data_ver1!D380*calibration!$I$31</f>
        <v>193.70046886118536</v>
      </c>
      <c r="E380" s="3">
        <f>in_parking_demand_data_ver1!E380*calibration!$I$31</f>
        <v>1.1832649289015584</v>
      </c>
      <c r="F380" s="3">
        <f t="shared" si="5"/>
        <v>194.88373379008692</v>
      </c>
      <c r="G380">
        <v>209</v>
      </c>
    </row>
    <row r="381" spans="1:7" x14ac:dyDescent="0.25">
      <c r="A381">
        <v>18031</v>
      </c>
      <c r="B381" t="s">
        <v>21</v>
      </c>
      <c r="C381">
        <v>19</v>
      </c>
      <c r="D381" s="3">
        <f>in_parking_demand_data_ver1!D381*calibration!$I$31</f>
        <v>208.90542319757066</v>
      </c>
      <c r="E381" s="3">
        <f>in_parking_demand_data_ver1!E381*calibration!$I$31</f>
        <v>1.6565709004621869</v>
      </c>
      <c r="F381" s="3">
        <f t="shared" si="5"/>
        <v>210.56199409803284</v>
      </c>
      <c r="G381">
        <v>209</v>
      </c>
    </row>
    <row r="382" spans="1:7" x14ac:dyDescent="0.25">
      <c r="A382">
        <v>18031</v>
      </c>
      <c r="B382" t="s">
        <v>21</v>
      </c>
      <c r="C382">
        <v>20</v>
      </c>
      <c r="D382" s="3">
        <f>in_parking_demand_data_ver1!D382*calibration!$I$31</f>
        <v>220.79723573303107</v>
      </c>
      <c r="E382" s="3">
        <f>in_parking_demand_data_ver1!E382*calibration!$I$31</f>
        <v>2.1298768720228067</v>
      </c>
      <c r="F382" s="3">
        <f t="shared" si="5"/>
        <v>222.92711260505388</v>
      </c>
      <c r="G382">
        <v>209</v>
      </c>
    </row>
    <row r="383" spans="1:7" x14ac:dyDescent="0.25">
      <c r="A383">
        <v>18031</v>
      </c>
      <c r="B383" t="s">
        <v>21</v>
      </c>
      <c r="C383">
        <v>21</v>
      </c>
      <c r="D383" s="3">
        <f>in_parking_demand_data_ver1!D383*calibration!$I$31</f>
        <v>228.54762101733652</v>
      </c>
      <c r="E383" s="3">
        <f>in_parking_demand_data_ver1!E383*calibration!$I$31</f>
        <v>3.0764888151440641</v>
      </c>
      <c r="F383" s="3">
        <f t="shared" si="5"/>
        <v>231.6241098324806</v>
      </c>
      <c r="G383">
        <v>209</v>
      </c>
    </row>
    <row r="384" spans="1:7" x14ac:dyDescent="0.25">
      <c r="A384">
        <v>18031</v>
      </c>
      <c r="B384" t="s">
        <v>21</v>
      </c>
      <c r="C384">
        <v>22</v>
      </c>
      <c r="D384" s="3">
        <f>in_parking_demand_data_ver1!D384*calibration!$I$31</f>
        <v>238.96035239167068</v>
      </c>
      <c r="E384" s="3">
        <f>in_parking_demand_data_ver1!E384*calibration!$I$31</f>
        <v>4.7922229620513281</v>
      </c>
      <c r="F384" s="3">
        <f t="shared" si="5"/>
        <v>243.75257535372202</v>
      </c>
      <c r="G384">
        <v>209</v>
      </c>
    </row>
    <row r="385" spans="1:7" x14ac:dyDescent="0.25">
      <c r="A385">
        <v>18031</v>
      </c>
      <c r="B385" t="s">
        <v>21</v>
      </c>
      <c r="C385">
        <v>23</v>
      </c>
      <c r="D385" s="3">
        <f>in_parking_demand_data_ver1!D385*calibration!$I$31</f>
        <v>242.9834531499358</v>
      </c>
      <c r="E385" s="3">
        <f>in_parking_demand_data_ver1!E385*calibration!$I$31</f>
        <v>5.7388349051725767</v>
      </c>
      <c r="F385" s="3">
        <f t="shared" si="5"/>
        <v>248.72228805510838</v>
      </c>
      <c r="G385">
        <v>209</v>
      </c>
    </row>
    <row r="386" spans="1:7" x14ac:dyDescent="0.25">
      <c r="A386">
        <v>18033</v>
      </c>
      <c r="B386" t="s">
        <v>22</v>
      </c>
      <c r="C386">
        <v>0</v>
      </c>
      <c r="D386" s="3">
        <f>in_parking_demand_data_ver1!D386*calibration!$I$31</f>
        <v>85.886432705860756</v>
      </c>
      <c r="E386" s="3">
        <f>in_parking_demand_data_ver1!E386*calibration!$I$31</f>
        <v>1.0678597316892113</v>
      </c>
      <c r="F386" s="3">
        <f t="shared" si="5"/>
        <v>86.954292437549967</v>
      </c>
      <c r="G386">
        <v>230</v>
      </c>
    </row>
    <row r="387" spans="1:7" x14ac:dyDescent="0.25">
      <c r="A387">
        <v>18033</v>
      </c>
      <c r="B387" t="s">
        <v>22</v>
      </c>
      <c r="C387">
        <v>1</v>
      </c>
      <c r="D387" s="3">
        <f>in_parking_demand_data_ver1!D387*calibration!$I$31</f>
        <v>86.34408687658474</v>
      </c>
      <c r="E387" s="3">
        <f>in_parking_demand_data_ver1!E387*calibration!$I$31</f>
        <v>1.4746634389993865</v>
      </c>
      <c r="F387" s="3">
        <f t="shared" ref="F387:F450" si="6">SUM(D387:E387)</f>
        <v>87.818750315584126</v>
      </c>
      <c r="G387">
        <v>230</v>
      </c>
    </row>
    <row r="388" spans="1:7" x14ac:dyDescent="0.25">
      <c r="A388">
        <v>18033</v>
      </c>
      <c r="B388" t="s">
        <v>22</v>
      </c>
      <c r="C388">
        <v>2</v>
      </c>
      <c r="D388" s="3">
        <f>in_parking_demand_data_ver1!D388*calibration!$I$31</f>
        <v>88.683208193618142</v>
      </c>
      <c r="E388" s="3">
        <f>in_parking_demand_data_ver1!E388*calibration!$I$31</f>
        <v>1.8306166828957875</v>
      </c>
      <c r="F388" s="3">
        <f t="shared" si="6"/>
        <v>90.513824876513937</v>
      </c>
      <c r="G388">
        <v>230</v>
      </c>
    </row>
    <row r="389" spans="1:7" x14ac:dyDescent="0.25">
      <c r="A389">
        <v>18033</v>
      </c>
      <c r="B389" t="s">
        <v>22</v>
      </c>
      <c r="C389">
        <v>3</v>
      </c>
      <c r="D389" s="3">
        <f>in_parking_demand_data_ver1!D389*calibration!$I$31</f>
        <v>89.496815608238506</v>
      </c>
      <c r="E389" s="3">
        <f>in_parking_demand_data_ver1!E389*calibration!$I$31</f>
        <v>1.8814671463095614</v>
      </c>
      <c r="F389" s="3">
        <f t="shared" si="6"/>
        <v>91.378282754548067</v>
      </c>
      <c r="G389">
        <v>230</v>
      </c>
    </row>
    <row r="390" spans="1:7" x14ac:dyDescent="0.25">
      <c r="A390">
        <v>18033</v>
      </c>
      <c r="B390" t="s">
        <v>22</v>
      </c>
      <c r="C390">
        <v>4</v>
      </c>
      <c r="D390" s="3">
        <f>in_parking_demand_data_ver1!D390*calibration!$I$31</f>
        <v>85.47962899855014</v>
      </c>
      <c r="E390" s="3">
        <f>in_parking_demand_data_ver1!E390*calibration!$I$31</f>
        <v>1.9323176097233352</v>
      </c>
      <c r="F390" s="3">
        <f t="shared" si="6"/>
        <v>87.411946608273482</v>
      </c>
      <c r="G390">
        <v>230</v>
      </c>
    </row>
    <row r="391" spans="1:7" x14ac:dyDescent="0.25">
      <c r="A391">
        <v>18033</v>
      </c>
      <c r="B391" t="s">
        <v>22</v>
      </c>
      <c r="C391">
        <v>5</v>
      </c>
      <c r="D391" s="3">
        <f>in_parking_demand_data_ver1!D391*calibration!$I$31</f>
        <v>86.496638266825798</v>
      </c>
      <c r="E391" s="3">
        <f>in_parking_demand_data_ver1!E391*calibration!$I$31</f>
        <v>2.3899717804472846</v>
      </c>
      <c r="F391" s="3">
        <f t="shared" si="6"/>
        <v>88.886610047273081</v>
      </c>
      <c r="G391">
        <v>230</v>
      </c>
    </row>
    <row r="392" spans="1:7" x14ac:dyDescent="0.25">
      <c r="A392">
        <v>18033</v>
      </c>
      <c r="B392" t="s">
        <v>22</v>
      </c>
      <c r="C392">
        <v>6</v>
      </c>
      <c r="D392" s="3">
        <f>in_parking_demand_data_ver1!D392*calibration!$I$31</f>
        <v>81.411591925449002</v>
      </c>
      <c r="E392" s="3">
        <f>in_parking_demand_data_ver1!E392*calibration!$I$31</f>
        <v>3.2035791950676344</v>
      </c>
      <c r="F392" s="3">
        <f t="shared" si="6"/>
        <v>84.615171120516635</v>
      </c>
      <c r="G392">
        <v>230</v>
      </c>
    </row>
    <row r="393" spans="1:7" x14ac:dyDescent="0.25">
      <c r="A393">
        <v>18033</v>
      </c>
      <c r="B393" t="s">
        <v>22</v>
      </c>
      <c r="C393">
        <v>7</v>
      </c>
      <c r="D393" s="3">
        <f>in_parking_demand_data_ver1!D393*calibration!$I$31</f>
        <v>70.98724692562574</v>
      </c>
      <c r="E393" s="3">
        <f>in_parking_demand_data_ver1!E393*calibration!$I$31</f>
        <v>6.0003546828250931</v>
      </c>
      <c r="F393" s="3">
        <f t="shared" si="6"/>
        <v>76.987601608450831</v>
      </c>
      <c r="G393">
        <v>230</v>
      </c>
    </row>
    <row r="394" spans="1:7" x14ac:dyDescent="0.25">
      <c r="A394">
        <v>18033</v>
      </c>
      <c r="B394" t="s">
        <v>22</v>
      </c>
      <c r="C394">
        <v>8</v>
      </c>
      <c r="D394" s="3">
        <f>in_parking_demand_data_ver1!D394*calibration!$I$31</f>
        <v>60.562901925802414</v>
      </c>
      <c r="E394" s="3">
        <f>in_parking_demand_data_ver1!E394*calibration!$I$31</f>
        <v>10.373494536409421</v>
      </c>
      <c r="F394" s="3">
        <f t="shared" si="6"/>
        <v>70.936396462211832</v>
      </c>
      <c r="G394">
        <v>230</v>
      </c>
    </row>
    <row r="395" spans="1:7" x14ac:dyDescent="0.25">
      <c r="A395">
        <v>18033</v>
      </c>
      <c r="B395" t="s">
        <v>22</v>
      </c>
      <c r="C395">
        <v>9</v>
      </c>
      <c r="D395" s="3">
        <f>in_parking_demand_data_ver1!D395*calibration!$I$31</f>
        <v>54.359145389322222</v>
      </c>
      <c r="E395" s="3">
        <f>in_parking_demand_data_ver1!E395*calibration!$I$31</f>
        <v>11.797307511995076</v>
      </c>
      <c r="F395" s="3">
        <f t="shared" si="6"/>
        <v>66.156452901317294</v>
      </c>
      <c r="G395">
        <v>230</v>
      </c>
    </row>
    <row r="396" spans="1:7" x14ac:dyDescent="0.25">
      <c r="A396">
        <v>18033</v>
      </c>
      <c r="B396" t="s">
        <v>22</v>
      </c>
      <c r="C396">
        <v>10</v>
      </c>
      <c r="D396" s="3">
        <f>in_parking_demand_data_ver1!D396*calibration!$I$31</f>
        <v>48.002837462600738</v>
      </c>
      <c r="E396" s="3">
        <f>in_parking_demand_data_ver1!E396*calibration!$I$31</f>
        <v>10.322644072995679</v>
      </c>
      <c r="F396" s="3">
        <f t="shared" si="6"/>
        <v>58.325481535596417</v>
      </c>
      <c r="G396">
        <v>230</v>
      </c>
    </row>
    <row r="397" spans="1:7" x14ac:dyDescent="0.25">
      <c r="A397">
        <v>18033</v>
      </c>
      <c r="B397" t="s">
        <v>22</v>
      </c>
      <c r="C397">
        <v>11</v>
      </c>
      <c r="D397" s="3">
        <f>in_parking_demand_data_ver1!D397*calibration!$I$31</f>
        <v>44.494155487050463</v>
      </c>
      <c r="E397" s="3">
        <f>in_parking_demand_data_ver1!E397*calibration!$I$31</f>
        <v>10.271793609581939</v>
      </c>
      <c r="F397" s="3">
        <f t="shared" si="6"/>
        <v>54.765949096632404</v>
      </c>
      <c r="G397">
        <v>230</v>
      </c>
    </row>
    <row r="398" spans="1:7" x14ac:dyDescent="0.25">
      <c r="A398">
        <v>18033</v>
      </c>
      <c r="B398" t="s">
        <v>22</v>
      </c>
      <c r="C398">
        <v>12</v>
      </c>
      <c r="D398" s="3">
        <f>in_parking_demand_data_ver1!D398*calibration!$I$31</f>
        <v>44.595856413878032</v>
      </c>
      <c r="E398" s="3">
        <f>in_parking_demand_data_ver1!E398*calibration!$I$31</f>
        <v>6.5088593169628171</v>
      </c>
      <c r="F398" s="3">
        <f t="shared" si="6"/>
        <v>51.104715730840852</v>
      </c>
      <c r="G398">
        <v>230</v>
      </c>
    </row>
    <row r="399" spans="1:7" x14ac:dyDescent="0.25">
      <c r="A399">
        <v>18033</v>
      </c>
      <c r="B399" t="s">
        <v>22</v>
      </c>
      <c r="C399">
        <v>13</v>
      </c>
      <c r="D399" s="3">
        <f>in_parking_demand_data_ver1!D399*calibration!$I$31</f>
        <v>40.934623048086451</v>
      </c>
      <c r="E399" s="3">
        <f>in_parking_demand_data_ver1!E399*calibration!$I$31</f>
        <v>6.0003546828250931</v>
      </c>
      <c r="F399" s="3">
        <f t="shared" si="6"/>
        <v>46.934977730911541</v>
      </c>
      <c r="G399">
        <v>230</v>
      </c>
    </row>
    <row r="400" spans="1:7" x14ac:dyDescent="0.25">
      <c r="A400">
        <v>18033</v>
      </c>
      <c r="B400" t="s">
        <v>22</v>
      </c>
      <c r="C400">
        <v>14</v>
      </c>
      <c r="D400" s="3">
        <f>in_parking_demand_data_ver1!D400*calibration!$I$31</f>
        <v>39.104006365190628</v>
      </c>
      <c r="E400" s="3">
        <f>in_parking_demand_data_ver1!E400*calibration!$I$31</f>
        <v>5.4918500486873789</v>
      </c>
      <c r="F400" s="3">
        <f t="shared" si="6"/>
        <v>44.59585641387801</v>
      </c>
      <c r="G400">
        <v>230</v>
      </c>
    </row>
    <row r="401" spans="1:7" x14ac:dyDescent="0.25">
      <c r="A401">
        <v>18033</v>
      </c>
      <c r="B401" t="s">
        <v>22</v>
      </c>
      <c r="C401">
        <v>15</v>
      </c>
      <c r="D401" s="3">
        <f>in_parking_demand_data_ver1!D401*calibration!$I$31</f>
        <v>38.341249413984102</v>
      </c>
      <c r="E401" s="3">
        <f>in_parking_demand_data_ver1!E401*calibration!$I$31</f>
        <v>3.4069810487227219</v>
      </c>
      <c r="F401" s="3">
        <f t="shared" si="6"/>
        <v>41.748230462706822</v>
      </c>
      <c r="G401">
        <v>230</v>
      </c>
    </row>
    <row r="402" spans="1:7" x14ac:dyDescent="0.25">
      <c r="A402">
        <v>18033</v>
      </c>
      <c r="B402" t="s">
        <v>22</v>
      </c>
      <c r="C402">
        <v>16</v>
      </c>
      <c r="D402" s="3">
        <f>in_parking_demand_data_ver1!D402*calibration!$I$31</f>
        <v>39.510810072500803</v>
      </c>
      <c r="E402" s="3">
        <f>in_parking_demand_data_ver1!E402*calibration!$I$31</f>
        <v>2.3391213170335106</v>
      </c>
      <c r="F402" s="3">
        <f t="shared" si="6"/>
        <v>41.849931389534312</v>
      </c>
      <c r="G402">
        <v>230</v>
      </c>
    </row>
    <row r="403" spans="1:7" x14ac:dyDescent="0.25">
      <c r="A403">
        <v>18033</v>
      </c>
      <c r="B403" t="s">
        <v>22</v>
      </c>
      <c r="C403">
        <v>17</v>
      </c>
      <c r="D403" s="3">
        <f>in_parking_demand_data_ver1!D403*calibration!$I$31</f>
        <v>45.307762901670813</v>
      </c>
      <c r="E403" s="3">
        <f>in_parking_demand_data_ver1!E403*calibration!$I$31</f>
        <v>1.1695606585167511</v>
      </c>
      <c r="F403" s="3">
        <f t="shared" si="6"/>
        <v>46.477323560187564</v>
      </c>
      <c r="G403">
        <v>230</v>
      </c>
    </row>
    <row r="404" spans="1:7" x14ac:dyDescent="0.25">
      <c r="A404">
        <v>18033</v>
      </c>
      <c r="B404" t="s">
        <v>22</v>
      </c>
      <c r="C404">
        <v>18</v>
      </c>
      <c r="D404" s="3">
        <f>in_parking_demand_data_ver1!D404*calibration!$I$31</f>
        <v>51.969173608875003</v>
      </c>
      <c r="E404" s="3">
        <f>in_parking_demand_data_ver1!E404*calibration!$I$31</f>
        <v>1.0678597316892113</v>
      </c>
      <c r="F404" s="3">
        <f t="shared" si="6"/>
        <v>53.037033340564214</v>
      </c>
      <c r="G404">
        <v>230</v>
      </c>
    </row>
    <row r="405" spans="1:7" x14ac:dyDescent="0.25">
      <c r="A405">
        <v>18033</v>
      </c>
      <c r="B405" t="s">
        <v>22</v>
      </c>
      <c r="C405">
        <v>19</v>
      </c>
      <c r="D405" s="3">
        <f>in_parking_demand_data_ver1!D405*calibration!$I$31</f>
        <v>59.39334126728572</v>
      </c>
      <c r="E405" s="3">
        <f>in_parking_demand_data_ver1!E405*calibration!$I$31</f>
        <v>0.9661588048616635</v>
      </c>
      <c r="F405" s="3">
        <f t="shared" si="6"/>
        <v>60.359500072147384</v>
      </c>
      <c r="G405">
        <v>230</v>
      </c>
    </row>
    <row r="406" spans="1:7" x14ac:dyDescent="0.25">
      <c r="A406">
        <v>18033</v>
      </c>
      <c r="B406" t="s">
        <v>22</v>
      </c>
      <c r="C406">
        <v>20</v>
      </c>
      <c r="D406" s="3">
        <f>in_parking_demand_data_ver1!D406*calibration!$I$31</f>
        <v>66.970060315937744</v>
      </c>
      <c r="E406" s="3">
        <f>in_parking_demand_data_ver1!E406*calibration!$I$31</f>
        <v>1.0678597316892113</v>
      </c>
      <c r="F406" s="3">
        <f t="shared" si="6"/>
        <v>68.037920047626955</v>
      </c>
      <c r="G406">
        <v>230</v>
      </c>
    </row>
    <row r="407" spans="1:7" x14ac:dyDescent="0.25">
      <c r="A407">
        <v>18033</v>
      </c>
      <c r="B407" t="s">
        <v>22</v>
      </c>
      <c r="C407">
        <v>21</v>
      </c>
      <c r="D407" s="3">
        <f>in_parking_demand_data_ver1!D407*calibration!$I$31</f>
        <v>77.394405315760977</v>
      </c>
      <c r="E407" s="3">
        <f>in_parking_demand_data_ver1!E407*calibration!$I$31</f>
        <v>0.91530834144788942</v>
      </c>
      <c r="F407" s="3">
        <f t="shared" si="6"/>
        <v>78.30971365720886</v>
      </c>
      <c r="G407">
        <v>230</v>
      </c>
    </row>
    <row r="408" spans="1:7" x14ac:dyDescent="0.25">
      <c r="A408">
        <v>18033</v>
      </c>
      <c r="B408" t="s">
        <v>22</v>
      </c>
      <c r="C408">
        <v>22</v>
      </c>
      <c r="D408" s="3">
        <f>in_parking_demand_data_ver1!D408*calibration!$I$31</f>
        <v>83.394759998586125</v>
      </c>
      <c r="E408" s="3">
        <f>in_parking_demand_data_ver1!E408*calibration!$I$31</f>
        <v>1.1695606585167511</v>
      </c>
      <c r="F408" s="3">
        <f t="shared" si="6"/>
        <v>84.564320657102883</v>
      </c>
      <c r="G408">
        <v>230</v>
      </c>
    </row>
    <row r="409" spans="1:7" x14ac:dyDescent="0.25">
      <c r="A409">
        <v>18033</v>
      </c>
      <c r="B409" t="s">
        <v>22</v>
      </c>
      <c r="C409">
        <v>23</v>
      </c>
      <c r="D409" s="3">
        <f>in_parking_demand_data_ver1!D409*calibration!$I$31</f>
        <v>84.564320657102826</v>
      </c>
      <c r="E409" s="3">
        <f>in_parking_demand_data_ver1!E409*calibration!$I$31</f>
        <v>1.2204111219305249</v>
      </c>
      <c r="F409" s="3">
        <f t="shared" si="6"/>
        <v>85.784731779033351</v>
      </c>
      <c r="G409">
        <v>230</v>
      </c>
    </row>
    <row r="410" spans="1:7" x14ac:dyDescent="0.25">
      <c r="A410">
        <v>18035</v>
      </c>
      <c r="B410" t="s">
        <v>23</v>
      </c>
      <c r="C410">
        <v>0</v>
      </c>
      <c r="D410" s="3">
        <f>in_parking_demand_data_ver1!D410*calibration!$I$31</f>
        <v>302.58942812475095</v>
      </c>
      <c r="E410" s="3">
        <f>in_parking_demand_data_ver1!E410*calibration!$I$31</f>
        <v>4.6176523147430899</v>
      </c>
      <c r="F410" s="3">
        <f t="shared" si="6"/>
        <v>307.20708043949406</v>
      </c>
      <c r="G410">
        <v>465</v>
      </c>
    </row>
    <row r="411" spans="1:7" x14ac:dyDescent="0.25">
      <c r="A411">
        <v>18035</v>
      </c>
      <c r="B411" t="s">
        <v>23</v>
      </c>
      <c r="C411">
        <v>1</v>
      </c>
      <c r="D411" s="3">
        <f>in_parking_demand_data_ver1!D411*calibration!$I$31</f>
        <v>306.4522718880462</v>
      </c>
      <c r="E411" s="3">
        <f>in_parking_demand_data_ver1!E411*calibration!$I$31</f>
        <v>7.2816824963256472</v>
      </c>
      <c r="F411" s="3">
        <f t="shared" si="6"/>
        <v>313.73395438437183</v>
      </c>
      <c r="G411">
        <v>465</v>
      </c>
    </row>
    <row r="412" spans="1:7" x14ac:dyDescent="0.25">
      <c r="A412">
        <v>18035</v>
      </c>
      <c r="B412" t="s">
        <v>23</v>
      </c>
      <c r="C412">
        <v>2</v>
      </c>
      <c r="D412" s="3">
        <f>in_parking_demand_data_ver1!D412*calibration!$I$31</f>
        <v>306.36347088199324</v>
      </c>
      <c r="E412" s="3">
        <f>in_parking_demand_data_ver1!E412*calibration!$I$31</f>
        <v>8.4804960780377954</v>
      </c>
      <c r="F412" s="3">
        <f t="shared" si="6"/>
        <v>314.84396696003103</v>
      </c>
      <c r="G412">
        <v>465</v>
      </c>
    </row>
    <row r="413" spans="1:7" x14ac:dyDescent="0.25">
      <c r="A413">
        <v>18035</v>
      </c>
      <c r="B413" t="s">
        <v>23</v>
      </c>
      <c r="C413">
        <v>3</v>
      </c>
      <c r="D413" s="3">
        <f>in_parking_demand_data_ver1!D413*calibration!$I$31</f>
        <v>305.29785880936038</v>
      </c>
      <c r="E413" s="3">
        <f>in_parking_demand_data_ver1!E413*calibration!$I$31</f>
        <v>8.2140930598795414</v>
      </c>
      <c r="F413" s="3">
        <f t="shared" si="6"/>
        <v>313.51195186923991</v>
      </c>
      <c r="G413">
        <v>465</v>
      </c>
    </row>
    <row r="414" spans="1:7" x14ac:dyDescent="0.25">
      <c r="A414">
        <v>18035</v>
      </c>
      <c r="B414" t="s">
        <v>23</v>
      </c>
      <c r="C414">
        <v>4</v>
      </c>
      <c r="D414" s="3">
        <f>in_parking_demand_data_ver1!D414*calibration!$I$31</f>
        <v>299.39259190685237</v>
      </c>
      <c r="E414" s="3">
        <f>in_parking_demand_data_ver1!E414*calibration!$I$31</f>
        <v>8.1696925568531675</v>
      </c>
      <c r="F414" s="3">
        <f t="shared" si="6"/>
        <v>307.56228446370557</v>
      </c>
      <c r="G414">
        <v>465</v>
      </c>
    </row>
    <row r="415" spans="1:7" x14ac:dyDescent="0.25">
      <c r="A415">
        <v>18035</v>
      </c>
      <c r="B415" t="s">
        <v>23</v>
      </c>
      <c r="C415">
        <v>5</v>
      </c>
      <c r="D415" s="3">
        <f>in_parking_demand_data_ver1!D415*calibration!$I$31</f>
        <v>285.05122942933286</v>
      </c>
      <c r="E415" s="3">
        <f>in_parking_demand_data_ver1!E415*calibration!$I$31</f>
        <v>9.3685061385653157</v>
      </c>
      <c r="F415" s="3">
        <f t="shared" si="6"/>
        <v>294.41973556789816</v>
      </c>
      <c r="G415">
        <v>465</v>
      </c>
    </row>
    <row r="416" spans="1:7" x14ac:dyDescent="0.25">
      <c r="A416">
        <v>18035</v>
      </c>
      <c r="B416" t="s">
        <v>23</v>
      </c>
      <c r="C416">
        <v>6</v>
      </c>
      <c r="D416" s="3">
        <f>in_parking_demand_data_ver1!D416*calibration!$I$31</f>
        <v>268.22343878233664</v>
      </c>
      <c r="E416" s="3">
        <f>in_parking_demand_data_ver1!E416*calibration!$I$31</f>
        <v>10.0789141869873</v>
      </c>
      <c r="F416" s="3">
        <f t="shared" si="6"/>
        <v>278.30235296932392</v>
      </c>
      <c r="G416">
        <v>465</v>
      </c>
    </row>
    <row r="417" spans="1:7" x14ac:dyDescent="0.25">
      <c r="A417">
        <v>18035</v>
      </c>
      <c r="B417" t="s">
        <v>23</v>
      </c>
      <c r="C417">
        <v>7</v>
      </c>
      <c r="D417" s="3">
        <f>in_parking_demand_data_ver1!D417*calibration!$I$31</f>
        <v>229.55060064636319</v>
      </c>
      <c r="E417" s="3">
        <f>in_parking_demand_data_ver1!E417*calibration!$I$31</f>
        <v>11.100125756593929</v>
      </c>
      <c r="F417" s="3">
        <f t="shared" si="6"/>
        <v>240.65072640295713</v>
      </c>
      <c r="G417">
        <v>465</v>
      </c>
    </row>
    <row r="418" spans="1:7" x14ac:dyDescent="0.25">
      <c r="A418">
        <v>18035</v>
      </c>
      <c r="B418" t="s">
        <v>23</v>
      </c>
      <c r="C418">
        <v>8</v>
      </c>
      <c r="D418" s="3">
        <f>in_parking_demand_data_ver1!D418*calibration!$I$31</f>
        <v>183.81808252919595</v>
      </c>
      <c r="E418" s="3">
        <f>in_parking_demand_data_ver1!E418*calibration!$I$31</f>
        <v>9.679309659749876</v>
      </c>
      <c r="F418" s="3">
        <f t="shared" si="6"/>
        <v>193.49739218894581</v>
      </c>
      <c r="G418">
        <v>465</v>
      </c>
    </row>
    <row r="419" spans="1:7" x14ac:dyDescent="0.25">
      <c r="A419">
        <v>18035</v>
      </c>
      <c r="B419" t="s">
        <v>23</v>
      </c>
      <c r="C419">
        <v>9</v>
      </c>
      <c r="D419" s="3">
        <f>in_parking_demand_data_ver1!D419*calibration!$I$31</f>
        <v>150.0292997261237</v>
      </c>
      <c r="E419" s="3">
        <f>in_parking_demand_data_ver1!E419*calibration!$I$31</f>
        <v>6.2604709267190009</v>
      </c>
      <c r="F419" s="3">
        <f t="shared" si="6"/>
        <v>156.28977065284269</v>
      </c>
      <c r="G419">
        <v>465</v>
      </c>
    </row>
    <row r="420" spans="1:7" x14ac:dyDescent="0.25">
      <c r="A420">
        <v>18035</v>
      </c>
      <c r="B420" t="s">
        <v>23</v>
      </c>
      <c r="C420">
        <v>10</v>
      </c>
      <c r="D420" s="3">
        <f>in_parking_demand_data_ver1!D420*calibration!$I$31</f>
        <v>133.06830757004849</v>
      </c>
      <c r="E420" s="3">
        <f>in_parking_demand_data_ver1!E420*calibration!$I$31</f>
        <v>6.7932769630355105</v>
      </c>
      <c r="F420" s="3">
        <f t="shared" si="6"/>
        <v>139.861584533084</v>
      </c>
      <c r="G420">
        <v>465</v>
      </c>
    </row>
    <row r="421" spans="1:7" x14ac:dyDescent="0.25">
      <c r="A421">
        <v>18035</v>
      </c>
      <c r="B421" t="s">
        <v>23</v>
      </c>
      <c r="C421">
        <v>11</v>
      </c>
      <c r="D421" s="3">
        <f>in_parking_demand_data_ver1!D421*calibration!$I$31</f>
        <v>133.37911109123255</v>
      </c>
      <c r="E421" s="3">
        <f>in_parking_demand_data_ver1!E421*calibration!$I$31</f>
        <v>6.3492719327717468</v>
      </c>
      <c r="F421" s="3">
        <f t="shared" si="6"/>
        <v>139.7283830240043</v>
      </c>
      <c r="G421">
        <v>465</v>
      </c>
    </row>
    <row r="422" spans="1:7" x14ac:dyDescent="0.25">
      <c r="A422">
        <v>18035</v>
      </c>
      <c r="B422" t="s">
        <v>23</v>
      </c>
      <c r="C422">
        <v>12</v>
      </c>
      <c r="D422" s="3">
        <f>in_parking_demand_data_ver1!D422*calibration!$I$31</f>
        <v>141.2380001269012</v>
      </c>
      <c r="E422" s="3">
        <f>in_parking_demand_data_ver1!E422*calibration!$I$31</f>
        <v>5.1948588540859806</v>
      </c>
      <c r="F422" s="3">
        <f t="shared" si="6"/>
        <v>146.43285898098719</v>
      </c>
      <c r="G422">
        <v>465</v>
      </c>
    </row>
    <row r="423" spans="1:7" x14ac:dyDescent="0.25">
      <c r="A423">
        <v>18035</v>
      </c>
      <c r="B423" t="s">
        <v>23</v>
      </c>
      <c r="C423">
        <v>13</v>
      </c>
      <c r="D423" s="3">
        <f>in_parking_demand_data_ver1!D423*calibration!$I$31</f>
        <v>140.57199258150536</v>
      </c>
      <c r="E423" s="3">
        <f>in_parking_demand_data_ver1!E423*calibration!$I$31</f>
        <v>3.5076397390836966</v>
      </c>
      <c r="F423" s="3">
        <f t="shared" si="6"/>
        <v>144.07963232058904</v>
      </c>
      <c r="G423">
        <v>465</v>
      </c>
    </row>
    <row r="424" spans="1:7" x14ac:dyDescent="0.25">
      <c r="A424">
        <v>18035</v>
      </c>
      <c r="B424" t="s">
        <v>23</v>
      </c>
      <c r="C424">
        <v>14</v>
      </c>
      <c r="D424" s="3">
        <f>in_parking_demand_data_ver1!D424*calibration!$I$31</f>
        <v>140.34999006637426</v>
      </c>
      <c r="E424" s="3">
        <f>in_parking_demand_data_ver1!E424*calibration!$I$31</f>
        <v>2.3088261573715401</v>
      </c>
      <c r="F424" s="3">
        <f t="shared" si="6"/>
        <v>142.65881622374579</v>
      </c>
      <c r="G424">
        <v>465</v>
      </c>
    </row>
    <row r="425" spans="1:7" x14ac:dyDescent="0.25">
      <c r="A425">
        <v>18035</v>
      </c>
      <c r="B425" t="s">
        <v>23</v>
      </c>
      <c r="C425">
        <v>15</v>
      </c>
      <c r="D425" s="3">
        <f>in_parking_demand_data_ver1!D425*calibration!$I$31</f>
        <v>145.32284640532754</v>
      </c>
      <c r="E425" s="3">
        <f>in_parking_demand_data_ver1!E425*calibration!$I$31</f>
        <v>0.66600754539563833</v>
      </c>
      <c r="F425" s="3">
        <f t="shared" si="6"/>
        <v>145.98885395072318</v>
      </c>
      <c r="G425">
        <v>465</v>
      </c>
    </row>
    <row r="426" spans="1:7" x14ac:dyDescent="0.25">
      <c r="A426">
        <v>18035</v>
      </c>
      <c r="B426" t="s">
        <v>23</v>
      </c>
      <c r="C426">
        <v>16</v>
      </c>
      <c r="D426" s="3">
        <f>in_parking_demand_data_ver1!D426*calibration!$I$31</f>
        <v>157.44418373152843</v>
      </c>
      <c r="E426" s="3">
        <f>in_parking_demand_data_ver1!E426*calibration!$I$31</f>
        <v>0.75480855144839021</v>
      </c>
      <c r="F426" s="3">
        <f t="shared" si="6"/>
        <v>158.1989922829768</v>
      </c>
      <c r="G426">
        <v>465</v>
      </c>
    </row>
    <row r="427" spans="1:7" x14ac:dyDescent="0.25">
      <c r="A427">
        <v>18035</v>
      </c>
      <c r="B427" t="s">
        <v>23</v>
      </c>
      <c r="C427">
        <v>17</v>
      </c>
      <c r="D427" s="3">
        <f>in_parking_demand_data_ver1!D427*calibration!$I$31</f>
        <v>174.44957639063054</v>
      </c>
      <c r="E427" s="3">
        <f>in_parking_demand_data_ver1!E427*calibration!$I$31</f>
        <v>0.66600754539563833</v>
      </c>
      <c r="F427" s="3">
        <f t="shared" si="6"/>
        <v>175.11558393602618</v>
      </c>
      <c r="G427">
        <v>465</v>
      </c>
    </row>
    <row r="428" spans="1:7" x14ac:dyDescent="0.25">
      <c r="A428">
        <v>18035</v>
      </c>
      <c r="B428" t="s">
        <v>23</v>
      </c>
      <c r="C428">
        <v>18</v>
      </c>
      <c r="D428" s="3">
        <f>in_parking_demand_data_ver1!D428*calibration!$I$31</f>
        <v>198.64785054000546</v>
      </c>
      <c r="E428" s="3">
        <f>in_parking_demand_data_ver1!E428*calibration!$I$31</f>
        <v>0.5328060363165108</v>
      </c>
      <c r="F428" s="3">
        <f t="shared" si="6"/>
        <v>199.18065657632198</v>
      </c>
      <c r="G428">
        <v>465</v>
      </c>
    </row>
    <row r="429" spans="1:7" x14ac:dyDescent="0.25">
      <c r="A429">
        <v>18035</v>
      </c>
      <c r="B429" t="s">
        <v>23</v>
      </c>
      <c r="C429">
        <v>19</v>
      </c>
      <c r="D429" s="3">
        <f>in_parking_demand_data_ver1!D429*calibration!$I$31</f>
        <v>224.44454279833002</v>
      </c>
      <c r="E429" s="3">
        <f>in_parking_demand_data_ver1!E429*calibration!$I$31</f>
        <v>0.5328060363165108</v>
      </c>
      <c r="F429" s="3">
        <f t="shared" si="6"/>
        <v>224.97734883464653</v>
      </c>
      <c r="G429">
        <v>465</v>
      </c>
    </row>
    <row r="430" spans="1:7" x14ac:dyDescent="0.25">
      <c r="A430">
        <v>18035</v>
      </c>
      <c r="B430" t="s">
        <v>23</v>
      </c>
      <c r="C430">
        <v>20</v>
      </c>
      <c r="D430" s="3">
        <f>in_parking_demand_data_ver1!D430*calibration!$I$31</f>
        <v>256.19090246218872</v>
      </c>
      <c r="E430" s="3">
        <f>in_parking_demand_data_ver1!E430*calibration!$I$31</f>
        <v>0.84360955750114219</v>
      </c>
      <c r="F430" s="3">
        <f t="shared" si="6"/>
        <v>257.03451201968988</v>
      </c>
      <c r="G430">
        <v>465</v>
      </c>
    </row>
    <row r="431" spans="1:7" x14ac:dyDescent="0.25">
      <c r="A431">
        <v>18035</v>
      </c>
      <c r="B431" t="s">
        <v>23</v>
      </c>
      <c r="C431">
        <v>21</v>
      </c>
      <c r="D431" s="3">
        <f>in_parking_demand_data_ver1!D431*calibration!$I$31</f>
        <v>278.30235296932398</v>
      </c>
      <c r="E431" s="3">
        <f>in_parking_demand_data_ver1!E431*calibration!$I$31</f>
        <v>1.110012575659393</v>
      </c>
      <c r="F431" s="3">
        <f t="shared" si="6"/>
        <v>279.41236554498334</v>
      </c>
      <c r="G431">
        <v>465</v>
      </c>
    </row>
    <row r="432" spans="1:7" x14ac:dyDescent="0.25">
      <c r="A432">
        <v>18035</v>
      </c>
      <c r="B432" t="s">
        <v>23</v>
      </c>
      <c r="C432">
        <v>22</v>
      </c>
      <c r="D432" s="3">
        <f>in_parking_demand_data_ver1!D432*calibration!$I$31</f>
        <v>286.02804049591356</v>
      </c>
      <c r="E432" s="3">
        <f>in_parking_demand_data_ver1!E432*calibration!$I$31</f>
        <v>1.8204206240814118</v>
      </c>
      <c r="F432" s="3">
        <f t="shared" si="6"/>
        <v>287.84846111999497</v>
      </c>
      <c r="G432">
        <v>465</v>
      </c>
    </row>
    <row r="433" spans="1:7" x14ac:dyDescent="0.25">
      <c r="A433">
        <v>18035</v>
      </c>
      <c r="B433" t="s">
        <v>23</v>
      </c>
      <c r="C433">
        <v>23</v>
      </c>
      <c r="D433" s="3">
        <f>in_parking_demand_data_ver1!D433*calibration!$I$31</f>
        <v>297.35016876763882</v>
      </c>
      <c r="E433" s="3">
        <f>in_parking_demand_data_ver1!E433*calibration!$I$31</f>
        <v>3.0636347088199325</v>
      </c>
      <c r="F433" s="3">
        <f t="shared" si="6"/>
        <v>300.41380347645872</v>
      </c>
      <c r="G433">
        <v>465</v>
      </c>
    </row>
    <row r="434" spans="1:7" x14ac:dyDescent="0.25">
      <c r="A434">
        <v>18037</v>
      </c>
      <c r="B434" t="s">
        <v>24</v>
      </c>
      <c r="C434">
        <v>0</v>
      </c>
      <c r="D434" s="3">
        <f>in_parking_demand_data_ver1!D434*calibration!$I$31</f>
        <v>27.349755522873693</v>
      </c>
      <c r="E434" s="3">
        <f>in_parking_demand_data_ver1!E434*calibration!$I$31</f>
        <v>5.3526331184176419</v>
      </c>
      <c r="F434" s="3">
        <f t="shared" si="6"/>
        <v>32.702388641291336</v>
      </c>
      <c r="G434">
        <v>35</v>
      </c>
    </row>
    <row r="435" spans="1:7" x14ac:dyDescent="0.25">
      <c r="A435">
        <v>18037</v>
      </c>
      <c r="B435" t="s">
        <v>24</v>
      </c>
      <c r="C435">
        <v>1</v>
      </c>
      <c r="D435" s="3">
        <f>in_parking_demand_data_ver1!D435*calibration!$I$31</f>
        <v>27.789697970962827</v>
      </c>
      <c r="E435" s="3">
        <f>in_parking_demand_data_ver1!E435*calibration!$I$31</f>
        <v>5.6459280838103849</v>
      </c>
      <c r="F435" s="3">
        <f t="shared" si="6"/>
        <v>33.435626054773209</v>
      </c>
      <c r="G435">
        <v>35</v>
      </c>
    </row>
    <row r="436" spans="1:7" x14ac:dyDescent="0.25">
      <c r="A436">
        <v>18037</v>
      </c>
      <c r="B436" t="s">
        <v>24</v>
      </c>
      <c r="C436">
        <v>2</v>
      </c>
      <c r="D436" s="3">
        <f>in_parking_demand_data_ver1!D436*calibration!$I$31</f>
        <v>27.496403005570048</v>
      </c>
      <c r="E436" s="3">
        <f>in_parking_demand_data_ver1!E436*calibration!$I$31</f>
        <v>5.719251825158576</v>
      </c>
      <c r="F436" s="3">
        <f t="shared" si="6"/>
        <v>33.215654830728624</v>
      </c>
      <c r="G436">
        <v>35</v>
      </c>
    </row>
    <row r="437" spans="1:7" x14ac:dyDescent="0.25">
      <c r="A437">
        <v>18037</v>
      </c>
      <c r="B437" t="s">
        <v>24</v>
      </c>
      <c r="C437">
        <v>3</v>
      </c>
      <c r="D437" s="3">
        <f>in_parking_demand_data_ver1!D437*calibration!$I$31</f>
        <v>27.349755522873693</v>
      </c>
      <c r="E437" s="3">
        <f>in_parking_demand_data_ver1!E437*calibration!$I$31</f>
        <v>5.79257556650676</v>
      </c>
      <c r="F437" s="3">
        <f t="shared" si="6"/>
        <v>33.142331089380455</v>
      </c>
      <c r="G437">
        <v>35</v>
      </c>
    </row>
    <row r="438" spans="1:7" x14ac:dyDescent="0.25">
      <c r="A438">
        <v>18037</v>
      </c>
      <c r="B438" t="s">
        <v>24</v>
      </c>
      <c r="C438">
        <v>4</v>
      </c>
      <c r="D438" s="3">
        <f>in_parking_demand_data_ver1!D438*calibration!$I$31</f>
        <v>26.983136816132735</v>
      </c>
      <c r="E438" s="3">
        <f>in_parking_demand_data_ver1!E438*calibration!$I$31</f>
        <v>6.2325180145958781</v>
      </c>
      <c r="F438" s="3">
        <f t="shared" si="6"/>
        <v>33.21565483072861</v>
      </c>
      <c r="G438">
        <v>35</v>
      </c>
    </row>
    <row r="439" spans="1:7" x14ac:dyDescent="0.25">
      <c r="A439">
        <v>18037</v>
      </c>
      <c r="B439" t="s">
        <v>24</v>
      </c>
      <c r="C439">
        <v>5</v>
      </c>
      <c r="D439" s="3">
        <f>in_parking_demand_data_ver1!D439*calibration!$I$31</f>
        <v>26.763165592088207</v>
      </c>
      <c r="E439" s="3">
        <f>in_parking_demand_data_ver1!E439*calibration!$I$31</f>
        <v>6.2325180145958781</v>
      </c>
      <c r="F439" s="3">
        <f t="shared" si="6"/>
        <v>32.995683606684082</v>
      </c>
      <c r="G439">
        <v>35</v>
      </c>
    </row>
    <row r="440" spans="1:7" x14ac:dyDescent="0.25">
      <c r="A440">
        <v>18037</v>
      </c>
      <c r="B440" t="s">
        <v>24</v>
      </c>
      <c r="C440">
        <v>6</v>
      </c>
      <c r="D440" s="3">
        <f>in_parking_demand_data_ver1!D440*calibration!$I$31</f>
        <v>26.323223143999076</v>
      </c>
      <c r="E440" s="3">
        <f>in_parking_demand_data_ver1!E440*calibration!$I$31</f>
        <v>9.7520575993088041</v>
      </c>
      <c r="F440" s="3">
        <f t="shared" si="6"/>
        <v>36.075280743307879</v>
      </c>
      <c r="G440">
        <v>35</v>
      </c>
    </row>
    <row r="441" spans="1:7" x14ac:dyDescent="0.25">
      <c r="A441">
        <v>18037</v>
      </c>
      <c r="B441" t="s">
        <v>24</v>
      </c>
      <c r="C441">
        <v>7</v>
      </c>
      <c r="D441" s="3">
        <f>in_parking_demand_data_ver1!D441*calibration!$I$31</f>
        <v>27.569726746918217</v>
      </c>
      <c r="E441" s="3">
        <f>in_parking_demand_data_ver1!E441*calibration!$I$31</f>
        <v>14.738072010985555</v>
      </c>
      <c r="F441" s="3">
        <f t="shared" si="6"/>
        <v>42.307798757903768</v>
      </c>
      <c r="G441">
        <v>35</v>
      </c>
    </row>
    <row r="442" spans="1:7" x14ac:dyDescent="0.25">
      <c r="A442">
        <v>18037</v>
      </c>
      <c r="B442" t="s">
        <v>24</v>
      </c>
      <c r="C442">
        <v>8</v>
      </c>
      <c r="D442" s="3">
        <f>in_parking_demand_data_ver1!D442*calibration!$I$31</f>
        <v>26.616518109391773</v>
      </c>
      <c r="E442" s="3">
        <f>in_parking_demand_data_ver1!E442*calibration!$I$31</f>
        <v>16.351194320645657</v>
      </c>
      <c r="F442" s="3">
        <f t="shared" si="6"/>
        <v>42.96771243003743</v>
      </c>
      <c r="G442">
        <v>35</v>
      </c>
    </row>
    <row r="443" spans="1:7" x14ac:dyDescent="0.25">
      <c r="A443">
        <v>18037</v>
      </c>
      <c r="B443" t="s">
        <v>24</v>
      </c>
      <c r="C443">
        <v>9</v>
      </c>
      <c r="D443" s="3">
        <f>in_parking_demand_data_ver1!D443*calibration!$I$31</f>
        <v>26.323223143999076</v>
      </c>
      <c r="E443" s="3">
        <f>in_parking_demand_data_ver1!E443*calibration!$I$31</f>
        <v>15.178014459074605</v>
      </c>
      <c r="F443" s="3">
        <f t="shared" si="6"/>
        <v>41.501237603073683</v>
      </c>
      <c r="G443">
        <v>35</v>
      </c>
    </row>
    <row r="444" spans="1:7" x14ac:dyDescent="0.25">
      <c r="A444">
        <v>18037</v>
      </c>
      <c r="B444" t="s">
        <v>24</v>
      </c>
      <c r="C444">
        <v>10</v>
      </c>
      <c r="D444" s="3">
        <f>in_parking_demand_data_ver1!D444*calibration!$I$31</f>
        <v>26.836489333436386</v>
      </c>
      <c r="E444" s="3">
        <f>in_parking_demand_data_ver1!E444*calibration!$I$31</f>
        <v>15.984575613904699</v>
      </c>
      <c r="F444" s="3">
        <f t="shared" si="6"/>
        <v>42.821064947341085</v>
      </c>
      <c r="G444">
        <v>35</v>
      </c>
    </row>
    <row r="445" spans="1:7" x14ac:dyDescent="0.25">
      <c r="A445">
        <v>18037</v>
      </c>
      <c r="B445" t="s">
        <v>24</v>
      </c>
      <c r="C445">
        <v>11</v>
      </c>
      <c r="D445" s="3">
        <f>in_parking_demand_data_ver1!D445*calibration!$I$31</f>
        <v>26.543194368043601</v>
      </c>
      <c r="E445" s="3">
        <f>in_parking_demand_data_ver1!E445*calibration!$I$31</f>
        <v>17.524374182216629</v>
      </c>
      <c r="F445" s="3">
        <f t="shared" si="6"/>
        <v>44.067568550260233</v>
      </c>
      <c r="G445">
        <v>35</v>
      </c>
    </row>
    <row r="446" spans="1:7" x14ac:dyDescent="0.25">
      <c r="A446">
        <v>18037</v>
      </c>
      <c r="B446" t="s">
        <v>24</v>
      </c>
      <c r="C446">
        <v>12</v>
      </c>
      <c r="D446" s="3">
        <f>in_parking_demand_data_ver1!D446*calibration!$I$31</f>
        <v>22.65703607658973</v>
      </c>
      <c r="E446" s="3">
        <f>in_parking_demand_data_ver1!E446*calibration!$I$31</f>
        <v>17.817669147609415</v>
      </c>
      <c r="F446" s="3">
        <f t="shared" si="6"/>
        <v>40.474705224199141</v>
      </c>
      <c r="G446">
        <v>35</v>
      </c>
    </row>
    <row r="447" spans="1:7" x14ac:dyDescent="0.25">
      <c r="A447">
        <v>18037</v>
      </c>
      <c r="B447" t="s">
        <v>24</v>
      </c>
      <c r="C447">
        <v>13</v>
      </c>
      <c r="D447" s="3">
        <f>in_parking_demand_data_ver1!D447*calibration!$I$31</f>
        <v>21.703827439063286</v>
      </c>
      <c r="E447" s="3">
        <f>in_parking_demand_data_ver1!E447*calibration!$I$31</f>
        <v>14.371453304244595</v>
      </c>
      <c r="F447" s="3">
        <f t="shared" si="6"/>
        <v>36.075280743307879</v>
      </c>
      <c r="G447">
        <v>35</v>
      </c>
    </row>
    <row r="448" spans="1:7" x14ac:dyDescent="0.25">
      <c r="A448">
        <v>18037</v>
      </c>
      <c r="B448" t="s">
        <v>24</v>
      </c>
      <c r="C448">
        <v>14</v>
      </c>
      <c r="D448" s="3">
        <f>in_parking_demand_data_ver1!D448*calibration!$I$31</f>
        <v>21.337208732322324</v>
      </c>
      <c r="E448" s="3">
        <f>in_parking_demand_data_ver1!E448*calibration!$I$31</f>
        <v>9.31211515121967</v>
      </c>
      <c r="F448" s="3">
        <f t="shared" si="6"/>
        <v>30.649323883541996</v>
      </c>
      <c r="G448">
        <v>35</v>
      </c>
    </row>
    <row r="449" spans="1:7" x14ac:dyDescent="0.25">
      <c r="A449">
        <v>18037</v>
      </c>
      <c r="B449" t="s">
        <v>24</v>
      </c>
      <c r="C449">
        <v>15</v>
      </c>
      <c r="D449" s="3">
        <f>in_parking_demand_data_ver1!D449*calibration!$I$31</f>
        <v>20.310676353447704</v>
      </c>
      <c r="E449" s="3">
        <f>in_parking_demand_data_ver1!E449*calibration!$I$31</f>
        <v>5.3526331184176419</v>
      </c>
      <c r="F449" s="3">
        <f t="shared" si="6"/>
        <v>25.663309471865347</v>
      </c>
      <c r="G449">
        <v>35</v>
      </c>
    </row>
    <row r="450" spans="1:7" x14ac:dyDescent="0.25">
      <c r="A450">
        <v>18037</v>
      </c>
      <c r="B450" t="s">
        <v>24</v>
      </c>
      <c r="C450">
        <v>16</v>
      </c>
      <c r="D450" s="3">
        <f>in_parking_demand_data_ver1!D450*calibration!$I$31</f>
        <v>18.770877785135774</v>
      </c>
      <c r="E450" s="3">
        <f>in_parking_demand_data_ver1!E450*calibration!$I$31</f>
        <v>1.9797410164010396</v>
      </c>
      <c r="F450" s="3">
        <f t="shared" si="6"/>
        <v>20.750618801536813</v>
      </c>
      <c r="G450">
        <v>35</v>
      </c>
    </row>
    <row r="451" spans="1:7" x14ac:dyDescent="0.25">
      <c r="A451">
        <v>18037</v>
      </c>
      <c r="B451" t="s">
        <v>24</v>
      </c>
      <c r="C451">
        <v>17</v>
      </c>
      <c r="D451" s="3">
        <f>in_parking_demand_data_ver1!D451*calibration!$I$31</f>
        <v>20.457323836144138</v>
      </c>
      <c r="E451" s="3">
        <f>in_parking_demand_data_ver1!E451*calibration!$I$31</f>
        <v>2.4196834644901659</v>
      </c>
      <c r="F451" s="3">
        <f t="shared" ref="F451:F514" si="7">SUM(D451:E451)</f>
        <v>22.877007300634304</v>
      </c>
      <c r="G451">
        <v>35</v>
      </c>
    </row>
    <row r="452" spans="1:7" x14ac:dyDescent="0.25">
      <c r="A452">
        <v>18037</v>
      </c>
      <c r="B452" t="s">
        <v>24</v>
      </c>
      <c r="C452">
        <v>18</v>
      </c>
      <c r="D452" s="3">
        <f>in_parking_demand_data_ver1!D452*calibration!$I$31</f>
        <v>21.043913766929624</v>
      </c>
      <c r="E452" s="3">
        <f>in_parking_demand_data_ver1!E452*calibration!$I$31</f>
        <v>2.0530647577492314</v>
      </c>
      <c r="F452" s="3">
        <f t="shared" si="7"/>
        <v>23.096978524678853</v>
      </c>
      <c r="G452">
        <v>35</v>
      </c>
    </row>
    <row r="453" spans="1:7" x14ac:dyDescent="0.25">
      <c r="A453">
        <v>18037</v>
      </c>
      <c r="B453" t="s">
        <v>24</v>
      </c>
      <c r="C453">
        <v>19</v>
      </c>
      <c r="D453" s="3">
        <f>in_parking_demand_data_ver1!D453*calibration!$I$31</f>
        <v>22.803683559286082</v>
      </c>
      <c r="E453" s="3">
        <f>in_parking_demand_data_ver1!E453*calibration!$I$31</f>
        <v>2.1263884990974149</v>
      </c>
      <c r="F453" s="3">
        <f t="shared" si="7"/>
        <v>24.930072058383498</v>
      </c>
      <c r="G453">
        <v>35</v>
      </c>
    </row>
    <row r="454" spans="1:7" x14ac:dyDescent="0.25">
      <c r="A454">
        <v>18037</v>
      </c>
      <c r="B454" t="s">
        <v>24</v>
      </c>
      <c r="C454">
        <v>20</v>
      </c>
      <c r="D454" s="3">
        <f>in_parking_demand_data_ver1!D454*calibration!$I$31</f>
        <v>25.003395799731667</v>
      </c>
      <c r="E454" s="3">
        <f>in_parking_demand_data_ver1!E454*calibration!$I$31</f>
        <v>2.7863021712311005</v>
      </c>
      <c r="F454" s="3">
        <f t="shared" si="7"/>
        <v>27.789697970962767</v>
      </c>
      <c r="G454">
        <v>35</v>
      </c>
    </row>
    <row r="455" spans="1:7" x14ac:dyDescent="0.25">
      <c r="A455">
        <v>18037</v>
      </c>
      <c r="B455" t="s">
        <v>24</v>
      </c>
      <c r="C455">
        <v>21</v>
      </c>
      <c r="D455" s="3">
        <f>in_parking_demand_data_ver1!D455*calibration!$I$31</f>
        <v>25.076719541079846</v>
      </c>
      <c r="E455" s="3">
        <f>in_parking_demand_data_ver1!E455*calibration!$I$31</f>
        <v>3.2995683606684021</v>
      </c>
      <c r="F455" s="3">
        <f t="shared" si="7"/>
        <v>28.376287901748249</v>
      </c>
      <c r="G455">
        <v>35</v>
      </c>
    </row>
    <row r="456" spans="1:7" x14ac:dyDescent="0.25">
      <c r="A456">
        <v>18037</v>
      </c>
      <c r="B456" t="s">
        <v>24</v>
      </c>
      <c r="C456">
        <v>22</v>
      </c>
      <c r="D456" s="3">
        <f>in_parking_demand_data_ver1!D456*calibration!$I$31</f>
        <v>25.809956954561763</v>
      </c>
      <c r="E456" s="3">
        <f>in_parking_demand_data_ver1!E456*calibration!$I$31</f>
        <v>3.3728921020165936</v>
      </c>
      <c r="F456" s="3">
        <f t="shared" si="7"/>
        <v>29.182849056578355</v>
      </c>
      <c r="G456">
        <v>35</v>
      </c>
    </row>
    <row r="457" spans="1:7" x14ac:dyDescent="0.25">
      <c r="A457">
        <v>18037</v>
      </c>
      <c r="B457" t="s">
        <v>24</v>
      </c>
      <c r="C457">
        <v>23</v>
      </c>
      <c r="D457" s="3">
        <f>in_parking_demand_data_ver1!D457*calibration!$I$31</f>
        <v>26.763165592088207</v>
      </c>
      <c r="E457" s="3">
        <f>in_parking_demand_data_ver1!E457*calibration!$I$31</f>
        <v>3.8861582914539037</v>
      </c>
      <c r="F457" s="3">
        <f t="shared" si="7"/>
        <v>30.64932388354211</v>
      </c>
      <c r="G457">
        <v>35</v>
      </c>
    </row>
    <row r="458" spans="1:7" x14ac:dyDescent="0.25">
      <c r="A458">
        <v>18039</v>
      </c>
      <c r="B458" t="s">
        <v>25</v>
      </c>
      <c r="C458">
        <v>0</v>
      </c>
      <c r="D458" s="3">
        <f>in_parking_demand_data_ver1!D458*calibration!$I$31</f>
        <v>399.02640268653653</v>
      </c>
      <c r="E458" s="3">
        <f>in_parking_demand_data_ver1!E458*calibration!$I$31</f>
        <v>30.996649867151092</v>
      </c>
      <c r="F458" s="3">
        <f t="shared" si="7"/>
        <v>430.02305255368765</v>
      </c>
      <c r="G458">
        <v>674</v>
      </c>
    </row>
    <row r="459" spans="1:7" x14ac:dyDescent="0.25">
      <c r="A459">
        <v>18039</v>
      </c>
      <c r="B459" t="s">
        <v>25</v>
      </c>
      <c r="C459">
        <v>1</v>
      </c>
      <c r="D459" s="3">
        <f>in_parking_demand_data_ver1!D459*calibration!$I$31</f>
        <v>417.21871048177695</v>
      </c>
      <c r="E459" s="3">
        <f>in_parking_demand_data_ver1!E459*calibration!$I$31</f>
        <v>32.961672660365238</v>
      </c>
      <c r="F459" s="3">
        <f t="shared" si="7"/>
        <v>450.1803831421422</v>
      </c>
      <c r="G459">
        <v>674</v>
      </c>
    </row>
    <row r="460" spans="1:7" x14ac:dyDescent="0.25">
      <c r="A460">
        <v>18039</v>
      </c>
      <c r="B460" t="s">
        <v>25</v>
      </c>
      <c r="C460">
        <v>2</v>
      </c>
      <c r="D460" s="3">
        <f>in_parking_demand_data_ver1!D460*calibration!$I$31</f>
        <v>428.69190808086512</v>
      </c>
      <c r="E460" s="3">
        <f>in_parking_demand_data_ver1!E460*calibration!$I$31</f>
        <v>35.814125102127541</v>
      </c>
      <c r="F460" s="3">
        <f t="shared" si="7"/>
        <v>464.50603318299267</v>
      </c>
      <c r="G460">
        <v>674</v>
      </c>
    </row>
    <row r="461" spans="1:7" x14ac:dyDescent="0.25">
      <c r="A461">
        <v>18039</v>
      </c>
      <c r="B461" t="s">
        <v>25</v>
      </c>
      <c r="C461">
        <v>3</v>
      </c>
      <c r="D461" s="3">
        <f>in_parking_demand_data_ver1!D461*calibration!$I$31</f>
        <v>433.00228065952814</v>
      </c>
      <c r="E461" s="3">
        <f>in_parking_demand_data_ver1!E461*calibration!$I$31</f>
        <v>38.603189711850824</v>
      </c>
      <c r="F461" s="3">
        <f t="shared" si="7"/>
        <v>471.60547037137894</v>
      </c>
      <c r="G461">
        <v>674</v>
      </c>
    </row>
    <row r="462" spans="1:7" x14ac:dyDescent="0.25">
      <c r="A462">
        <v>18039</v>
      </c>
      <c r="B462" t="s">
        <v>25</v>
      </c>
      <c r="C462">
        <v>4</v>
      </c>
      <c r="D462" s="3">
        <f>in_parking_demand_data_ver1!D462*calibration!$I$31</f>
        <v>438.26347071877854</v>
      </c>
      <c r="E462" s="3">
        <f>in_parking_demand_data_ver1!E462*calibration!$I$31</f>
        <v>41.835969145848161</v>
      </c>
      <c r="F462" s="3">
        <f t="shared" si="7"/>
        <v>480.09943986462667</v>
      </c>
      <c r="G462">
        <v>674</v>
      </c>
    </row>
    <row r="463" spans="1:7" x14ac:dyDescent="0.25">
      <c r="A463">
        <v>18039</v>
      </c>
      <c r="B463" t="s">
        <v>25</v>
      </c>
      <c r="C463">
        <v>5</v>
      </c>
      <c r="D463" s="3">
        <f>in_parking_demand_data_ver1!D463*calibration!$I$31</f>
        <v>439.91155435179684</v>
      </c>
      <c r="E463" s="3">
        <f>in_parking_demand_data_ver1!E463*calibration!$I$31</f>
        <v>38.793353207968302</v>
      </c>
      <c r="F463" s="3">
        <f t="shared" si="7"/>
        <v>478.70490755976516</v>
      </c>
      <c r="G463">
        <v>674</v>
      </c>
    </row>
    <row r="464" spans="1:7" x14ac:dyDescent="0.25">
      <c r="A464">
        <v>18039</v>
      </c>
      <c r="B464" t="s">
        <v>25</v>
      </c>
      <c r="C464">
        <v>6</v>
      </c>
      <c r="D464" s="3">
        <f>in_parking_demand_data_ver1!D464*calibration!$I$31</f>
        <v>418.29630362644247</v>
      </c>
      <c r="E464" s="3">
        <f>in_parking_demand_data_ver1!E464*calibration!$I$31</f>
        <v>34.736531957461821</v>
      </c>
      <c r="F464" s="3">
        <f t="shared" si="7"/>
        <v>453.03283558390427</v>
      </c>
      <c r="G464">
        <v>674</v>
      </c>
    </row>
    <row r="465" spans="1:7" x14ac:dyDescent="0.25">
      <c r="A465">
        <v>18039</v>
      </c>
      <c r="B465" t="s">
        <v>25</v>
      </c>
      <c r="C465">
        <v>7</v>
      </c>
      <c r="D465" s="3">
        <f>in_parking_demand_data_ver1!D465*calibration!$I$31</f>
        <v>364.48003422519218</v>
      </c>
      <c r="E465" s="3">
        <f>in_parking_demand_data_ver1!E465*calibration!$I$31</f>
        <v>34.102653637070141</v>
      </c>
      <c r="F465" s="3">
        <f t="shared" si="7"/>
        <v>398.58268786226233</v>
      </c>
      <c r="G465">
        <v>674</v>
      </c>
    </row>
    <row r="466" spans="1:7" x14ac:dyDescent="0.25">
      <c r="A466">
        <v>18039</v>
      </c>
      <c r="B466" t="s">
        <v>25</v>
      </c>
      <c r="C466">
        <v>8</v>
      </c>
      <c r="D466" s="3">
        <f>in_parking_demand_data_ver1!D466*calibration!$I$31</f>
        <v>291.64741521219321</v>
      </c>
      <c r="E466" s="3">
        <f>in_parking_demand_data_ver1!E466*calibration!$I$31</f>
        <v>32.20101867589527</v>
      </c>
      <c r="F466" s="3">
        <f t="shared" si="7"/>
        <v>323.84843388808849</v>
      </c>
      <c r="G466">
        <v>674</v>
      </c>
    </row>
    <row r="467" spans="1:7" x14ac:dyDescent="0.25">
      <c r="A467">
        <v>18039</v>
      </c>
      <c r="B467" t="s">
        <v>25</v>
      </c>
      <c r="C467">
        <v>9</v>
      </c>
      <c r="D467" s="3">
        <f>in_parking_demand_data_ver1!D467*calibration!$I$31</f>
        <v>229.971054638086</v>
      </c>
      <c r="E467" s="3">
        <f>in_parking_demand_data_ver1!E467*calibration!$I$31</f>
        <v>34.609756293383448</v>
      </c>
      <c r="F467" s="3">
        <f t="shared" si="7"/>
        <v>264.58081093146944</v>
      </c>
      <c r="G467">
        <v>674</v>
      </c>
    </row>
    <row r="468" spans="1:7" x14ac:dyDescent="0.25">
      <c r="A468">
        <v>18039</v>
      </c>
      <c r="B468" t="s">
        <v>25</v>
      </c>
      <c r="C468">
        <v>10</v>
      </c>
      <c r="D468" s="3">
        <f>in_parking_demand_data_ver1!D468*calibration!$I$31</f>
        <v>184.20503990580988</v>
      </c>
      <c r="E468" s="3">
        <f>in_parking_demand_data_ver1!E468*calibration!$I$31</f>
        <v>34.736531957461821</v>
      </c>
      <c r="F468" s="3">
        <f t="shared" si="7"/>
        <v>218.94157186327169</v>
      </c>
      <c r="G468">
        <v>674</v>
      </c>
    </row>
    <row r="469" spans="1:7" x14ac:dyDescent="0.25">
      <c r="A469">
        <v>18039</v>
      </c>
      <c r="B469" t="s">
        <v>25</v>
      </c>
      <c r="C469">
        <v>11</v>
      </c>
      <c r="D469" s="3">
        <f>in_parking_demand_data_ver1!D469*calibration!$I$31</f>
        <v>163.54060666104289</v>
      </c>
      <c r="E469" s="3">
        <f>in_parking_demand_data_ver1!E469*calibration!$I$31</f>
        <v>36.891718246793339</v>
      </c>
      <c r="F469" s="3">
        <f t="shared" si="7"/>
        <v>200.43232490783623</v>
      </c>
      <c r="G469">
        <v>674</v>
      </c>
    </row>
    <row r="470" spans="1:7" x14ac:dyDescent="0.25">
      <c r="A470">
        <v>18039</v>
      </c>
      <c r="B470" t="s">
        <v>25</v>
      </c>
      <c r="C470">
        <v>12</v>
      </c>
      <c r="D470" s="3">
        <f>in_parking_demand_data_ver1!D470*calibration!$I$31</f>
        <v>150.73626458913111</v>
      </c>
      <c r="E470" s="3">
        <f>in_parking_demand_data_ver1!E470*calibration!$I$31</f>
        <v>30.679710706955341</v>
      </c>
      <c r="F470" s="3">
        <f t="shared" si="7"/>
        <v>181.41597529608646</v>
      </c>
      <c r="G470">
        <v>674</v>
      </c>
    </row>
    <row r="471" spans="1:7" x14ac:dyDescent="0.25">
      <c r="A471">
        <v>18039</v>
      </c>
      <c r="B471" t="s">
        <v>25</v>
      </c>
      <c r="C471">
        <v>13</v>
      </c>
      <c r="D471" s="3">
        <f>in_parking_demand_data_ver1!D471*calibration!$I$31</f>
        <v>146.10895285027254</v>
      </c>
      <c r="E471" s="3">
        <f>in_parking_demand_data_ver1!E471*calibration!$I$31</f>
        <v>22.566068205942294</v>
      </c>
      <c r="F471" s="3">
        <f t="shared" si="7"/>
        <v>168.67502105621483</v>
      </c>
      <c r="G471">
        <v>674</v>
      </c>
    </row>
    <row r="472" spans="1:7" x14ac:dyDescent="0.25">
      <c r="A472">
        <v>18039</v>
      </c>
      <c r="B472" t="s">
        <v>25</v>
      </c>
      <c r="C472">
        <v>14</v>
      </c>
      <c r="D472" s="3">
        <f>in_parking_demand_data_ver1!D472*calibration!$I$31</f>
        <v>141.16470195121767</v>
      </c>
      <c r="E472" s="3">
        <f>in_parking_demand_data_ver1!E472*calibration!$I$31</f>
        <v>15.783570177751796</v>
      </c>
      <c r="F472" s="3">
        <f t="shared" si="7"/>
        <v>156.94827212896945</v>
      </c>
      <c r="G472">
        <v>674</v>
      </c>
    </row>
    <row r="473" spans="1:7" x14ac:dyDescent="0.25">
      <c r="A473">
        <v>18039</v>
      </c>
      <c r="B473" t="s">
        <v>25</v>
      </c>
      <c r="C473">
        <v>15</v>
      </c>
      <c r="D473" s="3">
        <f>in_parking_demand_data_ver1!D473*calibration!$I$31</f>
        <v>143.89037872890151</v>
      </c>
      <c r="E473" s="3">
        <f>in_parking_demand_data_ver1!E473*calibration!$I$31</f>
        <v>12.233851583558623</v>
      </c>
      <c r="F473" s="3">
        <f t="shared" si="7"/>
        <v>156.12423031246013</v>
      </c>
      <c r="G473">
        <v>674</v>
      </c>
    </row>
    <row r="474" spans="1:7" x14ac:dyDescent="0.25">
      <c r="A474">
        <v>18039</v>
      </c>
      <c r="B474" t="s">
        <v>25</v>
      </c>
      <c r="C474">
        <v>16</v>
      </c>
      <c r="D474" s="3">
        <f>in_parking_demand_data_ver1!D474*calibration!$I$31</f>
        <v>156.37778164061694</v>
      </c>
      <c r="E474" s="3">
        <f>in_parking_demand_data_ver1!E474*calibration!$I$31</f>
        <v>16.41744849814339</v>
      </c>
      <c r="F474" s="3">
        <f t="shared" si="7"/>
        <v>172.79523013876033</v>
      </c>
      <c r="G474">
        <v>674</v>
      </c>
    </row>
    <row r="475" spans="1:7" x14ac:dyDescent="0.25">
      <c r="A475">
        <v>18039</v>
      </c>
      <c r="B475" t="s">
        <v>25</v>
      </c>
      <c r="C475">
        <v>17</v>
      </c>
      <c r="D475" s="3">
        <f>in_parking_demand_data_ver1!D475*calibration!$I$31</f>
        <v>170.64004384942888</v>
      </c>
      <c r="E475" s="3">
        <f>in_parking_demand_data_ver1!E475*calibration!$I$31</f>
        <v>15.40324318551677</v>
      </c>
      <c r="F475" s="3">
        <f t="shared" si="7"/>
        <v>186.04328703494565</v>
      </c>
      <c r="G475">
        <v>674</v>
      </c>
    </row>
    <row r="476" spans="1:7" x14ac:dyDescent="0.25">
      <c r="A476">
        <v>18039</v>
      </c>
      <c r="B476" t="s">
        <v>25</v>
      </c>
      <c r="C476">
        <v>18</v>
      </c>
      <c r="D476" s="3">
        <f>in_parking_demand_data_ver1!D476*calibration!$I$31</f>
        <v>196.12195232917259</v>
      </c>
      <c r="E476" s="3">
        <f>in_parking_demand_data_ver1!E476*calibration!$I$31</f>
        <v>16.100509337947635</v>
      </c>
      <c r="F476" s="3">
        <f t="shared" si="7"/>
        <v>212.22246166712023</v>
      </c>
      <c r="G476">
        <v>674</v>
      </c>
    </row>
    <row r="477" spans="1:7" x14ac:dyDescent="0.25">
      <c r="A477">
        <v>18039</v>
      </c>
      <c r="B477" t="s">
        <v>25</v>
      </c>
      <c r="C477">
        <v>19</v>
      </c>
      <c r="D477" s="3">
        <f>in_parking_demand_data_ver1!D477*calibration!$I$31</f>
        <v>229.84427897400778</v>
      </c>
      <c r="E477" s="3">
        <f>in_parking_demand_data_ver1!E477*calibration!$I$31</f>
        <v>17.241490314652541</v>
      </c>
      <c r="F477" s="3">
        <f t="shared" si="7"/>
        <v>247.08576928866032</v>
      </c>
      <c r="G477">
        <v>674</v>
      </c>
    </row>
    <row r="478" spans="1:7" x14ac:dyDescent="0.25">
      <c r="A478">
        <v>18039</v>
      </c>
      <c r="B478" t="s">
        <v>25</v>
      </c>
      <c r="C478">
        <v>20</v>
      </c>
      <c r="D478" s="3">
        <f>in_parking_demand_data_ver1!D478*calibration!$I$31</f>
        <v>272.50428993636547</v>
      </c>
      <c r="E478" s="3">
        <f>in_parking_demand_data_ver1!E478*calibration!$I$31</f>
        <v>19.777003596219089</v>
      </c>
      <c r="F478" s="3">
        <f t="shared" si="7"/>
        <v>292.28129353258453</v>
      </c>
      <c r="G478">
        <v>674</v>
      </c>
    </row>
    <row r="479" spans="1:7" x14ac:dyDescent="0.25">
      <c r="A479">
        <v>18039</v>
      </c>
      <c r="B479" t="s">
        <v>25</v>
      </c>
      <c r="C479">
        <v>21</v>
      </c>
      <c r="D479" s="3">
        <f>in_parking_demand_data_ver1!D479*calibration!$I$31</f>
        <v>310.91731615209829</v>
      </c>
      <c r="E479" s="3">
        <f>in_parking_demand_data_ver1!E479*calibration!$I$31</f>
        <v>23.960600510803939</v>
      </c>
      <c r="F479" s="3">
        <f t="shared" si="7"/>
        <v>334.87791666290224</v>
      </c>
      <c r="G479">
        <v>674</v>
      </c>
    </row>
    <row r="480" spans="1:7" x14ac:dyDescent="0.25">
      <c r="A480">
        <v>18039</v>
      </c>
      <c r="B480" t="s">
        <v>25</v>
      </c>
      <c r="C480">
        <v>22</v>
      </c>
      <c r="D480" s="3">
        <f>in_parking_demand_data_ver1!D480*calibration!$I$31</f>
        <v>345.90739943771717</v>
      </c>
      <c r="E480" s="3">
        <f>in_parking_demand_data_ver1!E480*calibration!$I$31</f>
        <v>27.129992112762082</v>
      </c>
      <c r="F480" s="3">
        <f t="shared" si="7"/>
        <v>373.03739155047924</v>
      </c>
      <c r="G480">
        <v>674</v>
      </c>
    </row>
    <row r="481" spans="1:7" x14ac:dyDescent="0.25">
      <c r="A481">
        <v>18039</v>
      </c>
      <c r="B481" t="s">
        <v>25</v>
      </c>
      <c r="C481">
        <v>23</v>
      </c>
      <c r="D481" s="3">
        <f>in_parking_demand_data_ver1!D481*calibration!$I$31</f>
        <v>378.61552076992592</v>
      </c>
      <c r="E481" s="3">
        <f>in_parking_demand_data_ver1!E481*calibration!$I$31</f>
        <v>29.348566234132882</v>
      </c>
      <c r="F481" s="3">
        <f t="shared" si="7"/>
        <v>407.9640870040588</v>
      </c>
      <c r="G481">
        <v>674</v>
      </c>
    </row>
    <row r="482" spans="1:7" x14ac:dyDescent="0.25">
      <c r="A482">
        <v>18041</v>
      </c>
      <c r="B482" t="s">
        <v>26</v>
      </c>
      <c r="C482">
        <v>0</v>
      </c>
      <c r="D482" s="3">
        <f>in_parking_demand_data_ver1!D482*calibration!$I$31</f>
        <v>0</v>
      </c>
      <c r="E482" s="3">
        <f>in_parking_demand_data_ver1!E482*calibration!$I$31</f>
        <v>0.32729449523606663</v>
      </c>
      <c r="F482" s="3">
        <f t="shared" si="7"/>
        <v>0.32729449523606663</v>
      </c>
      <c r="G482">
        <v>0</v>
      </c>
    </row>
    <row r="483" spans="1:7" x14ac:dyDescent="0.25">
      <c r="A483">
        <v>18041</v>
      </c>
      <c r="B483" t="s">
        <v>26</v>
      </c>
      <c r="C483">
        <v>1</v>
      </c>
      <c r="D483" s="3">
        <f>in_parking_demand_data_ver1!D483*calibration!$I$31</f>
        <v>0</v>
      </c>
      <c r="E483" s="3">
        <f>in_parking_demand_data_ver1!E483*calibration!$I$31</f>
        <v>0.32729449523606663</v>
      </c>
      <c r="F483" s="3">
        <f t="shared" si="7"/>
        <v>0.32729449523606663</v>
      </c>
      <c r="G483">
        <v>0</v>
      </c>
    </row>
    <row r="484" spans="1:7" x14ac:dyDescent="0.25">
      <c r="A484">
        <v>18041</v>
      </c>
      <c r="B484" t="s">
        <v>26</v>
      </c>
      <c r="C484">
        <v>2</v>
      </c>
      <c r="D484" s="3">
        <f>in_parking_demand_data_ver1!D484*calibration!$I$31</f>
        <v>0</v>
      </c>
      <c r="E484" s="3">
        <f>in_parking_demand_data_ver1!E484*calibration!$I$31</f>
        <v>0.32729449523606663</v>
      </c>
      <c r="F484" s="3">
        <f t="shared" si="7"/>
        <v>0.32729449523606663</v>
      </c>
      <c r="G484">
        <v>0</v>
      </c>
    </row>
    <row r="485" spans="1:7" x14ac:dyDescent="0.25">
      <c r="A485">
        <v>18041</v>
      </c>
      <c r="B485" t="s">
        <v>26</v>
      </c>
      <c r="C485">
        <v>3</v>
      </c>
      <c r="D485" s="3">
        <f>in_parking_demand_data_ver1!D485*calibration!$I$31</f>
        <v>0</v>
      </c>
      <c r="E485" s="3">
        <f>in_parking_demand_data_ver1!E485*calibration!$I$31</f>
        <v>0.32729449523606663</v>
      </c>
      <c r="F485" s="3">
        <f t="shared" si="7"/>
        <v>0.32729449523606663</v>
      </c>
      <c r="G485">
        <v>0</v>
      </c>
    </row>
    <row r="486" spans="1:7" x14ac:dyDescent="0.25">
      <c r="A486">
        <v>18041</v>
      </c>
      <c r="B486" t="s">
        <v>26</v>
      </c>
      <c r="C486">
        <v>4</v>
      </c>
      <c r="D486" s="3">
        <f>in_parking_demand_data_ver1!D486*calibration!$I$31</f>
        <v>0</v>
      </c>
      <c r="E486" s="3">
        <f>in_parking_demand_data_ver1!E486*calibration!$I$31</f>
        <v>0.40911811904508394</v>
      </c>
      <c r="F486" s="3">
        <f t="shared" si="7"/>
        <v>0.40911811904508394</v>
      </c>
      <c r="G486">
        <v>0</v>
      </c>
    </row>
    <row r="487" spans="1:7" x14ac:dyDescent="0.25">
      <c r="A487">
        <v>18041</v>
      </c>
      <c r="B487" t="s">
        <v>26</v>
      </c>
      <c r="C487">
        <v>5</v>
      </c>
      <c r="D487" s="3">
        <f>in_parking_demand_data_ver1!D487*calibration!$I$31</f>
        <v>0</v>
      </c>
      <c r="E487" s="3">
        <f>in_parking_demand_data_ver1!E487*calibration!$I$31</f>
        <v>0.36820630714057528</v>
      </c>
      <c r="F487" s="3">
        <f t="shared" si="7"/>
        <v>0.36820630714057528</v>
      </c>
      <c r="G487">
        <v>0</v>
      </c>
    </row>
    <row r="488" spans="1:7" x14ac:dyDescent="0.25">
      <c r="A488">
        <v>18041</v>
      </c>
      <c r="B488" t="s">
        <v>26</v>
      </c>
      <c r="C488">
        <v>6</v>
      </c>
      <c r="D488" s="3">
        <f>in_parking_demand_data_ver1!D488*calibration!$I$31</f>
        <v>0</v>
      </c>
      <c r="E488" s="3">
        <f>in_parking_demand_data_ver1!E488*calibration!$I$31</f>
        <v>0.53185355475860907</v>
      </c>
      <c r="F488" s="3">
        <f t="shared" si="7"/>
        <v>0.53185355475860907</v>
      </c>
      <c r="G488">
        <v>0</v>
      </c>
    </row>
    <row r="489" spans="1:7" x14ac:dyDescent="0.25">
      <c r="A489">
        <v>18041</v>
      </c>
      <c r="B489" t="s">
        <v>26</v>
      </c>
      <c r="C489">
        <v>7</v>
      </c>
      <c r="D489" s="3">
        <f>in_parking_demand_data_ver1!D489*calibration!$I$31</f>
        <v>0</v>
      </c>
      <c r="E489" s="3">
        <f>in_parking_demand_data_ver1!E489*calibration!$I$31</f>
        <v>0.98188348570819395</v>
      </c>
      <c r="F489" s="3">
        <f t="shared" si="7"/>
        <v>0.98188348570819395</v>
      </c>
      <c r="G489">
        <v>0</v>
      </c>
    </row>
    <row r="490" spans="1:7" x14ac:dyDescent="0.25">
      <c r="A490">
        <v>18041</v>
      </c>
      <c r="B490" t="s">
        <v>26</v>
      </c>
      <c r="C490">
        <v>8</v>
      </c>
      <c r="D490" s="3">
        <f>in_parking_demand_data_ver1!D490*calibration!$I$31</f>
        <v>0</v>
      </c>
      <c r="E490" s="3">
        <f>in_parking_demand_data_ver1!E490*calibration!$I$31</f>
        <v>1.2682661690397605</v>
      </c>
      <c r="F490" s="3">
        <f t="shared" si="7"/>
        <v>1.2682661690397605</v>
      </c>
      <c r="G490">
        <v>0</v>
      </c>
    </row>
    <row r="491" spans="1:7" x14ac:dyDescent="0.25">
      <c r="A491">
        <v>18041</v>
      </c>
      <c r="B491" t="s">
        <v>26</v>
      </c>
      <c r="C491">
        <v>9</v>
      </c>
      <c r="D491" s="3">
        <f>in_parking_demand_data_ver1!D491*calibration!$I$31</f>
        <v>0</v>
      </c>
      <c r="E491" s="3">
        <f>in_parking_demand_data_ver1!E491*calibration!$I$31</f>
        <v>2.3319732785569736</v>
      </c>
      <c r="F491" s="3">
        <f t="shared" si="7"/>
        <v>2.3319732785569736</v>
      </c>
      <c r="G491">
        <v>0</v>
      </c>
    </row>
    <row r="492" spans="1:7" x14ac:dyDescent="0.25">
      <c r="A492">
        <v>18041</v>
      </c>
      <c r="B492" t="s">
        <v>26</v>
      </c>
      <c r="C492">
        <v>10</v>
      </c>
      <c r="D492" s="3">
        <f>in_parking_demand_data_ver1!D492*calibration!$I$31</f>
        <v>0</v>
      </c>
      <c r="E492" s="3">
        <f>in_parking_demand_data_ver1!E492*calibration!$I$31</f>
        <v>2.2092378428434536</v>
      </c>
      <c r="F492" s="3">
        <f t="shared" si="7"/>
        <v>2.2092378428434536</v>
      </c>
      <c r="G492">
        <v>0</v>
      </c>
    </row>
    <row r="493" spans="1:7" x14ac:dyDescent="0.25">
      <c r="A493">
        <v>18041</v>
      </c>
      <c r="B493" t="s">
        <v>26</v>
      </c>
      <c r="C493">
        <v>11</v>
      </c>
      <c r="D493" s="3">
        <f>in_parking_demand_data_ver1!D493*calibration!$I$31</f>
        <v>0</v>
      </c>
      <c r="E493" s="3">
        <f>in_parking_demand_data_ver1!E493*calibration!$I$31</f>
        <v>1.9228551595118952</v>
      </c>
      <c r="F493" s="3">
        <f t="shared" si="7"/>
        <v>1.9228551595118952</v>
      </c>
      <c r="G493">
        <v>0</v>
      </c>
    </row>
    <row r="494" spans="1:7" x14ac:dyDescent="0.25">
      <c r="A494">
        <v>18041</v>
      </c>
      <c r="B494" t="s">
        <v>26</v>
      </c>
      <c r="C494">
        <v>12</v>
      </c>
      <c r="D494" s="3">
        <f>in_parking_demand_data_ver1!D494*calibration!$I$31</f>
        <v>0</v>
      </c>
      <c r="E494" s="3">
        <f>in_parking_demand_data_ver1!E494*calibration!$I$31</f>
        <v>1.8819433476073859</v>
      </c>
      <c r="F494" s="3">
        <f t="shared" si="7"/>
        <v>1.8819433476073859</v>
      </c>
      <c r="G494">
        <v>0</v>
      </c>
    </row>
    <row r="495" spans="1:7" x14ac:dyDescent="0.25">
      <c r="A495">
        <v>18041</v>
      </c>
      <c r="B495" t="s">
        <v>26</v>
      </c>
      <c r="C495">
        <v>13</v>
      </c>
      <c r="D495" s="3">
        <f>in_parking_demand_data_ver1!D495*calibration!$I$31</f>
        <v>0</v>
      </c>
      <c r="E495" s="3">
        <f>in_parking_demand_data_ver1!E495*calibration!$I$31</f>
        <v>0.81823623809016788</v>
      </c>
      <c r="F495" s="3">
        <f t="shared" si="7"/>
        <v>0.81823623809016788</v>
      </c>
      <c r="G495">
        <v>0</v>
      </c>
    </row>
    <row r="496" spans="1:7" x14ac:dyDescent="0.25">
      <c r="A496">
        <v>18041</v>
      </c>
      <c r="B496" t="s">
        <v>26</v>
      </c>
      <c r="C496">
        <v>14</v>
      </c>
      <c r="D496" s="3">
        <f>in_parking_demand_data_ver1!D496*calibration!$I$31</f>
        <v>0</v>
      </c>
      <c r="E496" s="3">
        <f>in_parking_demand_data_ver1!E496*calibration!$I$31</f>
        <v>8.1823623809016782E-2</v>
      </c>
      <c r="F496" s="3">
        <f t="shared" si="7"/>
        <v>8.1823623809016782E-2</v>
      </c>
      <c r="G496">
        <v>0</v>
      </c>
    </row>
    <row r="497" spans="1:7" x14ac:dyDescent="0.25">
      <c r="A497">
        <v>18041</v>
      </c>
      <c r="B497" t="s">
        <v>26</v>
      </c>
      <c r="C497">
        <v>15</v>
      </c>
      <c r="D497" s="3">
        <f>in_parking_demand_data_ver1!D497*calibration!$I$31</f>
        <v>0</v>
      </c>
      <c r="E497" s="3">
        <f>in_parking_demand_data_ver1!E497*calibration!$I$31</f>
        <v>8.1823623809016782E-2</v>
      </c>
      <c r="F497" s="3">
        <f t="shared" si="7"/>
        <v>8.1823623809016782E-2</v>
      </c>
      <c r="G497">
        <v>0</v>
      </c>
    </row>
    <row r="498" spans="1:7" x14ac:dyDescent="0.25">
      <c r="A498">
        <v>18041</v>
      </c>
      <c r="B498" t="s">
        <v>26</v>
      </c>
      <c r="C498">
        <v>16</v>
      </c>
      <c r="D498" s="3">
        <f>in_parking_demand_data_ver1!D498*calibration!$I$31</f>
        <v>0</v>
      </c>
      <c r="E498" s="3">
        <f>in_parking_demand_data_ver1!E498*calibration!$I$31</f>
        <v>0</v>
      </c>
      <c r="F498" s="3">
        <f t="shared" si="7"/>
        <v>0</v>
      </c>
      <c r="G498">
        <v>0</v>
      </c>
    </row>
    <row r="499" spans="1:7" x14ac:dyDescent="0.25">
      <c r="A499">
        <v>18041</v>
      </c>
      <c r="B499" t="s">
        <v>26</v>
      </c>
      <c r="C499">
        <v>17</v>
      </c>
      <c r="D499" s="3">
        <f>in_parking_demand_data_ver1!D499*calibration!$I$31</f>
        <v>0</v>
      </c>
      <c r="E499" s="3">
        <f>in_parking_demand_data_ver1!E499*calibration!$I$31</f>
        <v>0</v>
      </c>
      <c r="F499" s="3">
        <f t="shared" si="7"/>
        <v>0</v>
      </c>
      <c r="G499">
        <v>0</v>
      </c>
    </row>
    <row r="500" spans="1:7" x14ac:dyDescent="0.25">
      <c r="A500">
        <v>18041</v>
      </c>
      <c r="B500" t="s">
        <v>26</v>
      </c>
      <c r="C500">
        <v>18</v>
      </c>
      <c r="D500" s="3">
        <f>in_parking_demand_data_ver1!D500*calibration!$I$31</f>
        <v>0</v>
      </c>
      <c r="E500" s="3">
        <f>in_parking_demand_data_ver1!E500*calibration!$I$31</f>
        <v>0</v>
      </c>
      <c r="F500" s="3">
        <f t="shared" si="7"/>
        <v>0</v>
      </c>
      <c r="G500">
        <v>0</v>
      </c>
    </row>
    <row r="501" spans="1:7" x14ac:dyDescent="0.25">
      <c r="A501">
        <v>18041</v>
      </c>
      <c r="B501" t="s">
        <v>26</v>
      </c>
      <c r="C501">
        <v>19</v>
      </c>
      <c r="D501" s="3">
        <f>in_parking_demand_data_ver1!D501*calibration!$I$31</f>
        <v>0</v>
      </c>
      <c r="E501" s="3">
        <f>in_parking_demand_data_ver1!E501*calibration!$I$31</f>
        <v>0</v>
      </c>
      <c r="F501" s="3">
        <f t="shared" si="7"/>
        <v>0</v>
      </c>
      <c r="G501">
        <v>0</v>
      </c>
    </row>
    <row r="502" spans="1:7" x14ac:dyDescent="0.25">
      <c r="A502">
        <v>18041</v>
      </c>
      <c r="B502" t="s">
        <v>26</v>
      </c>
      <c r="C502">
        <v>20</v>
      </c>
      <c r="D502" s="3">
        <f>in_parking_demand_data_ver1!D502*calibration!$I$31</f>
        <v>0</v>
      </c>
      <c r="E502" s="3">
        <f>in_parking_demand_data_ver1!E502*calibration!$I$31</f>
        <v>0</v>
      </c>
      <c r="F502" s="3">
        <f t="shared" si="7"/>
        <v>0</v>
      </c>
      <c r="G502">
        <v>0</v>
      </c>
    </row>
    <row r="503" spans="1:7" x14ac:dyDescent="0.25">
      <c r="A503">
        <v>18041</v>
      </c>
      <c r="B503" t="s">
        <v>26</v>
      </c>
      <c r="C503">
        <v>21</v>
      </c>
      <c r="D503" s="3">
        <f>in_parking_demand_data_ver1!D503*calibration!$I$31</f>
        <v>0</v>
      </c>
      <c r="E503" s="3">
        <f>in_parking_demand_data_ver1!E503*calibration!$I$31</f>
        <v>0.16364724761803287</v>
      </c>
      <c r="F503" s="3">
        <f t="shared" si="7"/>
        <v>0.16364724761803287</v>
      </c>
      <c r="G503">
        <v>0</v>
      </c>
    </row>
    <row r="504" spans="1:7" x14ac:dyDescent="0.25">
      <c r="A504">
        <v>18041</v>
      </c>
      <c r="B504" t="s">
        <v>26</v>
      </c>
      <c r="C504">
        <v>22</v>
      </c>
      <c r="D504" s="3">
        <f>in_parking_demand_data_ver1!D504*calibration!$I$31</f>
        <v>0</v>
      </c>
      <c r="E504" s="3">
        <f>in_parking_demand_data_ver1!E504*calibration!$I$31</f>
        <v>0.32729449523606663</v>
      </c>
      <c r="F504" s="3">
        <f t="shared" si="7"/>
        <v>0.32729449523606663</v>
      </c>
      <c r="G504">
        <v>0</v>
      </c>
    </row>
    <row r="505" spans="1:7" x14ac:dyDescent="0.25">
      <c r="A505">
        <v>18041</v>
      </c>
      <c r="B505" t="s">
        <v>26</v>
      </c>
      <c r="C505">
        <v>23</v>
      </c>
      <c r="D505" s="3">
        <f>in_parking_demand_data_ver1!D505*calibration!$I$31</f>
        <v>0</v>
      </c>
      <c r="E505" s="3">
        <f>in_parking_demand_data_ver1!E505*calibration!$I$31</f>
        <v>0.32729449523606663</v>
      </c>
      <c r="F505" s="3">
        <f t="shared" si="7"/>
        <v>0.32729449523606663</v>
      </c>
      <c r="G505">
        <v>0</v>
      </c>
    </row>
    <row r="506" spans="1:7" x14ac:dyDescent="0.25">
      <c r="A506">
        <v>18043</v>
      </c>
      <c r="B506" t="s">
        <v>27</v>
      </c>
      <c r="C506">
        <v>0</v>
      </c>
      <c r="D506" s="3">
        <f>in_parking_demand_data_ver1!D506*calibration!$I$31</f>
        <v>6.7979004308959512</v>
      </c>
      <c r="E506" s="3">
        <f>in_parking_demand_data_ver1!E506*calibration!$I$31</f>
        <v>1.6942459535463745</v>
      </c>
      <c r="F506" s="3">
        <f t="shared" si="7"/>
        <v>8.4921463844423251</v>
      </c>
      <c r="G506">
        <v>86</v>
      </c>
    </row>
    <row r="507" spans="1:7" x14ac:dyDescent="0.25">
      <c r="A507">
        <v>18043</v>
      </c>
      <c r="B507" t="s">
        <v>27</v>
      </c>
      <c r="C507">
        <v>1</v>
      </c>
      <c r="D507" s="3">
        <f>in_parking_demand_data_ver1!D507*calibration!$I$31</f>
        <v>6.7979004308959512</v>
      </c>
      <c r="E507" s="3">
        <f>in_parking_demand_data_ver1!E507*calibration!$I$31</f>
        <v>1.7988290370986191</v>
      </c>
      <c r="F507" s="3">
        <f t="shared" si="7"/>
        <v>8.5967294679945709</v>
      </c>
      <c r="G507">
        <v>86</v>
      </c>
    </row>
    <row r="508" spans="1:7" x14ac:dyDescent="0.25">
      <c r="A508">
        <v>18043</v>
      </c>
      <c r="B508" t="s">
        <v>27</v>
      </c>
      <c r="C508">
        <v>2</v>
      </c>
      <c r="D508" s="3">
        <f>in_parking_demand_data_ver1!D508*calibration!$I$31</f>
        <v>6.7769838141855061</v>
      </c>
      <c r="E508" s="3">
        <f>in_parking_demand_data_ver1!E508*calibration!$I$31</f>
        <v>1.8615788872299639</v>
      </c>
      <c r="F508" s="3">
        <f t="shared" si="7"/>
        <v>8.63856270141547</v>
      </c>
      <c r="G508">
        <v>86</v>
      </c>
    </row>
    <row r="509" spans="1:7" x14ac:dyDescent="0.25">
      <c r="A509">
        <v>18043</v>
      </c>
      <c r="B509" t="s">
        <v>27</v>
      </c>
      <c r="C509">
        <v>3</v>
      </c>
      <c r="D509" s="3">
        <f>in_parking_demand_data_ver1!D509*calibration!$I$31</f>
        <v>6.588734263791463</v>
      </c>
      <c r="E509" s="3">
        <f>in_parking_demand_data_ver1!E509*calibration!$I$31</f>
        <v>1.4641631697314315</v>
      </c>
      <c r="F509" s="3">
        <f t="shared" si="7"/>
        <v>8.0528974335228938</v>
      </c>
      <c r="G509">
        <v>86</v>
      </c>
    </row>
    <row r="510" spans="1:7" x14ac:dyDescent="0.25">
      <c r="A510">
        <v>18043</v>
      </c>
      <c r="B510" t="s">
        <v>27</v>
      </c>
      <c r="C510">
        <v>4</v>
      </c>
      <c r="D510" s="3">
        <f>in_parking_demand_data_ver1!D510*calibration!$I$31</f>
        <v>7.1116496815526853</v>
      </c>
      <c r="E510" s="3">
        <f>in_parking_demand_data_ver1!E510*calibration!$I$31</f>
        <v>2.1753281378866975</v>
      </c>
      <c r="F510" s="3">
        <f t="shared" si="7"/>
        <v>9.2869778194393824</v>
      </c>
      <c r="G510">
        <v>86</v>
      </c>
    </row>
    <row r="511" spans="1:7" x14ac:dyDescent="0.25">
      <c r="A511">
        <v>18043</v>
      </c>
      <c r="B511" t="s">
        <v>27</v>
      </c>
      <c r="C511">
        <v>5</v>
      </c>
      <c r="D511" s="3">
        <f>in_parking_demand_data_ver1!D511*calibration!$I$31</f>
        <v>7.0488998314213402</v>
      </c>
      <c r="E511" s="3">
        <f>in_parking_demand_data_ver1!E511*calibration!$I$31</f>
        <v>3.5558248407763386</v>
      </c>
      <c r="F511" s="3">
        <f t="shared" si="7"/>
        <v>10.60472467219768</v>
      </c>
      <c r="G511">
        <v>86</v>
      </c>
    </row>
    <row r="512" spans="1:7" x14ac:dyDescent="0.25">
      <c r="A512">
        <v>18043</v>
      </c>
      <c r="B512" t="s">
        <v>27</v>
      </c>
      <c r="C512">
        <v>6</v>
      </c>
      <c r="D512" s="3">
        <f>in_parking_demand_data_ver1!D512*calibration!$I$31</f>
        <v>7.1534829149735852</v>
      </c>
      <c r="E512" s="3">
        <f>in_parking_demand_data_ver1!E512*calibration!$I$31</f>
        <v>5.3337372611645115</v>
      </c>
      <c r="F512" s="3">
        <f t="shared" si="7"/>
        <v>12.487220176138097</v>
      </c>
      <c r="G512">
        <v>86</v>
      </c>
    </row>
    <row r="513" spans="1:7" x14ac:dyDescent="0.25">
      <c r="A513">
        <v>18043</v>
      </c>
      <c r="B513" t="s">
        <v>27</v>
      </c>
      <c r="C513">
        <v>7</v>
      </c>
      <c r="D513" s="3">
        <f>in_parking_demand_data_ver1!D513*calibration!$I$31</f>
        <v>6.672400730633254</v>
      </c>
      <c r="E513" s="3">
        <f>in_parking_demand_data_ver1!E513*calibration!$I$31</f>
        <v>3.5349082240658931</v>
      </c>
      <c r="F513" s="3">
        <f t="shared" si="7"/>
        <v>10.207308954699148</v>
      </c>
      <c r="G513">
        <v>86</v>
      </c>
    </row>
    <row r="514" spans="1:7" x14ac:dyDescent="0.25">
      <c r="A514">
        <v>18043</v>
      </c>
      <c r="B514" t="s">
        <v>27</v>
      </c>
      <c r="C514">
        <v>8</v>
      </c>
      <c r="D514" s="3">
        <f>in_parking_demand_data_ver1!D514*calibration!$I$31</f>
        <v>5.4383203447167565</v>
      </c>
      <c r="E514" s="3">
        <f>in_parking_demand_data_ver1!E514*calibration!$I$31</f>
        <v>2.9910761895942164</v>
      </c>
      <c r="F514" s="3">
        <f t="shared" si="7"/>
        <v>8.4293965343109729</v>
      </c>
      <c r="G514">
        <v>86</v>
      </c>
    </row>
    <row r="515" spans="1:7" x14ac:dyDescent="0.25">
      <c r="A515">
        <v>18043</v>
      </c>
      <c r="B515" t="s">
        <v>27</v>
      </c>
      <c r="C515">
        <v>9</v>
      </c>
      <c r="D515" s="3">
        <f>in_parking_demand_data_ver1!D515*calibration!$I$31</f>
        <v>4.7899052266928352</v>
      </c>
      <c r="E515" s="3">
        <f>in_parking_demand_data_ver1!E515*calibration!$I$31</f>
        <v>3.4303251405136486</v>
      </c>
      <c r="F515" s="3">
        <f t="shared" ref="F515:F578" si="8">SUM(D515:E515)</f>
        <v>8.2202303672064829</v>
      </c>
      <c r="G515">
        <v>86</v>
      </c>
    </row>
    <row r="516" spans="1:7" x14ac:dyDescent="0.25">
      <c r="A516">
        <v>18043</v>
      </c>
      <c r="B516" t="s">
        <v>27</v>
      </c>
      <c r="C516">
        <v>10</v>
      </c>
      <c r="D516" s="3">
        <f>in_parking_demand_data_ver1!D516*calibration!$I$31</f>
        <v>4.6016556762988001</v>
      </c>
      <c r="E516" s="3">
        <f>in_parking_demand_data_ver1!E516*calibration!$I$31</f>
        <v>2.8028266392001728</v>
      </c>
      <c r="F516" s="3">
        <f t="shared" si="8"/>
        <v>7.4044823154989725</v>
      </c>
      <c r="G516">
        <v>86</v>
      </c>
    </row>
    <row r="517" spans="1:7" x14ac:dyDescent="0.25">
      <c r="A517">
        <v>18043</v>
      </c>
      <c r="B517" t="s">
        <v>27</v>
      </c>
      <c r="C517">
        <v>11</v>
      </c>
      <c r="D517" s="3">
        <f>in_parking_demand_data_ver1!D517*calibration!$I$31</f>
        <v>4.476155976036102</v>
      </c>
      <c r="E517" s="3">
        <f>in_parking_demand_data_ver1!E517*calibration!$I$31</f>
        <v>2.6145770888061293</v>
      </c>
      <c r="F517" s="3">
        <f t="shared" si="8"/>
        <v>7.0907330648422313</v>
      </c>
      <c r="G517">
        <v>86</v>
      </c>
    </row>
    <row r="518" spans="1:7" x14ac:dyDescent="0.25">
      <c r="A518">
        <v>18043</v>
      </c>
      <c r="B518" t="s">
        <v>27</v>
      </c>
      <c r="C518">
        <v>12</v>
      </c>
      <c r="D518" s="3">
        <f>in_parking_demand_data_ver1!D518*calibration!$I$31</f>
        <v>4.9781547770868793</v>
      </c>
      <c r="E518" s="3">
        <f>in_parking_demand_data_ver1!E518*calibration!$I$31</f>
        <v>3.1165758898569149</v>
      </c>
      <c r="F518" s="3">
        <f t="shared" si="8"/>
        <v>8.0947306669437946</v>
      </c>
      <c r="G518">
        <v>86</v>
      </c>
    </row>
    <row r="519" spans="1:7" x14ac:dyDescent="0.25">
      <c r="A519">
        <v>18043</v>
      </c>
      <c r="B519" t="s">
        <v>27</v>
      </c>
      <c r="C519">
        <v>13</v>
      </c>
      <c r="D519" s="3">
        <f>in_parking_demand_data_ver1!D519*calibration!$I$31</f>
        <v>4.7689886099823902</v>
      </c>
      <c r="E519" s="3">
        <f>in_parking_demand_data_ver1!E519*calibration!$I$31</f>
        <v>2.9910761895942164</v>
      </c>
      <c r="F519" s="3">
        <f t="shared" si="8"/>
        <v>7.7600647995766066</v>
      </c>
      <c r="G519">
        <v>86</v>
      </c>
    </row>
    <row r="520" spans="1:7" x14ac:dyDescent="0.25">
      <c r="A520">
        <v>18043</v>
      </c>
      <c r="B520" t="s">
        <v>27</v>
      </c>
      <c r="C520">
        <v>14</v>
      </c>
      <c r="D520" s="3">
        <f>in_parking_demand_data_ver1!D520*calibration!$I$31</f>
        <v>4.497072592746556</v>
      </c>
      <c r="E520" s="3">
        <f>in_parking_demand_data_ver1!E520*calibration!$I$31</f>
        <v>2.8028266392001728</v>
      </c>
      <c r="F520" s="3">
        <f t="shared" si="8"/>
        <v>7.2998992319467284</v>
      </c>
      <c r="G520">
        <v>86</v>
      </c>
    </row>
    <row r="521" spans="1:7" x14ac:dyDescent="0.25">
      <c r="A521">
        <v>18043</v>
      </c>
      <c r="B521" t="s">
        <v>27</v>
      </c>
      <c r="C521">
        <v>15</v>
      </c>
      <c r="D521" s="3">
        <f>in_parking_demand_data_ver1!D521*calibration!$I$31</f>
        <v>4.7271553765614911</v>
      </c>
      <c r="E521" s="3">
        <f>in_parking_demand_data_ver1!E521*calibration!$I$31</f>
        <v>1.9661619707822082</v>
      </c>
      <c r="F521" s="3">
        <f t="shared" si="8"/>
        <v>6.6933173473436991</v>
      </c>
      <c r="G521">
        <v>86</v>
      </c>
    </row>
    <row r="522" spans="1:7" x14ac:dyDescent="0.25">
      <c r="A522">
        <v>18043</v>
      </c>
      <c r="B522" t="s">
        <v>27</v>
      </c>
      <c r="C522">
        <v>16</v>
      </c>
      <c r="D522" s="3">
        <f>in_parking_demand_data_ver1!D522*calibration!$I$31</f>
        <v>4.6434889097196912</v>
      </c>
      <c r="E522" s="3">
        <f>in_parking_demand_data_ver1!E522*calibration!$I$31</f>
        <v>1.422329936310532</v>
      </c>
      <c r="F522" s="3">
        <f t="shared" si="8"/>
        <v>6.0658188460302229</v>
      </c>
      <c r="G522">
        <v>86</v>
      </c>
    </row>
    <row r="523" spans="1:7" x14ac:dyDescent="0.25">
      <c r="A523">
        <v>18043</v>
      </c>
      <c r="B523" t="s">
        <v>27</v>
      </c>
      <c r="C523">
        <v>17</v>
      </c>
      <c r="D523" s="3">
        <f>in_parking_demand_data_ver1!D523*calibration!$I$31</f>
        <v>5.1873209441913675</v>
      </c>
      <c r="E523" s="3">
        <f>in_parking_demand_data_ver1!E523*calibration!$I$31</f>
        <v>0.92033113525975496</v>
      </c>
      <c r="F523" s="3">
        <f t="shared" si="8"/>
        <v>6.1076520794511229</v>
      </c>
      <c r="G523">
        <v>86</v>
      </c>
    </row>
    <row r="524" spans="1:7" x14ac:dyDescent="0.25">
      <c r="A524">
        <v>18043</v>
      </c>
      <c r="B524" t="s">
        <v>27</v>
      </c>
      <c r="C524">
        <v>18</v>
      </c>
      <c r="D524" s="3">
        <f>in_parking_demand_data_ver1!D524*calibration!$I$31</f>
        <v>5.6265698951107996</v>
      </c>
      <c r="E524" s="3">
        <f>in_parking_demand_data_ver1!E524*calibration!$I$31</f>
        <v>1.003997602101554</v>
      </c>
      <c r="F524" s="3">
        <f t="shared" si="8"/>
        <v>6.6305674972123541</v>
      </c>
      <c r="G524">
        <v>86</v>
      </c>
    </row>
    <row r="525" spans="1:7" x14ac:dyDescent="0.25">
      <c r="A525">
        <v>18043</v>
      </c>
      <c r="B525" t="s">
        <v>27</v>
      </c>
      <c r="C525">
        <v>19</v>
      </c>
      <c r="D525" s="3">
        <f>in_parking_demand_data_ver1!D525*calibration!$I$31</f>
        <v>5.8775692956361887</v>
      </c>
      <c r="E525" s="3">
        <f>in_parking_demand_data_ver1!E525*calibration!$I$31</f>
        <v>1.0667474522328988</v>
      </c>
      <c r="F525" s="3">
        <f t="shared" si="8"/>
        <v>6.9443167478690873</v>
      </c>
      <c r="G525">
        <v>86</v>
      </c>
    </row>
    <row r="526" spans="1:7" x14ac:dyDescent="0.25">
      <c r="A526">
        <v>18043</v>
      </c>
      <c r="B526" t="s">
        <v>27</v>
      </c>
      <c r="C526">
        <v>20</v>
      </c>
      <c r="D526" s="3">
        <f>in_parking_demand_data_ver1!D526*calibration!$I$31</f>
        <v>6.1913185462929308</v>
      </c>
      <c r="E526" s="3">
        <f>in_parking_demand_data_ver1!E526*calibration!$I$31</f>
        <v>1.2131637692060431</v>
      </c>
      <c r="F526" s="3">
        <f t="shared" si="8"/>
        <v>7.4044823154989743</v>
      </c>
      <c r="G526">
        <v>86</v>
      </c>
    </row>
    <row r="527" spans="1:7" x14ac:dyDescent="0.25">
      <c r="A527">
        <v>18043</v>
      </c>
      <c r="B527" t="s">
        <v>27</v>
      </c>
      <c r="C527">
        <v>21</v>
      </c>
      <c r="D527" s="3">
        <f>in_parking_demand_data_ver1!D527*calibration!$I$31</f>
        <v>6.400484713397419</v>
      </c>
      <c r="E527" s="3">
        <f>in_parking_demand_data_ver1!E527*calibration!$I$31</f>
        <v>1.2759136193373879</v>
      </c>
      <c r="F527" s="3">
        <f t="shared" si="8"/>
        <v>7.6763983327348067</v>
      </c>
      <c r="G527">
        <v>86</v>
      </c>
    </row>
    <row r="528" spans="1:7" x14ac:dyDescent="0.25">
      <c r="A528">
        <v>18043</v>
      </c>
      <c r="B528" t="s">
        <v>27</v>
      </c>
      <c r="C528">
        <v>22</v>
      </c>
      <c r="D528" s="3">
        <f>in_parking_demand_data_ver1!D528*calibration!$I$31</f>
        <v>6.609650880501909</v>
      </c>
      <c r="E528" s="3">
        <f>in_parking_demand_data_ver1!E528*calibration!$I$31</f>
        <v>1.2131637692060431</v>
      </c>
      <c r="F528" s="3">
        <f t="shared" si="8"/>
        <v>7.8228146497079525</v>
      </c>
      <c r="G528">
        <v>86</v>
      </c>
    </row>
    <row r="529" spans="1:7" x14ac:dyDescent="0.25">
      <c r="A529">
        <v>18043</v>
      </c>
      <c r="B529" t="s">
        <v>27</v>
      </c>
      <c r="C529">
        <v>23</v>
      </c>
      <c r="D529" s="3">
        <f>in_parking_demand_data_ver1!D529*calibration!$I$31</f>
        <v>6.7142339640541522</v>
      </c>
      <c r="E529" s="3">
        <f>in_parking_demand_data_ver1!E529*calibration!$I$31</f>
        <v>1.7779124203881649</v>
      </c>
      <c r="F529" s="3">
        <f t="shared" si="8"/>
        <v>8.492146384442318</v>
      </c>
      <c r="G529">
        <v>86</v>
      </c>
    </row>
    <row r="530" spans="1:7" x14ac:dyDescent="0.25">
      <c r="A530">
        <v>18045</v>
      </c>
      <c r="B530" t="s">
        <v>28</v>
      </c>
      <c r="C530">
        <v>0</v>
      </c>
      <c r="D530" s="3">
        <f>in_parking_demand_data_ver1!D530*calibration!$I$31</f>
        <v>0</v>
      </c>
      <c r="E530" s="3">
        <f>in_parking_demand_data_ver1!E530*calibration!$I$31</f>
        <v>2.2217533787099697</v>
      </c>
      <c r="F530" s="3">
        <f t="shared" si="8"/>
        <v>2.2217533787099697</v>
      </c>
      <c r="G530">
        <v>0</v>
      </c>
    </row>
    <row r="531" spans="1:7" x14ac:dyDescent="0.25">
      <c r="A531">
        <v>18045</v>
      </c>
      <c r="B531" t="s">
        <v>28</v>
      </c>
      <c r="C531">
        <v>1</v>
      </c>
      <c r="D531" s="3">
        <f>in_parking_demand_data_ver1!D531*calibration!$I$31</f>
        <v>0</v>
      </c>
      <c r="E531" s="3">
        <f>in_parking_demand_data_ver1!E531*calibration!$I$31</f>
        <v>1.6955486311207699</v>
      </c>
      <c r="F531" s="3">
        <f t="shared" si="8"/>
        <v>1.6955486311207699</v>
      </c>
      <c r="G531">
        <v>0</v>
      </c>
    </row>
    <row r="532" spans="1:7" x14ac:dyDescent="0.25">
      <c r="A532">
        <v>18045</v>
      </c>
      <c r="B532" t="s">
        <v>28</v>
      </c>
      <c r="C532">
        <v>2</v>
      </c>
      <c r="D532" s="3">
        <f>in_parking_demand_data_ver1!D532*calibration!$I$31</f>
        <v>0</v>
      </c>
      <c r="E532" s="3">
        <f>in_parking_demand_data_ver1!E532*calibration!$I$31</f>
        <v>2.1048189903568151</v>
      </c>
      <c r="F532" s="3">
        <f t="shared" si="8"/>
        <v>2.1048189903568151</v>
      </c>
      <c r="G532">
        <v>0</v>
      </c>
    </row>
    <row r="533" spans="1:7" x14ac:dyDescent="0.25">
      <c r="A533">
        <v>18045</v>
      </c>
      <c r="B533" t="s">
        <v>28</v>
      </c>
      <c r="C533">
        <v>3</v>
      </c>
      <c r="D533" s="3">
        <f>in_parking_demand_data_ver1!D533*calibration!$I$31</f>
        <v>0</v>
      </c>
      <c r="E533" s="3">
        <f>in_parking_demand_data_ver1!E533*calibration!$I$31</f>
        <v>2.2217533787099697</v>
      </c>
      <c r="F533" s="3">
        <f t="shared" si="8"/>
        <v>2.2217533787099697</v>
      </c>
      <c r="G533">
        <v>0</v>
      </c>
    </row>
    <row r="534" spans="1:7" x14ac:dyDescent="0.25">
      <c r="A534">
        <v>18045</v>
      </c>
      <c r="B534" t="s">
        <v>28</v>
      </c>
      <c r="C534">
        <v>4</v>
      </c>
      <c r="D534" s="3">
        <f>in_parking_demand_data_ver1!D534*calibration!$I$31</f>
        <v>0</v>
      </c>
      <c r="E534" s="3">
        <f>in_parking_demand_data_ver1!E534*calibration!$I$31</f>
        <v>2.8648925146523321</v>
      </c>
      <c r="F534" s="3">
        <f t="shared" si="8"/>
        <v>2.8648925146523321</v>
      </c>
      <c r="G534">
        <v>0</v>
      </c>
    </row>
    <row r="535" spans="1:7" x14ac:dyDescent="0.25">
      <c r="A535">
        <v>18045</v>
      </c>
      <c r="B535" t="s">
        <v>28</v>
      </c>
      <c r="C535">
        <v>5</v>
      </c>
      <c r="D535" s="3">
        <f>in_parking_demand_data_ver1!D535*calibration!$I$31</f>
        <v>0</v>
      </c>
      <c r="E535" s="3">
        <f>in_parking_demand_data_ver1!E535*calibration!$I$31</f>
        <v>3.8588348156541663</v>
      </c>
      <c r="F535" s="3">
        <f t="shared" si="8"/>
        <v>3.8588348156541663</v>
      </c>
      <c r="G535">
        <v>0</v>
      </c>
    </row>
    <row r="536" spans="1:7" x14ac:dyDescent="0.25">
      <c r="A536">
        <v>18045</v>
      </c>
      <c r="B536" t="s">
        <v>28</v>
      </c>
      <c r="C536">
        <v>6</v>
      </c>
      <c r="D536" s="3">
        <f>in_parking_demand_data_ver1!D536*calibration!$I$31</f>
        <v>0</v>
      </c>
      <c r="E536" s="3">
        <f>in_parking_demand_data_ver1!E536*calibration!$I$31</f>
        <v>4.7943099224794192</v>
      </c>
      <c r="F536" s="3">
        <f t="shared" si="8"/>
        <v>4.7943099224794192</v>
      </c>
      <c r="G536">
        <v>0</v>
      </c>
    </row>
    <row r="537" spans="1:7" x14ac:dyDescent="0.25">
      <c r="A537">
        <v>18045</v>
      </c>
      <c r="B537" t="s">
        <v>28</v>
      </c>
      <c r="C537">
        <v>7</v>
      </c>
      <c r="D537" s="3">
        <f>in_parking_demand_data_ver1!D537*calibration!$I$31</f>
        <v>0</v>
      </c>
      <c r="E537" s="3">
        <f>in_parking_demand_data_ver1!E537*calibration!$I$31</f>
        <v>6.372924165247035</v>
      </c>
      <c r="F537" s="3">
        <f t="shared" si="8"/>
        <v>6.372924165247035</v>
      </c>
      <c r="G537">
        <v>0</v>
      </c>
    </row>
    <row r="538" spans="1:7" x14ac:dyDescent="0.25">
      <c r="A538">
        <v>18045</v>
      </c>
      <c r="B538" t="s">
        <v>28</v>
      </c>
      <c r="C538">
        <v>8</v>
      </c>
      <c r="D538" s="3">
        <f>in_parking_demand_data_ver1!D538*calibration!$I$31</f>
        <v>0</v>
      </c>
      <c r="E538" s="3">
        <f>in_parking_demand_data_ver1!E538*calibration!$I$31</f>
        <v>6.0221210001875631</v>
      </c>
      <c r="F538" s="3">
        <f t="shared" si="8"/>
        <v>6.0221210001875631</v>
      </c>
      <c r="G538">
        <v>0</v>
      </c>
    </row>
    <row r="539" spans="1:7" x14ac:dyDescent="0.25">
      <c r="A539">
        <v>18045</v>
      </c>
      <c r="B539" t="s">
        <v>28</v>
      </c>
      <c r="C539">
        <v>9</v>
      </c>
      <c r="D539" s="3">
        <f>in_parking_demand_data_ver1!D539*calibration!$I$31</f>
        <v>0</v>
      </c>
      <c r="E539" s="3">
        <f>in_parking_demand_data_ver1!E539*calibration!$I$31</f>
        <v>7.4253336604254425</v>
      </c>
      <c r="F539" s="3">
        <f t="shared" si="8"/>
        <v>7.4253336604254425</v>
      </c>
      <c r="G539">
        <v>0</v>
      </c>
    </row>
    <row r="540" spans="1:7" x14ac:dyDescent="0.25">
      <c r="A540">
        <v>18045</v>
      </c>
      <c r="B540" t="s">
        <v>28</v>
      </c>
      <c r="C540">
        <v>10</v>
      </c>
      <c r="D540" s="3">
        <f>in_parking_demand_data_ver1!D540*calibration!$I$31</f>
        <v>0</v>
      </c>
      <c r="E540" s="3">
        <f>in_parking_demand_data_ver1!E540*calibration!$I$31</f>
        <v>4.0927035923604755</v>
      </c>
      <c r="F540" s="3">
        <f t="shared" si="8"/>
        <v>4.0927035923604755</v>
      </c>
      <c r="G540">
        <v>0</v>
      </c>
    </row>
    <row r="541" spans="1:7" x14ac:dyDescent="0.25">
      <c r="A541">
        <v>18045</v>
      </c>
      <c r="B541" t="s">
        <v>28</v>
      </c>
      <c r="C541">
        <v>11</v>
      </c>
      <c r="D541" s="3">
        <f>in_parking_demand_data_ver1!D541*calibration!$I$31</f>
        <v>0</v>
      </c>
      <c r="E541" s="3">
        <f>in_parking_demand_data_ver1!E541*calibration!$I$31</f>
        <v>4.5019739515965291</v>
      </c>
      <c r="F541" s="3">
        <f t="shared" si="8"/>
        <v>4.5019739515965291</v>
      </c>
      <c r="G541">
        <v>0</v>
      </c>
    </row>
    <row r="542" spans="1:7" x14ac:dyDescent="0.25">
      <c r="A542">
        <v>18045</v>
      </c>
      <c r="B542" t="s">
        <v>28</v>
      </c>
      <c r="C542">
        <v>12</v>
      </c>
      <c r="D542" s="3">
        <f>in_parking_demand_data_ver1!D542*calibration!$I$31</f>
        <v>0</v>
      </c>
      <c r="E542" s="3">
        <f>in_parking_demand_data_ver1!E542*calibration!$I$31</f>
        <v>5.1451130875388911</v>
      </c>
      <c r="F542" s="3">
        <f t="shared" si="8"/>
        <v>5.1451130875388911</v>
      </c>
      <c r="G542">
        <v>0</v>
      </c>
    </row>
    <row r="543" spans="1:7" x14ac:dyDescent="0.25">
      <c r="A543">
        <v>18045</v>
      </c>
      <c r="B543" t="s">
        <v>28</v>
      </c>
      <c r="C543">
        <v>13</v>
      </c>
      <c r="D543" s="3">
        <f>in_parking_demand_data_ver1!D543*calibration!$I$31</f>
        <v>0</v>
      </c>
      <c r="E543" s="3">
        <f>in_parking_demand_data_ver1!E543*calibration!$I$31</f>
        <v>4.5019739515965291</v>
      </c>
      <c r="F543" s="3">
        <f t="shared" si="8"/>
        <v>4.5019739515965291</v>
      </c>
      <c r="G543">
        <v>0</v>
      </c>
    </row>
    <row r="544" spans="1:7" x14ac:dyDescent="0.25">
      <c r="A544">
        <v>18045</v>
      </c>
      <c r="B544" t="s">
        <v>28</v>
      </c>
      <c r="C544">
        <v>14</v>
      </c>
      <c r="D544" s="3">
        <f>in_parking_demand_data_ver1!D544*calibration!$I$31</f>
        <v>0</v>
      </c>
      <c r="E544" s="3">
        <f>in_parking_demand_data_ver1!E544*calibration!$I$31</f>
        <v>3.2156956797118039</v>
      </c>
      <c r="F544" s="3">
        <f t="shared" si="8"/>
        <v>3.2156956797118039</v>
      </c>
      <c r="G544">
        <v>0</v>
      </c>
    </row>
    <row r="545" spans="1:7" x14ac:dyDescent="0.25">
      <c r="A545">
        <v>18045</v>
      </c>
      <c r="B545" t="s">
        <v>28</v>
      </c>
      <c r="C545">
        <v>15</v>
      </c>
      <c r="D545" s="3">
        <f>in_parking_demand_data_ver1!D545*calibration!$I$31</f>
        <v>0</v>
      </c>
      <c r="E545" s="3">
        <f>in_parking_demand_data_ver1!E545*calibration!$I$31</f>
        <v>1.520147048591034</v>
      </c>
      <c r="F545" s="3">
        <f t="shared" si="8"/>
        <v>1.520147048591034</v>
      </c>
      <c r="G545">
        <v>0</v>
      </c>
    </row>
    <row r="546" spans="1:7" x14ac:dyDescent="0.25">
      <c r="A546">
        <v>18045</v>
      </c>
      <c r="B546" t="s">
        <v>28</v>
      </c>
      <c r="C546">
        <v>16</v>
      </c>
      <c r="D546" s="3">
        <f>in_parking_demand_data_ver1!D546*calibration!$I$31</f>
        <v>0</v>
      </c>
      <c r="E546" s="3">
        <f>in_parking_demand_data_ver1!E546*calibration!$I$31</f>
        <v>0.93547510682525303</v>
      </c>
      <c r="F546" s="3">
        <f t="shared" si="8"/>
        <v>0.93547510682525303</v>
      </c>
      <c r="G546">
        <v>0</v>
      </c>
    </row>
    <row r="547" spans="1:7" x14ac:dyDescent="0.25">
      <c r="A547">
        <v>18045</v>
      </c>
      <c r="B547" t="s">
        <v>28</v>
      </c>
      <c r="C547">
        <v>17</v>
      </c>
      <c r="D547" s="3">
        <f>in_parking_demand_data_ver1!D547*calibration!$I$31</f>
        <v>0</v>
      </c>
      <c r="E547" s="3">
        <f>in_parking_demand_data_ver1!E547*calibration!$I$31</f>
        <v>0.3508031650594694</v>
      </c>
      <c r="F547" s="3">
        <f t="shared" si="8"/>
        <v>0.3508031650594694</v>
      </c>
      <c r="G547">
        <v>0</v>
      </c>
    </row>
    <row r="548" spans="1:7" x14ac:dyDescent="0.25">
      <c r="A548">
        <v>18045</v>
      </c>
      <c r="B548" t="s">
        <v>28</v>
      </c>
      <c r="C548">
        <v>18</v>
      </c>
      <c r="D548" s="3">
        <f>in_parking_demand_data_ver1!D548*calibration!$I$31</f>
        <v>0</v>
      </c>
      <c r="E548" s="3">
        <f>in_parking_demand_data_ver1!E548*calibration!$I$31</f>
        <v>0.1169343883531562</v>
      </c>
      <c r="F548" s="3">
        <f t="shared" si="8"/>
        <v>0.1169343883531562</v>
      </c>
      <c r="G548">
        <v>0</v>
      </c>
    </row>
    <row r="549" spans="1:7" x14ac:dyDescent="0.25">
      <c r="A549">
        <v>18045</v>
      </c>
      <c r="B549" t="s">
        <v>28</v>
      </c>
      <c r="C549">
        <v>19</v>
      </c>
      <c r="D549" s="3">
        <f>in_parking_demand_data_ver1!D549*calibration!$I$31</f>
        <v>0</v>
      </c>
      <c r="E549" s="3">
        <f>in_parking_demand_data_ver1!E549*calibration!$I$31</f>
        <v>0.58467194176578274</v>
      </c>
      <c r="F549" s="3">
        <f t="shared" si="8"/>
        <v>0.58467194176578274</v>
      </c>
      <c r="G549">
        <v>0</v>
      </c>
    </row>
    <row r="550" spans="1:7" x14ac:dyDescent="0.25">
      <c r="A550">
        <v>18045</v>
      </c>
      <c r="B550" t="s">
        <v>28</v>
      </c>
      <c r="C550">
        <v>20</v>
      </c>
      <c r="D550" s="3">
        <f>in_parking_demand_data_ver1!D550*calibration!$I$31</f>
        <v>0</v>
      </c>
      <c r="E550" s="3">
        <f>in_parking_demand_data_ver1!E550*calibration!$I$31</f>
        <v>0.76007352429551778</v>
      </c>
      <c r="F550" s="3">
        <f t="shared" si="8"/>
        <v>0.76007352429551778</v>
      </c>
      <c r="G550">
        <v>0</v>
      </c>
    </row>
    <row r="551" spans="1:7" x14ac:dyDescent="0.25">
      <c r="A551">
        <v>18045</v>
      </c>
      <c r="B551" t="s">
        <v>28</v>
      </c>
      <c r="C551">
        <v>21</v>
      </c>
      <c r="D551" s="3">
        <f>in_parking_demand_data_ver1!D551*calibration!$I$31</f>
        <v>0</v>
      </c>
      <c r="E551" s="3">
        <f>in_parking_demand_data_ver1!E551*calibration!$I$31</f>
        <v>0.76007352429551778</v>
      </c>
      <c r="F551" s="3">
        <f t="shared" si="8"/>
        <v>0.76007352429551778</v>
      </c>
      <c r="G551">
        <v>0</v>
      </c>
    </row>
    <row r="552" spans="1:7" x14ac:dyDescent="0.25">
      <c r="A552">
        <v>18045</v>
      </c>
      <c r="B552" t="s">
        <v>28</v>
      </c>
      <c r="C552">
        <v>22</v>
      </c>
      <c r="D552" s="3">
        <f>in_parking_demand_data_ver1!D552*calibration!$I$31</f>
        <v>0</v>
      </c>
      <c r="E552" s="3">
        <f>in_parking_demand_data_ver1!E552*calibration!$I$31</f>
        <v>0.81854071847209597</v>
      </c>
      <c r="F552" s="3">
        <f t="shared" si="8"/>
        <v>0.81854071847209597</v>
      </c>
      <c r="G552">
        <v>0</v>
      </c>
    </row>
    <row r="553" spans="1:7" x14ac:dyDescent="0.25">
      <c r="A553">
        <v>18045</v>
      </c>
      <c r="B553" t="s">
        <v>28</v>
      </c>
      <c r="C553">
        <v>23</v>
      </c>
      <c r="D553" s="3">
        <f>in_parking_demand_data_ver1!D553*calibration!$I$31</f>
        <v>0</v>
      </c>
      <c r="E553" s="3">
        <f>in_parking_demand_data_ver1!E553*calibration!$I$31</f>
        <v>2.2217533787099697</v>
      </c>
      <c r="F553" s="3">
        <f t="shared" si="8"/>
        <v>2.2217533787099697</v>
      </c>
      <c r="G553">
        <v>0</v>
      </c>
    </row>
    <row r="554" spans="1:7" x14ac:dyDescent="0.25">
      <c r="A554">
        <v>18047</v>
      </c>
      <c r="B554" t="s">
        <v>29</v>
      </c>
      <c r="C554">
        <v>0</v>
      </c>
      <c r="D554" s="3">
        <f>in_parking_demand_data_ver1!D554*calibration!$I$31</f>
        <v>0.67546722463524222</v>
      </c>
      <c r="E554" s="3">
        <f>in_parking_demand_data_ver1!E554*calibration!$I$31</f>
        <v>0.11257787077253995</v>
      </c>
      <c r="F554" s="3">
        <f t="shared" si="8"/>
        <v>0.78804509540778223</v>
      </c>
      <c r="G554">
        <v>15</v>
      </c>
    </row>
    <row r="555" spans="1:7" x14ac:dyDescent="0.25">
      <c r="A555">
        <v>18047</v>
      </c>
      <c r="B555" t="s">
        <v>29</v>
      </c>
      <c r="C555">
        <v>1</v>
      </c>
      <c r="D555" s="3">
        <f>in_parking_demand_data_ver1!D555*calibration!$I$31</f>
        <v>0.67546722463524222</v>
      </c>
      <c r="E555" s="3">
        <f>in_parking_demand_data_ver1!E555*calibration!$I$31</f>
        <v>5.6288935386270229E-2</v>
      </c>
      <c r="F555" s="3">
        <f t="shared" si="8"/>
        <v>0.73175616002151245</v>
      </c>
      <c r="G555">
        <v>15</v>
      </c>
    </row>
    <row r="556" spans="1:7" x14ac:dyDescent="0.25">
      <c r="A556">
        <v>18047</v>
      </c>
      <c r="B556" t="s">
        <v>29</v>
      </c>
      <c r="C556">
        <v>2</v>
      </c>
      <c r="D556" s="3">
        <f>in_parking_demand_data_ver1!D556*calibration!$I$31</f>
        <v>0.67546722463524222</v>
      </c>
      <c r="E556" s="3">
        <f>in_parking_demand_data_ver1!E556*calibration!$I$31</f>
        <v>0</v>
      </c>
      <c r="F556" s="3">
        <f t="shared" si="8"/>
        <v>0.67546722463524222</v>
      </c>
      <c r="G556">
        <v>15</v>
      </c>
    </row>
    <row r="557" spans="1:7" x14ac:dyDescent="0.25">
      <c r="A557">
        <v>18047</v>
      </c>
      <c r="B557" t="s">
        <v>29</v>
      </c>
      <c r="C557">
        <v>3</v>
      </c>
      <c r="D557" s="3">
        <f>in_parking_demand_data_ver1!D557*calibration!$I$31</f>
        <v>0.67546722463524222</v>
      </c>
      <c r="E557" s="3">
        <f>in_parking_demand_data_ver1!E557*calibration!$I$31</f>
        <v>0</v>
      </c>
      <c r="F557" s="3">
        <f t="shared" si="8"/>
        <v>0.67546722463524222</v>
      </c>
      <c r="G557">
        <v>15</v>
      </c>
    </row>
    <row r="558" spans="1:7" x14ac:dyDescent="0.25">
      <c r="A558">
        <v>18047</v>
      </c>
      <c r="B558" t="s">
        <v>29</v>
      </c>
      <c r="C558">
        <v>4</v>
      </c>
      <c r="D558" s="3">
        <f>in_parking_demand_data_ver1!D558*calibration!$I$31</f>
        <v>0.67546722463524222</v>
      </c>
      <c r="E558" s="3">
        <f>in_parking_demand_data_ver1!E558*calibration!$I$31</f>
        <v>0.16886680615881033</v>
      </c>
      <c r="F558" s="3">
        <f t="shared" si="8"/>
        <v>0.84433403079405256</v>
      </c>
      <c r="G558">
        <v>15</v>
      </c>
    </row>
    <row r="559" spans="1:7" x14ac:dyDescent="0.25">
      <c r="A559">
        <v>18047</v>
      </c>
      <c r="B559" t="s">
        <v>29</v>
      </c>
      <c r="C559">
        <v>5</v>
      </c>
      <c r="D559" s="3">
        <f>in_parking_demand_data_ver1!D559*calibration!$I$31</f>
        <v>0.61917828924897267</v>
      </c>
      <c r="E559" s="3">
        <f>in_parking_demand_data_ver1!E559*calibration!$I$31</f>
        <v>0.16886680615881033</v>
      </c>
      <c r="F559" s="3">
        <f t="shared" si="8"/>
        <v>0.788045095407783</v>
      </c>
      <c r="G559">
        <v>15</v>
      </c>
    </row>
    <row r="560" spans="1:7" x14ac:dyDescent="0.25">
      <c r="A560">
        <v>18047</v>
      </c>
      <c r="B560" t="s">
        <v>29</v>
      </c>
      <c r="C560">
        <v>6</v>
      </c>
      <c r="D560" s="3">
        <f>in_parking_demand_data_ver1!D560*calibration!$I$31</f>
        <v>0.61917828924897267</v>
      </c>
      <c r="E560" s="3">
        <f>in_parking_demand_data_ver1!E560*calibration!$I$31</f>
        <v>0.14072233846567517</v>
      </c>
      <c r="F560" s="3">
        <f t="shared" si="8"/>
        <v>0.75990062771464784</v>
      </c>
      <c r="G560">
        <v>15</v>
      </c>
    </row>
    <row r="561" spans="1:7" x14ac:dyDescent="0.25">
      <c r="A561">
        <v>18047</v>
      </c>
      <c r="B561" t="s">
        <v>29</v>
      </c>
      <c r="C561">
        <v>7</v>
      </c>
      <c r="D561" s="3">
        <f>in_parking_demand_data_ver1!D561*calibration!$I$31</f>
        <v>0.73175616002151267</v>
      </c>
      <c r="E561" s="3">
        <f>in_parking_demand_data_ver1!E561*calibration!$I$31</f>
        <v>0.22515574154508075</v>
      </c>
      <c r="F561" s="3">
        <f t="shared" si="8"/>
        <v>0.95691190156659345</v>
      </c>
      <c r="G561">
        <v>15</v>
      </c>
    </row>
    <row r="562" spans="1:7" x14ac:dyDescent="0.25">
      <c r="A562">
        <v>18047</v>
      </c>
      <c r="B562" t="s">
        <v>29</v>
      </c>
      <c r="C562">
        <v>8</v>
      </c>
      <c r="D562" s="3">
        <f>in_parking_demand_data_ver1!D562*calibration!$I$31</f>
        <v>1.0976342400322661</v>
      </c>
      <c r="E562" s="3">
        <f>in_parking_demand_data_ver1!E562*calibration!$I$31</f>
        <v>0.30958914462448633</v>
      </c>
      <c r="F562" s="3">
        <f t="shared" si="8"/>
        <v>1.4072233846567523</v>
      </c>
      <c r="G562">
        <v>15</v>
      </c>
    </row>
    <row r="563" spans="1:7" x14ac:dyDescent="0.25">
      <c r="A563">
        <v>18047</v>
      </c>
      <c r="B563" t="s">
        <v>29</v>
      </c>
      <c r="C563">
        <v>9</v>
      </c>
      <c r="D563" s="3">
        <f>in_parking_demand_data_ver1!D563*calibration!$I$31</f>
        <v>0.9287674338734565</v>
      </c>
      <c r="E563" s="3">
        <f>in_parking_demand_data_ver1!E563*calibration!$I$31</f>
        <v>0.78804509540778311</v>
      </c>
      <c r="F563" s="3">
        <f t="shared" si="8"/>
        <v>1.7168125292812397</v>
      </c>
      <c r="G563">
        <v>15</v>
      </c>
    </row>
    <row r="564" spans="1:7" x14ac:dyDescent="0.25">
      <c r="A564">
        <v>18047</v>
      </c>
      <c r="B564" t="s">
        <v>29</v>
      </c>
      <c r="C564">
        <v>10</v>
      </c>
      <c r="D564" s="3">
        <f>in_parking_demand_data_ver1!D564*calibration!$I$31</f>
        <v>1.0132008369528569</v>
      </c>
      <c r="E564" s="3">
        <f>in_parking_demand_data_ver1!E564*calibration!$I$31</f>
        <v>1.8856793354400463</v>
      </c>
      <c r="F564" s="3">
        <f t="shared" si="8"/>
        <v>2.8988801723929032</v>
      </c>
      <c r="G564">
        <v>15</v>
      </c>
    </row>
    <row r="565" spans="1:7" x14ac:dyDescent="0.25">
      <c r="A565">
        <v>18047</v>
      </c>
      <c r="B565" t="s">
        <v>29</v>
      </c>
      <c r="C565">
        <v>11</v>
      </c>
      <c r="D565" s="3">
        <f>in_parking_demand_data_ver1!D565*calibration!$I$31</f>
        <v>1.4916567877361604</v>
      </c>
      <c r="E565" s="3">
        <f>in_parking_demand_data_ver1!E565*calibration!$I$31</f>
        <v>3.1521803816311302</v>
      </c>
      <c r="F565" s="3">
        <f t="shared" si="8"/>
        <v>4.6438371693672904</v>
      </c>
      <c r="G565">
        <v>15</v>
      </c>
    </row>
    <row r="566" spans="1:7" x14ac:dyDescent="0.25">
      <c r="A566">
        <v>18047</v>
      </c>
      <c r="B566" t="s">
        <v>29</v>
      </c>
      <c r="C566">
        <v>12</v>
      </c>
      <c r="D566" s="3">
        <f>in_parking_demand_data_ver1!D566*calibration!$I$31</f>
        <v>1.0694897723391326</v>
      </c>
      <c r="E566" s="3">
        <f>in_parking_demand_data_ver1!E566*calibration!$I$31</f>
        <v>2.2234129477576743</v>
      </c>
      <c r="F566" s="3">
        <f t="shared" si="8"/>
        <v>3.2929027200968068</v>
      </c>
      <c r="G566">
        <v>15</v>
      </c>
    </row>
    <row r="567" spans="1:7" x14ac:dyDescent="0.25">
      <c r="A567">
        <v>18047</v>
      </c>
      <c r="B567" t="s">
        <v>29</v>
      </c>
      <c r="C567">
        <v>13</v>
      </c>
      <c r="D567" s="3">
        <f>in_parking_demand_data_ver1!D567*calibration!$I$31</f>
        <v>0.39402254770389111</v>
      </c>
      <c r="E567" s="3">
        <f>in_parking_demand_data_ver1!E567*calibration!$I$31</f>
        <v>0.25330020923821595</v>
      </c>
      <c r="F567" s="3">
        <f t="shared" si="8"/>
        <v>0.64732275694210706</v>
      </c>
      <c r="G567">
        <v>15</v>
      </c>
    </row>
    <row r="568" spans="1:7" x14ac:dyDescent="0.25">
      <c r="A568">
        <v>18047</v>
      </c>
      <c r="B568" t="s">
        <v>29</v>
      </c>
      <c r="C568">
        <v>14</v>
      </c>
      <c r="D568" s="3">
        <f>in_parking_demand_data_ver1!D568*calibration!$I$31</f>
        <v>0.25330020923821595</v>
      </c>
      <c r="E568" s="3">
        <f>in_parking_demand_data_ver1!E568*calibration!$I$31</f>
        <v>0</v>
      </c>
      <c r="F568" s="3">
        <f t="shared" si="8"/>
        <v>0.25330020923821595</v>
      </c>
      <c r="G568">
        <v>15</v>
      </c>
    </row>
    <row r="569" spans="1:7" x14ac:dyDescent="0.25">
      <c r="A569">
        <v>18047</v>
      </c>
      <c r="B569" t="s">
        <v>29</v>
      </c>
      <c r="C569">
        <v>15</v>
      </c>
      <c r="D569" s="3">
        <f>in_parking_demand_data_ver1!D569*calibration!$I$31</f>
        <v>0.25330020923821595</v>
      </c>
      <c r="E569" s="3">
        <f>in_parking_demand_data_ver1!E569*calibration!$I$31</f>
        <v>5.6288935386270229E-2</v>
      </c>
      <c r="F569" s="3">
        <f t="shared" si="8"/>
        <v>0.30958914462448617</v>
      </c>
      <c r="G569">
        <v>15</v>
      </c>
    </row>
    <row r="570" spans="1:7" x14ac:dyDescent="0.25">
      <c r="A570">
        <v>18047</v>
      </c>
      <c r="B570" t="s">
        <v>29</v>
      </c>
      <c r="C570">
        <v>16</v>
      </c>
      <c r="D570" s="3">
        <f>in_parking_demand_data_ver1!D570*calibration!$I$31</f>
        <v>0.22515574154508075</v>
      </c>
      <c r="E570" s="3">
        <f>in_parking_demand_data_ver1!E570*calibration!$I$31</f>
        <v>5.6288935386270229E-2</v>
      </c>
      <c r="F570" s="3">
        <f t="shared" si="8"/>
        <v>0.281444676931351</v>
      </c>
      <c r="G570">
        <v>15</v>
      </c>
    </row>
    <row r="571" spans="1:7" x14ac:dyDescent="0.25">
      <c r="A571">
        <v>18047</v>
      </c>
      <c r="B571" t="s">
        <v>29</v>
      </c>
      <c r="C571">
        <v>17</v>
      </c>
      <c r="D571" s="3">
        <f>in_parking_demand_data_ver1!D571*calibration!$I$31</f>
        <v>0.22515574154508075</v>
      </c>
      <c r="E571" s="3">
        <f>in_parking_demand_data_ver1!E571*calibration!$I$31</f>
        <v>0</v>
      </c>
      <c r="F571" s="3">
        <f t="shared" si="8"/>
        <v>0.22515574154508075</v>
      </c>
      <c r="G571">
        <v>15</v>
      </c>
    </row>
    <row r="572" spans="1:7" x14ac:dyDescent="0.25">
      <c r="A572">
        <v>18047</v>
      </c>
      <c r="B572" t="s">
        <v>29</v>
      </c>
      <c r="C572">
        <v>18</v>
      </c>
      <c r="D572" s="3">
        <f>in_parking_demand_data_ver1!D572*calibration!$I$31</f>
        <v>0.30958914462448633</v>
      </c>
      <c r="E572" s="3">
        <f>in_parking_demand_data_ver1!E572*calibration!$I$31</f>
        <v>0</v>
      </c>
      <c r="F572" s="3">
        <f t="shared" si="8"/>
        <v>0.30958914462448633</v>
      </c>
      <c r="G572">
        <v>15</v>
      </c>
    </row>
    <row r="573" spans="1:7" x14ac:dyDescent="0.25">
      <c r="A573">
        <v>18047</v>
      </c>
      <c r="B573" t="s">
        <v>29</v>
      </c>
      <c r="C573">
        <v>19</v>
      </c>
      <c r="D573" s="3">
        <f>in_parking_demand_data_ver1!D573*calibration!$I$31</f>
        <v>0.42216701539702628</v>
      </c>
      <c r="E573" s="3">
        <f>in_parking_demand_data_ver1!E573*calibration!$I$31</f>
        <v>0</v>
      </c>
      <c r="F573" s="3">
        <f t="shared" si="8"/>
        <v>0.42216701539702628</v>
      </c>
      <c r="G573">
        <v>15</v>
      </c>
    </row>
    <row r="574" spans="1:7" x14ac:dyDescent="0.25">
      <c r="A574">
        <v>18047</v>
      </c>
      <c r="B574" t="s">
        <v>29</v>
      </c>
      <c r="C574">
        <v>20</v>
      </c>
      <c r="D574" s="3">
        <f>in_parking_demand_data_ver1!D574*calibration!$I$31</f>
        <v>0.53474488616956706</v>
      </c>
      <c r="E574" s="3">
        <f>in_parking_demand_data_ver1!E574*calibration!$I$31</f>
        <v>0</v>
      </c>
      <c r="F574" s="3">
        <f t="shared" si="8"/>
        <v>0.53474488616956706</v>
      </c>
      <c r="G574">
        <v>15</v>
      </c>
    </row>
    <row r="575" spans="1:7" x14ac:dyDescent="0.25">
      <c r="A575">
        <v>18047</v>
      </c>
      <c r="B575" t="s">
        <v>29</v>
      </c>
      <c r="C575">
        <v>21</v>
      </c>
      <c r="D575" s="3">
        <f>in_parking_demand_data_ver1!D575*calibration!$I$31</f>
        <v>0.56288935386270234</v>
      </c>
      <c r="E575" s="3">
        <f>in_parking_demand_data_ver1!E575*calibration!$I$31</f>
        <v>0</v>
      </c>
      <c r="F575" s="3">
        <f t="shared" si="8"/>
        <v>0.56288935386270234</v>
      </c>
      <c r="G575">
        <v>15</v>
      </c>
    </row>
    <row r="576" spans="1:7" x14ac:dyDescent="0.25">
      <c r="A576">
        <v>18047</v>
      </c>
      <c r="B576" t="s">
        <v>29</v>
      </c>
      <c r="C576">
        <v>22</v>
      </c>
      <c r="D576" s="3">
        <f>in_parking_demand_data_ver1!D576*calibration!$I$31</f>
        <v>0.64732275694210784</v>
      </c>
      <c r="E576" s="3">
        <f>in_parking_demand_data_ver1!E576*calibration!$I$31</f>
        <v>0</v>
      </c>
      <c r="F576" s="3">
        <f t="shared" si="8"/>
        <v>0.64732275694210784</v>
      </c>
      <c r="G576">
        <v>15</v>
      </c>
    </row>
    <row r="577" spans="1:7" x14ac:dyDescent="0.25">
      <c r="A577">
        <v>18047</v>
      </c>
      <c r="B577" t="s">
        <v>29</v>
      </c>
      <c r="C577">
        <v>23</v>
      </c>
      <c r="D577" s="3">
        <f>in_parking_demand_data_ver1!D577*calibration!$I$31</f>
        <v>0.67546722463524222</v>
      </c>
      <c r="E577" s="3">
        <f>in_parking_demand_data_ver1!E577*calibration!$I$31</f>
        <v>5.6288935386270229E-2</v>
      </c>
      <c r="F577" s="3">
        <f t="shared" si="8"/>
        <v>0.73175616002151245</v>
      </c>
      <c r="G577">
        <v>15</v>
      </c>
    </row>
    <row r="578" spans="1:7" x14ac:dyDescent="0.25">
      <c r="A578">
        <v>18049</v>
      </c>
      <c r="B578" t="s">
        <v>30</v>
      </c>
      <c r="C578">
        <v>0</v>
      </c>
      <c r="D578" s="3">
        <f>in_parking_demand_data_ver1!D578*calibration!$I$31</f>
        <v>12.713204525934614</v>
      </c>
      <c r="E578" s="3">
        <f>in_parking_demand_data_ver1!E578*calibration!$I$31</f>
        <v>0.61317706716726783</v>
      </c>
      <c r="F578" s="3">
        <f t="shared" si="8"/>
        <v>13.326381593101882</v>
      </c>
      <c r="G578">
        <v>50</v>
      </c>
    </row>
    <row r="579" spans="1:7" x14ac:dyDescent="0.25">
      <c r="A579">
        <v>18049</v>
      </c>
      <c r="B579" t="s">
        <v>30</v>
      </c>
      <c r="C579">
        <v>1</v>
      </c>
      <c r="D579" s="3">
        <f>in_parking_demand_data_ver1!D579*calibration!$I$31</f>
        <v>13.081110766234975</v>
      </c>
      <c r="E579" s="3">
        <f>in_parking_demand_data_ver1!E579*calibration!$I$31</f>
        <v>0.85844789403417043</v>
      </c>
      <c r="F579" s="3">
        <f t="shared" ref="F579:F642" si="9">SUM(D579:E579)</f>
        <v>13.939558660269146</v>
      </c>
      <c r="G579">
        <v>50</v>
      </c>
    </row>
    <row r="580" spans="1:7" x14ac:dyDescent="0.25">
      <c r="A580">
        <v>18049</v>
      </c>
      <c r="B580" t="s">
        <v>30</v>
      </c>
      <c r="C580">
        <v>2</v>
      </c>
      <c r="D580" s="3">
        <f>in_parking_demand_data_ver1!D580*calibration!$I$31</f>
        <v>13.081110766234975</v>
      </c>
      <c r="E580" s="3">
        <f>in_parking_demand_data_ver1!E580*calibration!$I$31</f>
        <v>0.85844789403417043</v>
      </c>
      <c r="F580" s="3">
        <f t="shared" si="9"/>
        <v>13.939558660269146</v>
      </c>
      <c r="G580">
        <v>50</v>
      </c>
    </row>
    <row r="581" spans="1:7" x14ac:dyDescent="0.25">
      <c r="A581">
        <v>18049</v>
      </c>
      <c r="B581" t="s">
        <v>30</v>
      </c>
      <c r="C581">
        <v>3</v>
      </c>
      <c r="D581" s="3">
        <f>in_parking_demand_data_ver1!D581*calibration!$I$31</f>
        <v>13.244624650812961</v>
      </c>
      <c r="E581" s="3">
        <f>in_parking_demand_data_ver1!E581*calibration!$I$31</f>
        <v>0.81756942288969037</v>
      </c>
      <c r="F581" s="3">
        <f t="shared" si="9"/>
        <v>14.062194073702651</v>
      </c>
      <c r="G581">
        <v>50</v>
      </c>
    </row>
    <row r="582" spans="1:7" x14ac:dyDescent="0.25">
      <c r="A582">
        <v>18049</v>
      </c>
      <c r="B582" t="s">
        <v>30</v>
      </c>
      <c r="C582">
        <v>4</v>
      </c>
      <c r="D582" s="3">
        <f>in_parking_demand_data_ver1!D582*calibration!$I$31</f>
        <v>12.794961468223649</v>
      </c>
      <c r="E582" s="3">
        <f>in_parking_demand_data_ver1!E582*calibration!$I$31</f>
        <v>0.28614929801139133</v>
      </c>
      <c r="F582" s="3">
        <f t="shared" si="9"/>
        <v>13.081110766235041</v>
      </c>
      <c r="G582">
        <v>50</v>
      </c>
    </row>
    <row r="583" spans="1:7" x14ac:dyDescent="0.25">
      <c r="A583">
        <v>18049</v>
      </c>
      <c r="B583" t="s">
        <v>30</v>
      </c>
      <c r="C583">
        <v>5</v>
      </c>
      <c r="D583" s="3">
        <f>in_parking_demand_data_ver1!D583*calibration!$I$31</f>
        <v>11.895635103044944</v>
      </c>
      <c r="E583" s="3">
        <f>in_parking_demand_data_ver1!E583*calibration!$I$31</f>
        <v>0.32702776915587561</v>
      </c>
      <c r="F583" s="3">
        <f t="shared" si="9"/>
        <v>12.22266287220082</v>
      </c>
      <c r="G583">
        <v>50</v>
      </c>
    </row>
    <row r="584" spans="1:7" x14ac:dyDescent="0.25">
      <c r="A584">
        <v>18049</v>
      </c>
      <c r="B584" t="s">
        <v>30</v>
      </c>
      <c r="C584">
        <v>6</v>
      </c>
      <c r="D584" s="3">
        <f>in_parking_demand_data_ver1!D584*calibration!$I$31</f>
        <v>10.342253199554554</v>
      </c>
      <c r="E584" s="3">
        <f>in_parking_demand_data_ver1!E584*calibration!$I$31</f>
        <v>0.36790624030036001</v>
      </c>
      <c r="F584" s="3">
        <f t="shared" si="9"/>
        <v>10.710159439854914</v>
      </c>
      <c r="G584">
        <v>50</v>
      </c>
    </row>
    <row r="585" spans="1:7" x14ac:dyDescent="0.25">
      <c r="A585">
        <v>18049</v>
      </c>
      <c r="B585" t="s">
        <v>30</v>
      </c>
      <c r="C585">
        <v>7</v>
      </c>
      <c r="D585" s="3">
        <f>in_parking_demand_data_ver1!D585*calibration!$I$31</f>
        <v>8.3392081134748377</v>
      </c>
      <c r="E585" s="3">
        <f>in_parking_demand_data_ver1!E585*calibration!$I$31</f>
        <v>8.1756942288969042E-2</v>
      </c>
      <c r="F585" s="3">
        <f t="shared" si="9"/>
        <v>8.4209650557638067</v>
      </c>
      <c r="G585">
        <v>50</v>
      </c>
    </row>
    <row r="586" spans="1:7" x14ac:dyDescent="0.25">
      <c r="A586">
        <v>18049</v>
      </c>
      <c r="B586" t="s">
        <v>30</v>
      </c>
      <c r="C586">
        <v>8</v>
      </c>
      <c r="D586" s="3">
        <f>in_parking_demand_data_ver1!D586*calibration!$I$31</f>
        <v>6.2952845562506115</v>
      </c>
      <c r="E586" s="3">
        <f>in_parking_demand_data_ver1!E586*calibration!$I$31</f>
        <v>1.0219617786121131</v>
      </c>
      <c r="F586" s="3">
        <f t="shared" si="9"/>
        <v>7.317246334862725</v>
      </c>
      <c r="G586">
        <v>50</v>
      </c>
    </row>
    <row r="587" spans="1:7" x14ac:dyDescent="0.25">
      <c r="A587">
        <v>18049</v>
      </c>
      <c r="B587" t="s">
        <v>30</v>
      </c>
      <c r="C587">
        <v>9</v>
      </c>
      <c r="D587" s="3">
        <f>in_parking_demand_data_ver1!D587*calibration!$I$31</f>
        <v>4.6601457104712294</v>
      </c>
      <c r="E587" s="3">
        <f>in_parking_demand_data_ver1!E587*calibration!$I$31</f>
        <v>1.7168957880683495</v>
      </c>
      <c r="F587" s="3">
        <f t="shared" si="9"/>
        <v>6.3770414985395787</v>
      </c>
      <c r="G587">
        <v>50</v>
      </c>
    </row>
    <row r="588" spans="1:7" x14ac:dyDescent="0.25">
      <c r="A588">
        <v>18049</v>
      </c>
      <c r="B588" t="s">
        <v>30</v>
      </c>
      <c r="C588">
        <v>10</v>
      </c>
      <c r="D588" s="3">
        <f>in_parking_demand_data_ver1!D588*calibration!$I$31</f>
        <v>3.3111561627032402</v>
      </c>
      <c r="E588" s="3">
        <f>in_parking_demand_data_ver1!E588*calibration!$I$31</f>
        <v>0.16351388457793739</v>
      </c>
      <c r="F588" s="3">
        <f t="shared" si="9"/>
        <v>3.4746700472811778</v>
      </c>
      <c r="G588">
        <v>50</v>
      </c>
    </row>
    <row r="589" spans="1:7" x14ac:dyDescent="0.25">
      <c r="A589">
        <v>18049</v>
      </c>
      <c r="B589" t="s">
        <v>30</v>
      </c>
      <c r="C589">
        <v>11</v>
      </c>
      <c r="D589" s="3">
        <f>in_parking_demand_data_ver1!D589*calibration!$I$31</f>
        <v>2.9841283935473633</v>
      </c>
      <c r="E589" s="3">
        <f>in_parking_demand_data_ver1!E589*calibration!$I$31</f>
        <v>0.98108330746762096</v>
      </c>
      <c r="F589" s="3">
        <f t="shared" si="9"/>
        <v>3.9652117010149843</v>
      </c>
      <c r="G589">
        <v>50</v>
      </c>
    </row>
    <row r="590" spans="1:7" x14ac:dyDescent="0.25">
      <c r="A590">
        <v>18049</v>
      </c>
      <c r="B590" t="s">
        <v>30</v>
      </c>
      <c r="C590">
        <v>12</v>
      </c>
      <c r="D590" s="3">
        <f>in_parking_demand_data_ver1!D590*calibration!$I$31</f>
        <v>2.6571006243914868</v>
      </c>
      <c r="E590" s="3">
        <f>in_parking_demand_data_ver1!E590*calibration!$I$31</f>
        <v>0.20439235572242259</v>
      </c>
      <c r="F590" s="3">
        <f t="shared" si="9"/>
        <v>2.8614929801139093</v>
      </c>
      <c r="G590">
        <v>50</v>
      </c>
    </row>
    <row r="591" spans="1:7" x14ac:dyDescent="0.25">
      <c r="A591">
        <v>18049</v>
      </c>
      <c r="B591" t="s">
        <v>30</v>
      </c>
      <c r="C591">
        <v>13</v>
      </c>
      <c r="D591" s="3">
        <f>in_parking_demand_data_ver1!D591*calibration!$I$31</f>
        <v>2.7388575666804624</v>
      </c>
      <c r="E591" s="3">
        <f>in_parking_demand_data_ver1!E591*calibration!$I$31</f>
        <v>1.0628402497565963</v>
      </c>
      <c r="F591" s="3">
        <f t="shared" si="9"/>
        <v>3.8016978164370587</v>
      </c>
      <c r="G591">
        <v>50</v>
      </c>
    </row>
    <row r="592" spans="1:7" x14ac:dyDescent="0.25">
      <c r="A592">
        <v>18049</v>
      </c>
      <c r="B592" t="s">
        <v>30</v>
      </c>
      <c r="C592">
        <v>14</v>
      </c>
      <c r="D592" s="3">
        <f>in_parking_demand_data_ver1!D592*calibration!$I$31</f>
        <v>2.9841283935473633</v>
      </c>
      <c r="E592" s="3">
        <f>in_parking_demand_data_ver1!E592*calibration!$I$31</f>
        <v>1.267232605479014</v>
      </c>
      <c r="F592" s="3">
        <f t="shared" si="9"/>
        <v>4.2513609990263772</v>
      </c>
      <c r="G592">
        <v>50</v>
      </c>
    </row>
    <row r="593" spans="1:7" x14ac:dyDescent="0.25">
      <c r="A593">
        <v>18049</v>
      </c>
      <c r="B593" t="s">
        <v>30</v>
      </c>
      <c r="C593">
        <v>15</v>
      </c>
      <c r="D593" s="3">
        <f>in_parking_demand_data_ver1!D593*calibration!$I$31</f>
        <v>3.5564269895701499</v>
      </c>
      <c r="E593" s="3">
        <f>in_parking_demand_data_ver1!E593*calibration!$I$31</f>
        <v>1.1854756631900469</v>
      </c>
      <c r="F593" s="3">
        <f t="shared" si="9"/>
        <v>4.7419026527601966</v>
      </c>
      <c r="G593">
        <v>50</v>
      </c>
    </row>
    <row r="594" spans="1:7" x14ac:dyDescent="0.25">
      <c r="A594">
        <v>18049</v>
      </c>
      <c r="B594" t="s">
        <v>30</v>
      </c>
      <c r="C594">
        <v>16</v>
      </c>
      <c r="D594" s="3">
        <f>in_parking_demand_data_ver1!D594*calibration!$I$31</f>
        <v>3.9652117010149928</v>
      </c>
      <c r="E594" s="3">
        <f>in_parking_demand_data_ver1!E594*calibration!$I$31</f>
        <v>0.77669095174520597</v>
      </c>
      <c r="F594" s="3">
        <f t="shared" si="9"/>
        <v>4.7419026527601984</v>
      </c>
      <c r="G594">
        <v>50</v>
      </c>
    </row>
    <row r="595" spans="1:7" x14ac:dyDescent="0.25">
      <c r="A595">
        <v>18049</v>
      </c>
      <c r="B595" t="s">
        <v>30</v>
      </c>
      <c r="C595">
        <v>17</v>
      </c>
      <c r="D595" s="3">
        <f>in_parking_demand_data_ver1!D595*calibration!$I$31</f>
        <v>5.0689304219160807</v>
      </c>
      <c r="E595" s="3">
        <f>in_parking_demand_data_ver1!E595*calibration!$I$31</f>
        <v>0.69493400945623651</v>
      </c>
      <c r="F595" s="3">
        <f t="shared" si="9"/>
        <v>5.7638644313723173</v>
      </c>
      <c r="G595">
        <v>50</v>
      </c>
    </row>
    <row r="596" spans="1:7" x14ac:dyDescent="0.25">
      <c r="A596">
        <v>18049</v>
      </c>
      <c r="B596" t="s">
        <v>30</v>
      </c>
      <c r="C596">
        <v>18</v>
      </c>
      <c r="D596" s="3">
        <f>in_parking_demand_data_ver1!D596*calibration!$I$31</f>
        <v>5.7638644313723173</v>
      </c>
      <c r="E596" s="3">
        <f>in_parking_demand_data_ver1!E596*calibration!$I$31</f>
        <v>0.61317706716726783</v>
      </c>
      <c r="F596" s="3">
        <f t="shared" si="9"/>
        <v>6.3770414985395849</v>
      </c>
      <c r="G596">
        <v>50</v>
      </c>
    </row>
    <row r="597" spans="1:7" x14ac:dyDescent="0.25">
      <c r="A597">
        <v>18049</v>
      </c>
      <c r="B597" t="s">
        <v>30</v>
      </c>
      <c r="C597">
        <v>19</v>
      </c>
      <c r="D597" s="3">
        <f>in_parking_demand_data_ver1!D597*calibration!$I$31</f>
        <v>6.8267046811289136</v>
      </c>
      <c r="E597" s="3">
        <f>in_parking_demand_data_ver1!E597*calibration!$I$31</f>
        <v>0.61317706716726783</v>
      </c>
      <c r="F597" s="3">
        <f t="shared" si="9"/>
        <v>7.4398817482961812</v>
      </c>
      <c r="G597">
        <v>50</v>
      </c>
    </row>
    <row r="598" spans="1:7" x14ac:dyDescent="0.25">
      <c r="A598">
        <v>18049</v>
      </c>
      <c r="B598" t="s">
        <v>30</v>
      </c>
      <c r="C598">
        <v>20</v>
      </c>
      <c r="D598" s="3">
        <f>in_parking_demand_data_ver1!D598*calibration!$I$31</f>
        <v>8.6253574114861795</v>
      </c>
      <c r="E598" s="3">
        <f>in_parking_demand_data_ver1!E598*calibration!$I$31</f>
        <v>0.61317706716726783</v>
      </c>
      <c r="F598" s="3">
        <f t="shared" si="9"/>
        <v>9.2385344786534471</v>
      </c>
      <c r="G598">
        <v>50</v>
      </c>
    </row>
    <row r="599" spans="1:7" x14ac:dyDescent="0.25">
      <c r="A599">
        <v>18049</v>
      </c>
      <c r="B599" t="s">
        <v>30</v>
      </c>
      <c r="C599">
        <v>21</v>
      </c>
      <c r="D599" s="3">
        <f>in_parking_demand_data_ver1!D599*calibration!$I$31</f>
        <v>9.8925900169652436</v>
      </c>
      <c r="E599" s="3">
        <f>in_parking_demand_data_ver1!E599*calibration!$I$31</f>
        <v>0.61317706716726783</v>
      </c>
      <c r="F599" s="3">
        <f t="shared" si="9"/>
        <v>10.505767084132511</v>
      </c>
      <c r="G599">
        <v>50</v>
      </c>
    </row>
    <row r="600" spans="1:7" x14ac:dyDescent="0.25">
      <c r="A600">
        <v>18049</v>
      </c>
      <c r="B600" t="s">
        <v>30</v>
      </c>
      <c r="C600">
        <v>22</v>
      </c>
      <c r="D600" s="3">
        <f>in_parking_demand_data_ver1!D600*calibration!$I$31</f>
        <v>10.996308737866325</v>
      </c>
      <c r="E600" s="3">
        <f>in_parking_demand_data_ver1!E600*calibration!$I$31</f>
        <v>0.61317706716726783</v>
      </c>
      <c r="F600" s="3">
        <f t="shared" si="9"/>
        <v>11.609485805033593</v>
      </c>
      <c r="G600">
        <v>50</v>
      </c>
    </row>
    <row r="601" spans="1:7" x14ac:dyDescent="0.25">
      <c r="A601">
        <v>18049</v>
      </c>
      <c r="B601" t="s">
        <v>30</v>
      </c>
      <c r="C601">
        <v>23</v>
      </c>
      <c r="D601" s="3">
        <f>in_parking_demand_data_ver1!D601*calibration!$I$31</f>
        <v>12.22266287220083</v>
      </c>
      <c r="E601" s="3">
        <f>in_parking_demand_data_ver1!E601*calibration!$I$31</f>
        <v>0.61317706716726783</v>
      </c>
      <c r="F601" s="3">
        <f t="shared" si="9"/>
        <v>12.835839939368098</v>
      </c>
      <c r="G601">
        <v>50</v>
      </c>
    </row>
    <row r="602" spans="1:7" x14ac:dyDescent="0.25">
      <c r="A602">
        <v>18051</v>
      </c>
      <c r="B602" t="s">
        <v>31</v>
      </c>
      <c r="C602">
        <v>0</v>
      </c>
      <c r="D602" s="3">
        <f>in_parking_demand_data_ver1!D602*calibration!$I$31</f>
        <v>255.02926626467871</v>
      </c>
      <c r="E602" s="3">
        <f>in_parking_demand_data_ver1!E602*calibration!$I$31</f>
        <v>2.8773516314179681</v>
      </c>
      <c r="F602" s="3">
        <f t="shared" si="9"/>
        <v>257.90661789609669</v>
      </c>
      <c r="G602">
        <v>380</v>
      </c>
    </row>
    <row r="603" spans="1:7" x14ac:dyDescent="0.25">
      <c r="A603">
        <v>18051</v>
      </c>
      <c r="B603" t="s">
        <v>31</v>
      </c>
      <c r="C603">
        <v>1</v>
      </c>
      <c r="D603" s="3">
        <f>in_parking_demand_data_ver1!D603*calibration!$I$31</f>
        <v>253.33482585951037</v>
      </c>
      <c r="E603" s="3">
        <f>in_parking_demand_data_ver1!E603*calibration!$I$31</f>
        <v>2.8773516314179681</v>
      </c>
      <c r="F603" s="3">
        <f t="shared" si="9"/>
        <v>256.21217749092835</v>
      </c>
      <c r="G603">
        <v>380</v>
      </c>
    </row>
    <row r="604" spans="1:7" x14ac:dyDescent="0.25">
      <c r="A604">
        <v>18051</v>
      </c>
      <c r="B604" t="s">
        <v>31</v>
      </c>
      <c r="C604">
        <v>2</v>
      </c>
      <c r="D604" s="3">
        <f>in_parking_demand_data_ver1!D604*calibration!$I$31</f>
        <v>250.00988619653884</v>
      </c>
      <c r="E604" s="3">
        <f>in_parking_demand_data_ver1!E604*calibration!$I$31</f>
        <v>2.7174987630058616</v>
      </c>
      <c r="F604" s="3">
        <f t="shared" si="9"/>
        <v>252.72738495954471</v>
      </c>
      <c r="G604">
        <v>380</v>
      </c>
    </row>
    <row r="605" spans="1:7" x14ac:dyDescent="0.25">
      <c r="A605">
        <v>18051</v>
      </c>
      <c r="B605" t="s">
        <v>31</v>
      </c>
      <c r="C605">
        <v>3</v>
      </c>
      <c r="D605" s="3">
        <f>in_parking_demand_data_ver1!D605*calibration!$I$31</f>
        <v>244.25518293370303</v>
      </c>
      <c r="E605" s="3">
        <f>in_parking_demand_data_ver1!E605*calibration!$I$31</f>
        <v>2.4617341735464859</v>
      </c>
      <c r="F605" s="3">
        <f t="shared" si="9"/>
        <v>246.71691710724951</v>
      </c>
      <c r="G605">
        <v>380</v>
      </c>
    </row>
    <row r="606" spans="1:7" x14ac:dyDescent="0.25">
      <c r="A606">
        <v>18051</v>
      </c>
      <c r="B606" t="s">
        <v>31</v>
      </c>
      <c r="C606">
        <v>4</v>
      </c>
      <c r="D606" s="3">
        <f>in_parking_demand_data_ver1!D606*calibration!$I$31</f>
        <v>233.03351157117291</v>
      </c>
      <c r="E606" s="3">
        <f>in_parking_demand_data_ver1!E606*calibration!$I$31</f>
        <v>2.3658224524992169</v>
      </c>
      <c r="F606" s="3">
        <f t="shared" si="9"/>
        <v>235.39933402367214</v>
      </c>
      <c r="G606">
        <v>380</v>
      </c>
    </row>
    <row r="607" spans="1:7" x14ac:dyDescent="0.25">
      <c r="A607">
        <v>18051</v>
      </c>
      <c r="B607" t="s">
        <v>31</v>
      </c>
      <c r="C607">
        <v>5</v>
      </c>
      <c r="D607" s="3">
        <f>in_parking_demand_data_ver1!D607*calibration!$I$31</f>
        <v>216.15304866685412</v>
      </c>
      <c r="E607" s="3">
        <f>in_parking_demand_data_ver1!E607*calibration!$I$31</f>
        <v>3.388880810336719</v>
      </c>
      <c r="F607" s="3">
        <f t="shared" si="9"/>
        <v>219.54192947719085</v>
      </c>
      <c r="G607">
        <v>380</v>
      </c>
    </row>
    <row r="608" spans="1:7" x14ac:dyDescent="0.25">
      <c r="A608">
        <v>18051</v>
      </c>
      <c r="B608" t="s">
        <v>31</v>
      </c>
      <c r="C608">
        <v>6</v>
      </c>
      <c r="D608" s="3">
        <f>in_parking_demand_data_ver1!D608*calibration!$I$31</f>
        <v>193.48591192601657</v>
      </c>
      <c r="E608" s="3">
        <f>in_parking_demand_data_ver1!E608*calibration!$I$31</f>
        <v>4.699674331316019</v>
      </c>
      <c r="F608" s="3">
        <f t="shared" si="9"/>
        <v>198.1855862573326</v>
      </c>
      <c r="G608">
        <v>380</v>
      </c>
    </row>
    <row r="609" spans="1:7" x14ac:dyDescent="0.25">
      <c r="A609">
        <v>18051</v>
      </c>
      <c r="B609" t="s">
        <v>31</v>
      </c>
      <c r="C609">
        <v>7</v>
      </c>
      <c r="D609" s="3">
        <f>in_parking_demand_data_ver1!D609*calibration!$I$31</f>
        <v>160.26848586998059</v>
      </c>
      <c r="E609" s="3">
        <f>in_parking_demand_data_ver1!E609*calibration!$I$31</f>
        <v>4.2840568734445288</v>
      </c>
      <c r="F609" s="3">
        <f t="shared" si="9"/>
        <v>164.55254274342514</v>
      </c>
      <c r="G609">
        <v>380</v>
      </c>
    </row>
    <row r="610" spans="1:7" x14ac:dyDescent="0.25">
      <c r="A610">
        <v>18051</v>
      </c>
      <c r="B610" t="s">
        <v>31</v>
      </c>
      <c r="C610">
        <v>8</v>
      </c>
      <c r="D610" s="3">
        <f>in_parking_demand_data_ver1!D610*calibration!$I$31</f>
        <v>127.27485382972105</v>
      </c>
      <c r="E610" s="3">
        <f>in_parking_demand_data_ver1!E610*calibration!$I$31</f>
        <v>5.2112035102347614</v>
      </c>
      <c r="F610" s="3">
        <f t="shared" si="9"/>
        <v>132.48605733995581</v>
      </c>
      <c r="G610">
        <v>380</v>
      </c>
    </row>
    <row r="611" spans="1:7" x14ac:dyDescent="0.25">
      <c r="A611">
        <v>18051</v>
      </c>
      <c r="B611" t="s">
        <v>31</v>
      </c>
      <c r="C611">
        <v>9</v>
      </c>
      <c r="D611" s="3">
        <f>in_parking_demand_data_ver1!D611*calibration!$I$31</f>
        <v>112.5044487884421</v>
      </c>
      <c r="E611" s="3">
        <f>in_parking_demand_data_ver1!E611*calibration!$I$31</f>
        <v>5.6268209681062524</v>
      </c>
      <c r="F611" s="3">
        <f t="shared" si="9"/>
        <v>118.13126975654836</v>
      </c>
      <c r="G611">
        <v>380</v>
      </c>
    </row>
    <row r="612" spans="1:7" x14ac:dyDescent="0.25">
      <c r="A612">
        <v>18051</v>
      </c>
      <c r="B612" t="s">
        <v>31</v>
      </c>
      <c r="C612">
        <v>10</v>
      </c>
      <c r="D612" s="3">
        <f>in_parking_demand_data_ver1!D612*calibration!$I$31</f>
        <v>105.15121684148515</v>
      </c>
      <c r="E612" s="3">
        <f>in_parking_demand_data_ver1!E612*calibration!$I$31</f>
        <v>5.1792329365523475</v>
      </c>
      <c r="F612" s="3">
        <f t="shared" si="9"/>
        <v>110.3304497780375</v>
      </c>
      <c r="G612">
        <v>380</v>
      </c>
    </row>
    <row r="613" spans="1:7" x14ac:dyDescent="0.25">
      <c r="A613">
        <v>18051</v>
      </c>
      <c r="B613" t="s">
        <v>31</v>
      </c>
      <c r="C613">
        <v>11</v>
      </c>
      <c r="D613" s="3">
        <f>in_parking_demand_data_ver1!D613*calibration!$I$31</f>
        <v>110.01074404121364</v>
      </c>
      <c r="E613" s="3">
        <f>in_parking_demand_data_ver1!E613*calibration!$I$31</f>
        <v>6.3621441628019557</v>
      </c>
      <c r="F613" s="3">
        <f t="shared" si="9"/>
        <v>116.3728882040156</v>
      </c>
      <c r="G613">
        <v>380</v>
      </c>
    </row>
    <row r="614" spans="1:7" x14ac:dyDescent="0.25">
      <c r="A614">
        <v>18051</v>
      </c>
      <c r="B614" t="s">
        <v>31</v>
      </c>
      <c r="C614">
        <v>12</v>
      </c>
      <c r="D614" s="3">
        <f>in_parking_demand_data_ver1!D614*calibration!$I$31</f>
        <v>112.05686075688844</v>
      </c>
      <c r="E614" s="3">
        <f>in_parking_demand_data_ver1!E614*calibration!$I$31</f>
        <v>5.786673836518359</v>
      </c>
      <c r="F614" s="3">
        <f t="shared" si="9"/>
        <v>117.8435345934068</v>
      </c>
      <c r="G614">
        <v>380</v>
      </c>
    </row>
    <row r="615" spans="1:7" x14ac:dyDescent="0.25">
      <c r="A615">
        <v>18051</v>
      </c>
      <c r="B615" t="s">
        <v>31</v>
      </c>
      <c r="C615">
        <v>13</v>
      </c>
      <c r="D615" s="3">
        <f>in_parking_demand_data_ver1!D615*calibration!$I$31</f>
        <v>112.88809567263155</v>
      </c>
      <c r="E615" s="3">
        <f>in_parking_demand_data_ver1!E615*calibration!$I$31</f>
        <v>4.4439097418566442</v>
      </c>
      <c r="F615" s="3">
        <f t="shared" si="9"/>
        <v>117.33200541448819</v>
      </c>
      <c r="G615">
        <v>380</v>
      </c>
    </row>
    <row r="616" spans="1:7" x14ac:dyDescent="0.25">
      <c r="A616">
        <v>18051</v>
      </c>
      <c r="B616" t="s">
        <v>31</v>
      </c>
      <c r="C616">
        <v>14</v>
      </c>
      <c r="D616" s="3">
        <f>in_parking_demand_data_ver1!D616*calibration!$I$31</f>
        <v>118.32309319864295</v>
      </c>
      <c r="E616" s="3">
        <f>in_parking_demand_data_ver1!E616*calibration!$I$31</f>
        <v>1.9502049946277349</v>
      </c>
      <c r="F616" s="3">
        <f t="shared" si="9"/>
        <v>120.27329819327069</v>
      </c>
      <c r="G616">
        <v>380</v>
      </c>
    </row>
    <row r="617" spans="1:7" x14ac:dyDescent="0.25">
      <c r="A617">
        <v>18051</v>
      </c>
      <c r="B617" t="s">
        <v>31</v>
      </c>
      <c r="C617">
        <v>15</v>
      </c>
      <c r="D617" s="3">
        <f>in_parking_demand_data_ver1!D617*calibration!$I$31</f>
        <v>129.0012648085723</v>
      </c>
      <c r="E617" s="3">
        <f>in_parking_demand_data_ver1!E617*calibration!$I$31</f>
        <v>1.342764094661715</v>
      </c>
      <c r="F617" s="3">
        <f t="shared" si="9"/>
        <v>130.344028903234</v>
      </c>
      <c r="G617">
        <v>380</v>
      </c>
    </row>
    <row r="618" spans="1:7" x14ac:dyDescent="0.25">
      <c r="A618">
        <v>18051</v>
      </c>
      <c r="B618" t="s">
        <v>31</v>
      </c>
      <c r="C618">
        <v>16</v>
      </c>
      <c r="D618" s="3">
        <f>in_parking_demand_data_ver1!D618*calibration!$I$31</f>
        <v>149.9419905705586</v>
      </c>
      <c r="E618" s="3">
        <f>in_parking_demand_data_ver1!E618*calibration!$I$31</f>
        <v>1.310793520979292</v>
      </c>
      <c r="F618" s="3">
        <f t="shared" si="9"/>
        <v>151.2527840915379</v>
      </c>
      <c r="G618">
        <v>380</v>
      </c>
    </row>
    <row r="619" spans="1:7" x14ac:dyDescent="0.25">
      <c r="A619">
        <v>18051</v>
      </c>
      <c r="B619" t="s">
        <v>31</v>
      </c>
      <c r="C619">
        <v>17</v>
      </c>
      <c r="D619" s="3">
        <f>in_parking_demand_data_ver1!D619*calibration!$I$31</f>
        <v>171.84183354301723</v>
      </c>
      <c r="E619" s="3">
        <f>in_parking_demand_data_ver1!E619*calibration!$I$31</f>
        <v>0.73532319469570351</v>
      </c>
      <c r="F619" s="3">
        <f t="shared" si="9"/>
        <v>172.57715673771293</v>
      </c>
      <c r="G619">
        <v>380</v>
      </c>
    </row>
    <row r="620" spans="1:7" x14ac:dyDescent="0.25">
      <c r="A620">
        <v>18051</v>
      </c>
      <c r="B620" t="s">
        <v>31</v>
      </c>
      <c r="C620">
        <v>18</v>
      </c>
      <c r="D620" s="3">
        <f>in_parking_demand_data_ver1!D620*calibration!$I$31</f>
        <v>196.2353812627052</v>
      </c>
      <c r="E620" s="3">
        <f>in_parking_demand_data_ver1!E620*calibration!$I$31</f>
        <v>1.5985286841210904</v>
      </c>
      <c r="F620" s="3">
        <f t="shared" si="9"/>
        <v>197.83390994682628</v>
      </c>
      <c r="G620">
        <v>380</v>
      </c>
    </row>
    <row r="621" spans="1:7" x14ac:dyDescent="0.25">
      <c r="A621">
        <v>18051</v>
      </c>
      <c r="B621" t="s">
        <v>31</v>
      </c>
      <c r="C621">
        <v>19</v>
      </c>
      <c r="D621" s="3">
        <f>in_parking_demand_data_ver1!D621*calibration!$I$31</f>
        <v>214.90619629323945</v>
      </c>
      <c r="E621" s="3">
        <f>in_parking_demand_data_ver1!E621*calibration!$I$31</f>
        <v>2.2059695840871103</v>
      </c>
      <c r="F621" s="3">
        <f t="shared" si="9"/>
        <v>217.11216587732656</v>
      </c>
      <c r="G621">
        <v>380</v>
      </c>
    </row>
    <row r="622" spans="1:7" x14ac:dyDescent="0.25">
      <c r="A622">
        <v>18051</v>
      </c>
      <c r="B622" t="s">
        <v>31</v>
      </c>
      <c r="C622">
        <v>20</v>
      </c>
      <c r="D622" s="3">
        <f>in_parking_demand_data_ver1!D622*calibration!$I$31</f>
        <v>228.84536641877531</v>
      </c>
      <c r="E622" s="3">
        <f>in_parking_demand_data_ver1!E622*calibration!$I$31</f>
        <v>1.4067052420265611</v>
      </c>
      <c r="F622" s="3">
        <f t="shared" si="9"/>
        <v>230.25207166080187</v>
      </c>
      <c r="G622">
        <v>380</v>
      </c>
    </row>
    <row r="623" spans="1:7" x14ac:dyDescent="0.25">
      <c r="A623">
        <v>18051</v>
      </c>
      <c r="B623" t="s">
        <v>31</v>
      </c>
      <c r="C623">
        <v>21</v>
      </c>
      <c r="D623" s="3">
        <f>in_parking_demand_data_ver1!D623*calibration!$I$31</f>
        <v>242.88044826535915</v>
      </c>
      <c r="E623" s="3">
        <f>in_parking_demand_data_ver1!E623*calibration!$I$31</f>
        <v>1.5665581104386674</v>
      </c>
      <c r="F623" s="3">
        <f t="shared" si="9"/>
        <v>244.44700637579783</v>
      </c>
      <c r="G623">
        <v>380</v>
      </c>
    </row>
    <row r="624" spans="1:7" x14ac:dyDescent="0.25">
      <c r="A624">
        <v>18051</v>
      </c>
      <c r="B624" t="s">
        <v>31</v>
      </c>
      <c r="C624">
        <v>22</v>
      </c>
      <c r="D624" s="3">
        <f>in_parking_demand_data_ver1!D624*calibration!$I$31</f>
        <v>249.72215103339738</v>
      </c>
      <c r="E624" s="3">
        <f>in_parking_demand_data_ver1!E624*calibration!$I$31</f>
        <v>1.9821755683101578</v>
      </c>
      <c r="F624" s="3">
        <f t="shared" si="9"/>
        <v>251.70432660170755</v>
      </c>
      <c r="G624">
        <v>380</v>
      </c>
    </row>
    <row r="625" spans="1:7" x14ac:dyDescent="0.25">
      <c r="A625">
        <v>18051</v>
      </c>
      <c r="B625" t="s">
        <v>31</v>
      </c>
      <c r="C625">
        <v>23</v>
      </c>
      <c r="D625" s="3">
        <f>in_parking_demand_data_ver1!D625*calibration!$I$31</f>
        <v>253.62256102265269</v>
      </c>
      <c r="E625" s="3">
        <f>in_parking_demand_data_ver1!E625*calibration!$I$31</f>
        <v>2.8773516314179681</v>
      </c>
      <c r="F625" s="3">
        <f t="shared" si="9"/>
        <v>256.49991265407067</v>
      </c>
      <c r="G625">
        <v>380</v>
      </c>
    </row>
    <row r="626" spans="1:7" x14ac:dyDescent="0.25">
      <c r="A626">
        <v>18053</v>
      </c>
      <c r="B626" t="s">
        <v>32</v>
      </c>
      <c r="C626">
        <v>0</v>
      </c>
      <c r="D626" s="3">
        <f>in_parking_demand_data_ver1!D626*calibration!$I$31</f>
        <v>93.312901770271893</v>
      </c>
      <c r="E626" s="3">
        <f>in_parking_demand_data_ver1!E626*calibration!$I$31</f>
        <v>2.7327569126535769</v>
      </c>
      <c r="F626" s="3">
        <f t="shared" si="9"/>
        <v>96.045658682925463</v>
      </c>
      <c r="G626">
        <v>149</v>
      </c>
    </row>
    <row r="627" spans="1:7" x14ac:dyDescent="0.25">
      <c r="A627">
        <v>18053</v>
      </c>
      <c r="B627" t="s">
        <v>32</v>
      </c>
      <c r="C627">
        <v>1</v>
      </c>
      <c r="D627" s="3">
        <f>in_parking_demand_data_ver1!D627*calibration!$I$31</f>
        <v>96.014953549075244</v>
      </c>
      <c r="E627" s="3">
        <f>in_parking_demand_data_ver1!E627*calibration!$I$31</f>
        <v>3.4082698573544654</v>
      </c>
      <c r="F627" s="3">
        <f t="shared" si="9"/>
        <v>99.423223406429713</v>
      </c>
      <c r="G627">
        <v>149</v>
      </c>
    </row>
    <row r="628" spans="1:7" x14ac:dyDescent="0.25">
      <c r="A628">
        <v>18053</v>
      </c>
      <c r="B628" t="s">
        <v>32</v>
      </c>
      <c r="C628">
        <v>2</v>
      </c>
      <c r="D628" s="3">
        <f>in_parking_demand_data_ver1!D628*calibration!$I$31</f>
        <v>96.936107564576446</v>
      </c>
      <c r="E628" s="3">
        <f>in_parking_demand_data_ver1!E628*calibration!$I$31</f>
        <v>3.9609622666551858</v>
      </c>
      <c r="F628" s="3">
        <f t="shared" si="9"/>
        <v>100.89706983123163</v>
      </c>
      <c r="G628">
        <v>149</v>
      </c>
    </row>
    <row r="629" spans="1:7" x14ac:dyDescent="0.25">
      <c r="A629">
        <v>18053</v>
      </c>
      <c r="B629" t="s">
        <v>32</v>
      </c>
      <c r="C629">
        <v>3</v>
      </c>
      <c r="D629" s="3">
        <f>in_parking_demand_data_ver1!D629*calibration!$I$31</f>
        <v>93.405017171821839</v>
      </c>
      <c r="E629" s="3">
        <f>in_parking_demand_data_ver1!E629*calibration!$I$31</f>
        <v>4.6364752113560739</v>
      </c>
      <c r="F629" s="3">
        <f t="shared" si="9"/>
        <v>98.041492383177911</v>
      </c>
      <c r="G629">
        <v>149</v>
      </c>
    </row>
    <row r="630" spans="1:7" x14ac:dyDescent="0.25">
      <c r="A630">
        <v>18053</v>
      </c>
      <c r="B630" t="s">
        <v>32</v>
      </c>
      <c r="C630">
        <v>4</v>
      </c>
      <c r="D630" s="3">
        <f>in_parking_demand_data_ver1!D630*calibration!$I$31</f>
        <v>87.509631472614004</v>
      </c>
      <c r="E630" s="3">
        <f>in_parking_demand_data_ver1!E630*calibration!$I$31</f>
        <v>4.6057700775060342</v>
      </c>
      <c r="F630" s="3">
        <f t="shared" si="9"/>
        <v>92.11540155012004</v>
      </c>
      <c r="G630">
        <v>149</v>
      </c>
    </row>
    <row r="631" spans="1:7" x14ac:dyDescent="0.25">
      <c r="A631">
        <v>18053</v>
      </c>
      <c r="B631" t="s">
        <v>32</v>
      </c>
      <c r="C631">
        <v>5</v>
      </c>
      <c r="D631" s="3">
        <f>in_parking_demand_data_ver1!D631*calibration!$I$31</f>
        <v>85.421682370811439</v>
      </c>
      <c r="E631" s="3">
        <f>in_parking_demand_data_ver1!E631*calibration!$I$31</f>
        <v>5.1891676206568018</v>
      </c>
      <c r="F631" s="3">
        <f t="shared" si="9"/>
        <v>90.610849991468243</v>
      </c>
      <c r="G631">
        <v>149</v>
      </c>
    </row>
    <row r="632" spans="1:7" x14ac:dyDescent="0.25">
      <c r="A632">
        <v>18053</v>
      </c>
      <c r="B632" t="s">
        <v>32</v>
      </c>
      <c r="C632">
        <v>6</v>
      </c>
      <c r="D632" s="3">
        <f>in_parking_demand_data_ver1!D632*calibration!$I$31</f>
        <v>82.289758718107876</v>
      </c>
      <c r="E632" s="3">
        <f>in_parking_demand_data_ver1!E632*calibration!$I$31</f>
        <v>8.56673234416116</v>
      </c>
      <c r="F632" s="3">
        <f t="shared" si="9"/>
        <v>90.856491062269043</v>
      </c>
      <c r="G632">
        <v>149</v>
      </c>
    </row>
    <row r="633" spans="1:7" x14ac:dyDescent="0.25">
      <c r="A633">
        <v>18053</v>
      </c>
      <c r="B633" t="s">
        <v>32</v>
      </c>
      <c r="C633">
        <v>7</v>
      </c>
      <c r="D633" s="3">
        <f>in_parking_demand_data_ver1!D633*calibration!$I$31</f>
        <v>72.586936421495153</v>
      </c>
      <c r="E633" s="3">
        <f>in_parking_demand_data_ver1!E633*calibration!$I$31</f>
        <v>9.3957709581122408</v>
      </c>
      <c r="F633" s="3">
        <f t="shared" si="9"/>
        <v>81.98270737960739</v>
      </c>
      <c r="G633">
        <v>149</v>
      </c>
    </row>
    <row r="634" spans="1:7" x14ac:dyDescent="0.25">
      <c r="A634">
        <v>18053</v>
      </c>
      <c r="B634" t="s">
        <v>32</v>
      </c>
      <c r="C634">
        <v>8</v>
      </c>
      <c r="D634" s="3">
        <f>in_parking_demand_data_ver1!D634*calibration!$I$31</f>
        <v>64.51148621893455</v>
      </c>
      <c r="E634" s="3">
        <f>in_parking_demand_data_ver1!E634*calibration!$I$31</f>
        <v>6.7551294470088505</v>
      </c>
      <c r="F634" s="3">
        <f t="shared" si="9"/>
        <v>71.266615665943405</v>
      </c>
      <c r="G634">
        <v>149</v>
      </c>
    </row>
    <row r="635" spans="1:7" x14ac:dyDescent="0.25">
      <c r="A635">
        <v>18053</v>
      </c>
      <c r="B635" t="s">
        <v>32</v>
      </c>
      <c r="C635">
        <v>9</v>
      </c>
      <c r="D635" s="3">
        <f>in_parking_demand_data_ver1!D635*calibration!$I$31</f>
        <v>60.212767479928864</v>
      </c>
      <c r="E635" s="3">
        <f>in_parking_demand_data_ver1!E635*calibration!$I$31</f>
        <v>5.6190394945573621</v>
      </c>
      <c r="F635" s="3">
        <f t="shared" si="9"/>
        <v>65.831806974486227</v>
      </c>
      <c r="G635">
        <v>149</v>
      </c>
    </row>
    <row r="636" spans="1:7" x14ac:dyDescent="0.25">
      <c r="A636">
        <v>18053</v>
      </c>
      <c r="B636" t="s">
        <v>32</v>
      </c>
      <c r="C636">
        <v>10</v>
      </c>
      <c r="D636" s="3">
        <f>in_parking_demand_data_ver1!D636*calibration!$I$31</f>
        <v>57.295779764175066</v>
      </c>
      <c r="E636" s="3">
        <f>in_parking_demand_data_ver1!E636*calibration!$I$31</f>
        <v>5.4962189591572024</v>
      </c>
      <c r="F636" s="3">
        <f t="shared" si="9"/>
        <v>62.79199872333227</v>
      </c>
      <c r="G636">
        <v>149</v>
      </c>
    </row>
    <row r="637" spans="1:7" x14ac:dyDescent="0.25">
      <c r="A637">
        <v>18053</v>
      </c>
      <c r="B637" t="s">
        <v>32</v>
      </c>
      <c r="C637">
        <v>11</v>
      </c>
      <c r="D637" s="3">
        <f>in_parking_demand_data_ver1!D637*calibration!$I$31</f>
        <v>56.006164142473381</v>
      </c>
      <c r="E637" s="3">
        <f>in_parking_demand_data_ver1!E637*calibration!$I$31</f>
        <v>5.3119881560569624</v>
      </c>
      <c r="F637" s="3">
        <f t="shared" si="9"/>
        <v>61.318152298530343</v>
      </c>
      <c r="G637">
        <v>149</v>
      </c>
    </row>
    <row r="638" spans="1:7" x14ac:dyDescent="0.25">
      <c r="A638">
        <v>18053</v>
      </c>
      <c r="B638" t="s">
        <v>32</v>
      </c>
      <c r="C638">
        <v>12</v>
      </c>
      <c r="D638" s="3">
        <f>in_parking_demand_data_ver1!D638*calibration!$I$31</f>
        <v>55.115715260822221</v>
      </c>
      <c r="E638" s="3">
        <f>in_parking_demand_data_ver1!E638*calibration!$I$31</f>
        <v>4.9435265498564736</v>
      </c>
      <c r="F638" s="3">
        <f t="shared" si="9"/>
        <v>60.059241810678692</v>
      </c>
      <c r="G638">
        <v>149</v>
      </c>
    </row>
    <row r="639" spans="1:7" x14ac:dyDescent="0.25">
      <c r="A639">
        <v>18053</v>
      </c>
      <c r="B639" t="s">
        <v>32</v>
      </c>
      <c r="C639">
        <v>13</v>
      </c>
      <c r="D639" s="3">
        <f>in_parking_demand_data_ver1!D639*calibration!$I$31</f>
        <v>56.036869276323429</v>
      </c>
      <c r="E639" s="3">
        <f>in_parking_demand_data_ver1!E639*calibration!$I$31</f>
        <v>3.8381417312550257</v>
      </c>
      <c r="F639" s="3">
        <f t="shared" si="9"/>
        <v>59.875011007578458</v>
      </c>
      <c r="G639">
        <v>149</v>
      </c>
    </row>
    <row r="640" spans="1:7" x14ac:dyDescent="0.25">
      <c r="A640">
        <v>18053</v>
      </c>
      <c r="B640" t="s">
        <v>32</v>
      </c>
      <c r="C640">
        <v>14</v>
      </c>
      <c r="D640" s="3">
        <f>in_parking_demand_data_ver1!D640*calibration!$I$31</f>
        <v>57.633536236525501</v>
      </c>
      <c r="E640" s="3">
        <f>in_parking_demand_data_ver1!E640*calibration!$I$31</f>
        <v>2.7941671803536572</v>
      </c>
      <c r="F640" s="3">
        <f t="shared" si="9"/>
        <v>60.427703416879154</v>
      </c>
      <c r="G640">
        <v>149</v>
      </c>
    </row>
    <row r="641" spans="1:7" x14ac:dyDescent="0.25">
      <c r="A641">
        <v>18053</v>
      </c>
      <c r="B641" t="s">
        <v>32</v>
      </c>
      <c r="C641">
        <v>15</v>
      </c>
      <c r="D641" s="3">
        <f>in_parking_demand_data_ver1!D641*calibration!$I$31</f>
        <v>62.055075510931353</v>
      </c>
      <c r="E641" s="3">
        <f>in_parking_demand_data_ver1!E641*calibration!$I$31</f>
        <v>2.2107696372028971</v>
      </c>
      <c r="F641" s="3">
        <f t="shared" si="9"/>
        <v>64.265845148134247</v>
      </c>
      <c r="G641">
        <v>149</v>
      </c>
    </row>
    <row r="642" spans="1:7" x14ac:dyDescent="0.25">
      <c r="A642">
        <v>18053</v>
      </c>
      <c r="B642" t="s">
        <v>32</v>
      </c>
      <c r="C642">
        <v>16</v>
      </c>
      <c r="D642" s="3">
        <f>in_parking_demand_data_ver1!D642*calibration!$I$31</f>
        <v>65.801101840636235</v>
      </c>
      <c r="E642" s="3">
        <f>in_parking_demand_data_ver1!E642*calibration!$I$31</f>
        <v>1.8423080310024085</v>
      </c>
      <c r="F642" s="3">
        <f t="shared" si="9"/>
        <v>67.643409871638639</v>
      </c>
      <c r="G642">
        <v>149</v>
      </c>
    </row>
    <row r="643" spans="1:7" x14ac:dyDescent="0.25">
      <c r="A643">
        <v>18053</v>
      </c>
      <c r="B643" t="s">
        <v>32</v>
      </c>
      <c r="C643">
        <v>17</v>
      </c>
      <c r="D643" s="3">
        <f>in_parking_demand_data_ver1!D643*calibration!$I$31</f>
        <v>68.44174335173966</v>
      </c>
      <c r="E643" s="3">
        <f>in_parking_demand_data_ver1!E643*calibration!$I$31</f>
        <v>2.3028850387530171</v>
      </c>
      <c r="F643" s="3">
        <f t="shared" ref="F643:F706" si="10">SUM(D643:E643)</f>
        <v>70.744628390492679</v>
      </c>
      <c r="G643">
        <v>149</v>
      </c>
    </row>
    <row r="644" spans="1:7" x14ac:dyDescent="0.25">
      <c r="A644">
        <v>18053</v>
      </c>
      <c r="B644" t="s">
        <v>32</v>
      </c>
      <c r="C644">
        <v>18</v>
      </c>
      <c r="D644" s="3">
        <f>in_parking_demand_data_ver1!D644*calibration!$I$31</f>
        <v>69.178666564140627</v>
      </c>
      <c r="E644" s="3">
        <f>in_parking_demand_data_ver1!E644*calibration!$I$31</f>
        <v>1.9344234325525287</v>
      </c>
      <c r="F644" s="3">
        <f t="shared" si="10"/>
        <v>71.113089996693162</v>
      </c>
      <c r="G644">
        <v>149</v>
      </c>
    </row>
    <row r="645" spans="1:7" x14ac:dyDescent="0.25">
      <c r="A645">
        <v>18053</v>
      </c>
      <c r="B645" t="s">
        <v>32</v>
      </c>
      <c r="C645">
        <v>19</v>
      </c>
      <c r="D645" s="3">
        <f>in_parking_demand_data_ver1!D645*calibration!$I$31</f>
        <v>73.907257177046873</v>
      </c>
      <c r="E645" s="3">
        <f>in_parking_demand_data_ver1!E645*calibration!$I$31</f>
        <v>1.2896156217016885</v>
      </c>
      <c r="F645" s="3">
        <f t="shared" si="10"/>
        <v>75.196872798748558</v>
      </c>
      <c r="G645">
        <v>149</v>
      </c>
    </row>
    <row r="646" spans="1:7" x14ac:dyDescent="0.25">
      <c r="A646">
        <v>18053</v>
      </c>
      <c r="B646" t="s">
        <v>32</v>
      </c>
      <c r="C646">
        <v>20</v>
      </c>
      <c r="D646" s="3">
        <f>in_parking_demand_data_ver1!D646*calibration!$I$31</f>
        <v>80.017578813204835</v>
      </c>
      <c r="E646" s="3">
        <f>in_parking_demand_data_ver1!E646*calibration!$I$31</f>
        <v>1.7194874956022486</v>
      </c>
      <c r="F646" s="3">
        <f t="shared" si="10"/>
        <v>81.737066308807087</v>
      </c>
      <c r="G646">
        <v>149</v>
      </c>
    </row>
    <row r="647" spans="1:7" x14ac:dyDescent="0.25">
      <c r="A647">
        <v>18053</v>
      </c>
      <c r="B647" t="s">
        <v>32</v>
      </c>
      <c r="C647">
        <v>21</v>
      </c>
      <c r="D647" s="3">
        <f>in_parking_demand_data_ver1!D647*calibration!$I$31</f>
        <v>82.197643316557759</v>
      </c>
      <c r="E647" s="3">
        <f>in_parking_demand_data_ver1!E647*calibration!$I$31</f>
        <v>2.7941671803536572</v>
      </c>
      <c r="F647" s="3">
        <f t="shared" si="10"/>
        <v>84.991810496911413</v>
      </c>
      <c r="G647">
        <v>149</v>
      </c>
    </row>
    <row r="648" spans="1:7" x14ac:dyDescent="0.25">
      <c r="A648">
        <v>18053</v>
      </c>
      <c r="B648" t="s">
        <v>32</v>
      </c>
      <c r="C648">
        <v>22</v>
      </c>
      <c r="D648" s="3">
        <f>in_parking_demand_data_ver1!D648*calibration!$I$31</f>
        <v>85.605913173912199</v>
      </c>
      <c r="E648" s="3">
        <f>in_parking_demand_data_ver1!E648*calibration!$I$31</f>
        <v>3.4389749912045056</v>
      </c>
      <c r="F648" s="3">
        <f t="shared" si="10"/>
        <v>89.044888165116703</v>
      </c>
      <c r="G648">
        <v>149</v>
      </c>
    </row>
    <row r="649" spans="1:7" x14ac:dyDescent="0.25">
      <c r="A649">
        <v>18053</v>
      </c>
      <c r="B649" t="s">
        <v>32</v>
      </c>
      <c r="C649">
        <v>23</v>
      </c>
      <c r="D649" s="3">
        <f>in_parking_demand_data_ver1!D649*calibration!$I$31</f>
        <v>89.873926779067247</v>
      </c>
      <c r="E649" s="3">
        <f>in_parking_demand_data_ver1!E649*calibration!$I$31</f>
        <v>2.3642953064530969</v>
      </c>
      <c r="F649" s="3">
        <f t="shared" si="10"/>
        <v>92.238222085520349</v>
      </c>
      <c r="G649">
        <v>149</v>
      </c>
    </row>
    <row r="650" spans="1:7" x14ac:dyDescent="0.25">
      <c r="A650">
        <v>18055</v>
      </c>
      <c r="B650" t="s">
        <v>33</v>
      </c>
      <c r="C650">
        <v>0</v>
      </c>
      <c r="D650" s="3">
        <f>in_parking_demand_data_ver1!D650*calibration!$I$31</f>
        <v>3.3074342314421292</v>
      </c>
      <c r="E650" s="3">
        <f>in_parking_demand_data_ver1!E650*calibration!$I$31</f>
        <v>3.5506279249305277</v>
      </c>
      <c r="F650" s="3">
        <f t="shared" si="10"/>
        <v>6.8580621563726574</v>
      </c>
      <c r="G650">
        <v>43</v>
      </c>
    </row>
    <row r="651" spans="1:7" x14ac:dyDescent="0.25">
      <c r="A651">
        <v>18055</v>
      </c>
      <c r="B651" t="s">
        <v>33</v>
      </c>
      <c r="C651">
        <v>1</v>
      </c>
      <c r="D651" s="3">
        <f>in_parking_demand_data_ver1!D651*calibration!$I$31</f>
        <v>3.3074342314421292</v>
      </c>
      <c r="E651" s="3">
        <f>in_parking_demand_data_ver1!E651*calibration!$I$31</f>
        <v>3.5506279249305277</v>
      </c>
      <c r="F651" s="3">
        <f t="shared" si="10"/>
        <v>6.8580621563726574</v>
      </c>
      <c r="G651">
        <v>43</v>
      </c>
    </row>
    <row r="652" spans="1:7" x14ac:dyDescent="0.25">
      <c r="A652">
        <v>18055</v>
      </c>
      <c r="B652" t="s">
        <v>33</v>
      </c>
      <c r="C652">
        <v>2</v>
      </c>
      <c r="D652" s="3">
        <f>in_parking_demand_data_ver1!D652*calibration!$I$31</f>
        <v>3.3560729701398073</v>
      </c>
      <c r="E652" s="3">
        <f>in_parking_demand_data_ver1!E652*calibration!$I$31</f>
        <v>3.5506279249305277</v>
      </c>
      <c r="F652" s="3">
        <f t="shared" si="10"/>
        <v>6.906700895070335</v>
      </c>
      <c r="G652">
        <v>43</v>
      </c>
    </row>
    <row r="653" spans="1:7" x14ac:dyDescent="0.25">
      <c r="A653">
        <v>18055</v>
      </c>
      <c r="B653" t="s">
        <v>33</v>
      </c>
      <c r="C653">
        <v>3</v>
      </c>
      <c r="D653" s="3">
        <f>in_parking_demand_data_ver1!D653*calibration!$I$31</f>
        <v>3.2831148620932904</v>
      </c>
      <c r="E653" s="3">
        <f>in_parking_demand_data_ver1!E653*calibration!$I$31</f>
        <v>3.4047117088374854</v>
      </c>
      <c r="F653" s="3">
        <f t="shared" si="10"/>
        <v>6.6878265709307758</v>
      </c>
      <c r="G653">
        <v>43</v>
      </c>
    </row>
    <row r="654" spans="1:7" x14ac:dyDescent="0.25">
      <c r="A654">
        <v>18055</v>
      </c>
      <c r="B654" t="s">
        <v>33</v>
      </c>
      <c r="C654">
        <v>4</v>
      </c>
      <c r="D654" s="3">
        <f>in_parking_demand_data_ver1!D654*calibration!$I$31</f>
        <v>3.3803923394886461</v>
      </c>
      <c r="E654" s="3">
        <f>in_parking_demand_data_ver1!E654*calibration!$I$31</f>
        <v>3.818140987767757</v>
      </c>
      <c r="F654" s="3">
        <f t="shared" si="10"/>
        <v>7.1985333272564027</v>
      </c>
      <c r="G654">
        <v>43</v>
      </c>
    </row>
    <row r="655" spans="1:7" x14ac:dyDescent="0.25">
      <c r="A655">
        <v>18055</v>
      </c>
      <c r="B655" t="s">
        <v>33</v>
      </c>
      <c r="C655">
        <v>5</v>
      </c>
      <c r="D655" s="3">
        <f>in_parking_demand_data_ver1!D655*calibration!$I$31</f>
        <v>3.5506279249305277</v>
      </c>
      <c r="E655" s="3">
        <f>in_parking_demand_data_ver1!E655*calibration!$I$31</f>
        <v>4.2802090053956974</v>
      </c>
      <c r="F655" s="3">
        <f t="shared" si="10"/>
        <v>7.8308369303262246</v>
      </c>
      <c r="G655">
        <v>43</v>
      </c>
    </row>
    <row r="656" spans="1:7" x14ac:dyDescent="0.25">
      <c r="A656">
        <v>18055</v>
      </c>
      <c r="B656" t="s">
        <v>33</v>
      </c>
      <c r="C656">
        <v>6</v>
      </c>
      <c r="D656" s="3">
        <f>in_parking_demand_data_ver1!D656*calibration!$I$31</f>
        <v>3.5019891862328416</v>
      </c>
      <c r="E656" s="3">
        <f>in_parking_demand_data_ver1!E656*calibration!$I$31</f>
        <v>4.2315702666980197</v>
      </c>
      <c r="F656" s="3">
        <f t="shared" si="10"/>
        <v>7.7335594529308613</v>
      </c>
      <c r="G656">
        <v>43</v>
      </c>
    </row>
    <row r="657" spans="1:7" x14ac:dyDescent="0.25">
      <c r="A657">
        <v>18055</v>
      </c>
      <c r="B657" t="s">
        <v>33</v>
      </c>
      <c r="C657">
        <v>7</v>
      </c>
      <c r="D657" s="3">
        <f>in_parking_demand_data_ver1!D657*calibration!$I$31</f>
        <v>3.9883765732096301</v>
      </c>
      <c r="E657" s="3">
        <f>in_parking_demand_data_ver1!E657*calibration!$I$31</f>
        <v>3.7451828797212401</v>
      </c>
      <c r="F657" s="3">
        <f t="shared" si="10"/>
        <v>7.7335594529308702</v>
      </c>
      <c r="G657">
        <v>43</v>
      </c>
    </row>
    <row r="658" spans="1:7" x14ac:dyDescent="0.25">
      <c r="A658">
        <v>18055</v>
      </c>
      <c r="B658" t="s">
        <v>33</v>
      </c>
      <c r="C658">
        <v>8</v>
      </c>
      <c r="D658" s="3">
        <f>in_parking_demand_data_ver1!D658*calibration!$I$31</f>
        <v>4.815235131070164</v>
      </c>
      <c r="E658" s="3">
        <f>in_parking_demand_data_ver1!E658*calibration!$I$31</f>
        <v>3.818140987767757</v>
      </c>
      <c r="F658" s="3">
        <f t="shared" si="10"/>
        <v>8.633376118837921</v>
      </c>
      <c r="G658">
        <v>43</v>
      </c>
    </row>
    <row r="659" spans="1:7" x14ac:dyDescent="0.25">
      <c r="A659">
        <v>18055</v>
      </c>
      <c r="B659" t="s">
        <v>33</v>
      </c>
      <c r="C659">
        <v>9</v>
      </c>
      <c r="D659" s="3">
        <f>in_parking_demand_data_ver1!D659*calibration!$I$31</f>
        <v>4.1342927893026635</v>
      </c>
      <c r="E659" s="3">
        <f>in_parking_demand_data_ver1!E659*calibration!$I$31</f>
        <v>3.7938216184189177</v>
      </c>
      <c r="F659" s="3">
        <f t="shared" si="10"/>
        <v>7.9281144077215817</v>
      </c>
      <c r="G659">
        <v>43</v>
      </c>
    </row>
    <row r="660" spans="1:7" x14ac:dyDescent="0.25">
      <c r="A660">
        <v>18055</v>
      </c>
      <c r="B660" t="s">
        <v>33</v>
      </c>
      <c r="C660">
        <v>10</v>
      </c>
      <c r="D660" s="3">
        <f>in_parking_demand_data_ver1!D660*calibration!$I$31</f>
        <v>3.7451828797212401</v>
      </c>
      <c r="E660" s="3">
        <f>in_parking_demand_data_ver1!E660*calibration!$I$31</f>
        <v>4.815235131070164</v>
      </c>
      <c r="F660" s="3">
        <f t="shared" si="10"/>
        <v>8.5604180107914036</v>
      </c>
      <c r="G660">
        <v>43</v>
      </c>
    </row>
    <row r="661" spans="1:7" x14ac:dyDescent="0.25">
      <c r="A661">
        <v>18055</v>
      </c>
      <c r="B661" t="s">
        <v>33</v>
      </c>
      <c r="C661">
        <v>11</v>
      </c>
      <c r="D661" s="3">
        <f>in_parking_demand_data_ver1!D661*calibration!$I$31</f>
        <v>4.1586121586515032</v>
      </c>
      <c r="E661" s="3">
        <f>in_parking_demand_data_ver1!E661*calibration!$I$31</f>
        <v>5.0097900858608764</v>
      </c>
      <c r="F661" s="3">
        <f t="shared" si="10"/>
        <v>9.1684022445123787</v>
      </c>
      <c r="G661">
        <v>43</v>
      </c>
    </row>
    <row r="662" spans="1:7" x14ac:dyDescent="0.25">
      <c r="A662">
        <v>18055</v>
      </c>
      <c r="B662" t="s">
        <v>33</v>
      </c>
      <c r="C662">
        <v>12</v>
      </c>
      <c r="D662" s="3">
        <f>in_parking_demand_data_ver1!D662*calibration!$I$31</f>
        <v>4.1099734199538247</v>
      </c>
      <c r="E662" s="3">
        <f>in_parking_demand_data_ver1!E662*calibration!$I$31</f>
        <v>5.1557063019539102</v>
      </c>
      <c r="F662" s="3">
        <f t="shared" si="10"/>
        <v>9.265679721907734</v>
      </c>
      <c r="G662">
        <v>43</v>
      </c>
    </row>
    <row r="663" spans="1:7" x14ac:dyDescent="0.25">
      <c r="A663">
        <v>18055</v>
      </c>
      <c r="B663" t="s">
        <v>33</v>
      </c>
      <c r="C663">
        <v>13</v>
      </c>
      <c r="D663" s="3">
        <f>in_parking_demand_data_ver1!D663*calibration!$I$31</f>
        <v>3.4290310781863247</v>
      </c>
      <c r="E663" s="3">
        <f>in_parking_demand_data_ver1!E663*calibration!$I$31</f>
        <v>4.2315702666980197</v>
      </c>
      <c r="F663" s="3">
        <f t="shared" si="10"/>
        <v>7.6606013448843449</v>
      </c>
      <c r="G663">
        <v>43</v>
      </c>
    </row>
    <row r="664" spans="1:7" x14ac:dyDescent="0.25">
      <c r="A664">
        <v>18055</v>
      </c>
      <c r="B664" t="s">
        <v>33</v>
      </c>
      <c r="C664">
        <v>14</v>
      </c>
      <c r="D664" s="3">
        <f>in_parking_demand_data_ver1!D664*calibration!$I$31</f>
        <v>2.7480887364188327</v>
      </c>
      <c r="E664" s="3">
        <f>in_parking_demand_data_ver1!E664*calibration!$I$31</f>
        <v>2.9426436912095442</v>
      </c>
      <c r="F664" s="3">
        <f t="shared" si="10"/>
        <v>5.6907324276283768</v>
      </c>
      <c r="G664">
        <v>43</v>
      </c>
    </row>
    <row r="665" spans="1:7" x14ac:dyDescent="0.25">
      <c r="A665">
        <v>18055</v>
      </c>
      <c r="B665" t="s">
        <v>33</v>
      </c>
      <c r="C665">
        <v>15</v>
      </c>
      <c r="D665" s="3">
        <f>in_parking_demand_data_ver1!D665*calibration!$I$31</f>
        <v>2.3832981961862387</v>
      </c>
      <c r="E665" s="3">
        <f>in_parking_demand_data_ver1!E665*calibration!$I$31</f>
        <v>2.4805756735815949</v>
      </c>
      <c r="F665" s="3">
        <f t="shared" si="10"/>
        <v>4.8638738697678336</v>
      </c>
      <c r="G665">
        <v>43</v>
      </c>
    </row>
    <row r="666" spans="1:7" x14ac:dyDescent="0.25">
      <c r="A666">
        <v>18055</v>
      </c>
      <c r="B666" t="s">
        <v>33</v>
      </c>
      <c r="C666">
        <v>16</v>
      </c>
      <c r="D666" s="3">
        <f>in_parking_demand_data_ver1!D666*calibration!$I$31</f>
        <v>2.2130626107443661</v>
      </c>
      <c r="E666" s="3">
        <f>in_parking_demand_data_ver1!E666*calibration!$I$31</f>
        <v>1.7266752237675775</v>
      </c>
      <c r="F666" s="3">
        <f t="shared" si="10"/>
        <v>3.9397378345119436</v>
      </c>
      <c r="G666">
        <v>43</v>
      </c>
    </row>
    <row r="667" spans="1:7" x14ac:dyDescent="0.25">
      <c r="A667">
        <v>18055</v>
      </c>
      <c r="B667" t="s">
        <v>33</v>
      </c>
      <c r="C667">
        <v>17</v>
      </c>
      <c r="D667" s="3">
        <f>in_parking_demand_data_ver1!D667*calibration!$I$31</f>
        <v>1.969868917255976</v>
      </c>
      <c r="E667" s="3">
        <f>in_parking_demand_data_ver1!E667*calibration!$I$31</f>
        <v>1.3375653141861534</v>
      </c>
      <c r="F667" s="3">
        <f t="shared" si="10"/>
        <v>3.3074342314421292</v>
      </c>
      <c r="G667">
        <v>43</v>
      </c>
    </row>
    <row r="668" spans="1:7" x14ac:dyDescent="0.25">
      <c r="A668">
        <v>18055</v>
      </c>
      <c r="B668" t="s">
        <v>33</v>
      </c>
      <c r="C668">
        <v>18</v>
      </c>
      <c r="D668" s="3">
        <f>in_parking_demand_data_ver1!D668*calibration!$I$31</f>
        <v>2.0185076559536537</v>
      </c>
      <c r="E668" s="3">
        <f>in_parking_demand_data_ver1!E668*calibration!$I$31</f>
        <v>1.7753139624652639</v>
      </c>
      <c r="F668" s="3">
        <f t="shared" si="10"/>
        <v>3.7938216184189173</v>
      </c>
      <c r="G668">
        <v>43</v>
      </c>
    </row>
    <row r="669" spans="1:7" x14ac:dyDescent="0.25">
      <c r="A669">
        <v>18055</v>
      </c>
      <c r="B669" t="s">
        <v>33</v>
      </c>
      <c r="C669">
        <v>19</v>
      </c>
      <c r="D669" s="3">
        <f>in_parking_demand_data_ver1!D669*calibration!$I$31</f>
        <v>2.3589788268373999</v>
      </c>
      <c r="E669" s="3">
        <f>in_parking_demand_data_ver1!E669*calibration!$I$31</f>
        <v>1.7996333318141031</v>
      </c>
      <c r="F669" s="3">
        <f t="shared" si="10"/>
        <v>4.1586121586515032</v>
      </c>
      <c r="G669">
        <v>43</v>
      </c>
    </row>
    <row r="670" spans="1:7" x14ac:dyDescent="0.25">
      <c r="A670">
        <v>18055</v>
      </c>
      <c r="B670" t="s">
        <v>33</v>
      </c>
      <c r="C670">
        <v>20</v>
      </c>
      <c r="D670" s="3">
        <f>in_parking_demand_data_ver1!D670*calibration!$I$31</f>
        <v>2.5778531509769511</v>
      </c>
      <c r="E670" s="3">
        <f>in_parking_demand_data_ver1!E670*calibration!$I$31</f>
        <v>2.4562563042327561</v>
      </c>
      <c r="F670" s="3">
        <f t="shared" si="10"/>
        <v>5.0341094552097072</v>
      </c>
      <c r="G670">
        <v>43</v>
      </c>
    </row>
    <row r="671" spans="1:7" x14ac:dyDescent="0.25">
      <c r="A671">
        <v>18055</v>
      </c>
      <c r="B671" t="s">
        <v>33</v>
      </c>
      <c r="C671">
        <v>21</v>
      </c>
      <c r="D671" s="3">
        <f>in_parking_demand_data_ver1!D671*calibration!$I$31</f>
        <v>2.6994499977211546</v>
      </c>
      <c r="E671" s="3">
        <f>in_parking_demand_data_ver1!E671*calibration!$I$31</f>
        <v>2.4319369348839168</v>
      </c>
      <c r="F671" s="3">
        <f t="shared" si="10"/>
        <v>5.1313869326050714</v>
      </c>
      <c r="G671">
        <v>43</v>
      </c>
    </row>
    <row r="672" spans="1:7" x14ac:dyDescent="0.25">
      <c r="A672">
        <v>18055</v>
      </c>
      <c r="B672" t="s">
        <v>33</v>
      </c>
      <c r="C672">
        <v>22</v>
      </c>
      <c r="D672" s="3">
        <f>in_parking_demand_data_ver1!D672*calibration!$I$31</f>
        <v>3.0885599073025785</v>
      </c>
      <c r="E672" s="3">
        <f>in_parking_demand_data_ver1!E672*calibration!$I$31</f>
        <v>2.5535337816281118</v>
      </c>
      <c r="F672" s="3">
        <f t="shared" si="10"/>
        <v>5.6420936889306903</v>
      </c>
      <c r="G672">
        <v>43</v>
      </c>
    </row>
    <row r="673" spans="1:7" x14ac:dyDescent="0.25">
      <c r="A673">
        <v>18055</v>
      </c>
      <c r="B673" t="s">
        <v>33</v>
      </c>
      <c r="C673">
        <v>23</v>
      </c>
      <c r="D673" s="3">
        <f>in_parking_demand_data_ver1!D673*calibration!$I$31</f>
        <v>3.1615180153490954</v>
      </c>
      <c r="E673" s="3">
        <f>in_parking_demand_data_ver1!E673*calibration!$I$31</f>
        <v>3.1371986460002561</v>
      </c>
      <c r="F673" s="3">
        <f t="shared" si="10"/>
        <v>6.298716661349351</v>
      </c>
      <c r="G673">
        <v>43</v>
      </c>
    </row>
    <row r="674" spans="1:7" x14ac:dyDescent="0.25">
      <c r="A674">
        <v>18057</v>
      </c>
      <c r="B674" t="s">
        <v>34</v>
      </c>
      <c r="C674">
        <v>0</v>
      </c>
      <c r="D674" s="3">
        <f>in_parking_demand_data_ver1!D674*calibration!$I$31</f>
        <v>9.8346214936308041</v>
      </c>
      <c r="E674" s="3">
        <f>in_parking_demand_data_ver1!E674*calibration!$I$31</f>
        <v>1.032363582204344</v>
      </c>
      <c r="F674" s="3">
        <f t="shared" si="10"/>
        <v>10.866985075835148</v>
      </c>
      <c r="G674">
        <v>40</v>
      </c>
    </row>
    <row r="675" spans="1:7" x14ac:dyDescent="0.25">
      <c r="A675">
        <v>18057</v>
      </c>
      <c r="B675" t="s">
        <v>34</v>
      </c>
      <c r="C675">
        <v>1</v>
      </c>
      <c r="D675" s="3">
        <f>in_parking_demand_data_ver1!D675*calibration!$I$31</f>
        <v>10.106296120526684</v>
      </c>
      <c r="E675" s="3">
        <f>in_parking_demand_data_ver1!E675*calibration!$I$31</f>
        <v>0.86935880606681604</v>
      </c>
      <c r="F675" s="3">
        <f t="shared" si="10"/>
        <v>10.975654926593499</v>
      </c>
      <c r="G675">
        <v>40</v>
      </c>
    </row>
    <row r="676" spans="1:7" x14ac:dyDescent="0.25">
      <c r="A676">
        <v>18057</v>
      </c>
      <c r="B676" t="s">
        <v>34</v>
      </c>
      <c r="C676">
        <v>2</v>
      </c>
      <c r="D676" s="3">
        <f>in_parking_demand_data_ver1!D676*calibration!$I$31</f>
        <v>10.432305672801775</v>
      </c>
      <c r="E676" s="3">
        <f>in_parking_demand_data_ver1!E676*calibration!$I$31</f>
        <v>1.3040382091002241</v>
      </c>
      <c r="F676" s="3">
        <f t="shared" si="10"/>
        <v>11.736343881901998</v>
      </c>
      <c r="G676">
        <v>40</v>
      </c>
    </row>
    <row r="677" spans="1:7" x14ac:dyDescent="0.25">
      <c r="A677">
        <v>18057</v>
      </c>
      <c r="B677" t="s">
        <v>34</v>
      </c>
      <c r="C677">
        <v>3</v>
      </c>
      <c r="D677" s="3">
        <f>in_parking_demand_data_ver1!D677*calibration!$I$31</f>
        <v>10.432305672801775</v>
      </c>
      <c r="E677" s="3">
        <f>in_parking_demand_data_ver1!E677*calibration!$I$31</f>
        <v>1.63004776137528</v>
      </c>
      <c r="F677" s="3">
        <f t="shared" si="10"/>
        <v>12.062353434177055</v>
      </c>
      <c r="G677">
        <v>40</v>
      </c>
    </row>
    <row r="678" spans="1:7" x14ac:dyDescent="0.25">
      <c r="A678">
        <v>18057</v>
      </c>
      <c r="B678" t="s">
        <v>34</v>
      </c>
      <c r="C678">
        <v>4</v>
      </c>
      <c r="D678" s="3">
        <f>in_parking_demand_data_ver1!D678*calibration!$I$31</f>
        <v>9.9976262697683485</v>
      </c>
      <c r="E678" s="3">
        <f>in_parking_demand_data_ver1!E678*calibration!$I$31</f>
        <v>1.847387462891984</v>
      </c>
      <c r="F678" s="3">
        <f t="shared" si="10"/>
        <v>11.845013732660332</v>
      </c>
      <c r="G678">
        <v>40</v>
      </c>
    </row>
    <row r="679" spans="1:7" x14ac:dyDescent="0.25">
      <c r="A679">
        <v>18057</v>
      </c>
      <c r="B679" t="s">
        <v>34</v>
      </c>
      <c r="C679">
        <v>5</v>
      </c>
      <c r="D679" s="3">
        <f>in_parking_demand_data_ver1!D679*calibration!$I$31</f>
        <v>10.051961195147559</v>
      </c>
      <c r="E679" s="3">
        <f>in_parking_demand_data_ver1!E679*calibration!$I$31</f>
        <v>1.3583731344794001</v>
      </c>
      <c r="F679" s="3">
        <f t="shared" si="10"/>
        <v>11.410334329626959</v>
      </c>
      <c r="G679">
        <v>40</v>
      </c>
    </row>
    <row r="680" spans="1:7" x14ac:dyDescent="0.25">
      <c r="A680">
        <v>18057</v>
      </c>
      <c r="B680" t="s">
        <v>34</v>
      </c>
      <c r="C680">
        <v>6</v>
      </c>
      <c r="D680" s="3">
        <f>in_parking_demand_data_ver1!D680*calibration!$I$31</f>
        <v>10.160631045905895</v>
      </c>
      <c r="E680" s="3">
        <f>in_parking_demand_data_ver1!E680*calibration!$I$31</f>
        <v>2.2277319405462159</v>
      </c>
      <c r="F680" s="3">
        <f t="shared" si="10"/>
        <v>12.38836298645211</v>
      </c>
      <c r="G680">
        <v>40</v>
      </c>
    </row>
    <row r="681" spans="1:7" x14ac:dyDescent="0.25">
      <c r="A681">
        <v>18057</v>
      </c>
      <c r="B681" t="s">
        <v>34</v>
      </c>
      <c r="C681">
        <v>7</v>
      </c>
      <c r="D681" s="3">
        <f>in_parking_demand_data_ver1!D681*calibration!$I$31</f>
        <v>9.2369373144599187</v>
      </c>
      <c r="E681" s="3">
        <f>in_parking_demand_data_ver1!E681*calibration!$I$31</f>
        <v>3.4774352242672641</v>
      </c>
      <c r="F681" s="3">
        <f t="shared" si="10"/>
        <v>12.714372538727183</v>
      </c>
      <c r="G681">
        <v>40</v>
      </c>
    </row>
    <row r="682" spans="1:7" x14ac:dyDescent="0.25">
      <c r="A682">
        <v>18057</v>
      </c>
      <c r="B682" t="s">
        <v>34</v>
      </c>
      <c r="C682">
        <v>8</v>
      </c>
      <c r="D682" s="3">
        <f>in_parking_demand_data_ver1!D682*calibration!$I$31</f>
        <v>6.6831958216386562</v>
      </c>
      <c r="E682" s="3">
        <f>in_parking_demand_data_ver1!E682*calibration!$I$31</f>
        <v>9.3999420905973796</v>
      </c>
      <c r="F682" s="3">
        <f t="shared" si="10"/>
        <v>16.083137912236037</v>
      </c>
      <c r="G682">
        <v>40</v>
      </c>
    </row>
    <row r="683" spans="1:7" x14ac:dyDescent="0.25">
      <c r="A683">
        <v>18057</v>
      </c>
      <c r="B683" t="s">
        <v>34</v>
      </c>
      <c r="C683">
        <v>9</v>
      </c>
      <c r="D683" s="3">
        <f>in_parking_demand_data_ver1!D683*calibration!$I$31</f>
        <v>4.998813134884192</v>
      </c>
      <c r="E683" s="3">
        <f>in_parking_demand_data_ver1!E683*calibration!$I$31</f>
        <v>13.203386867139786</v>
      </c>
      <c r="F683" s="3">
        <f t="shared" si="10"/>
        <v>18.202200002023979</v>
      </c>
      <c r="G683">
        <v>40</v>
      </c>
    </row>
    <row r="684" spans="1:7" x14ac:dyDescent="0.25">
      <c r="A684">
        <v>18057</v>
      </c>
      <c r="B684" t="s">
        <v>34</v>
      </c>
      <c r="C684">
        <v>10</v>
      </c>
      <c r="D684" s="3">
        <f>in_parking_demand_data_ver1!D684*calibration!$I$31</f>
        <v>3.8577797019214954</v>
      </c>
      <c r="E684" s="3">
        <f>in_parking_demand_data_ver1!E684*calibration!$I$31</f>
        <v>13.420726568656455</v>
      </c>
      <c r="F684" s="3">
        <f t="shared" si="10"/>
        <v>17.27850627057795</v>
      </c>
      <c r="G684">
        <v>40</v>
      </c>
    </row>
    <row r="685" spans="1:7" x14ac:dyDescent="0.25">
      <c r="A685">
        <v>18057</v>
      </c>
      <c r="B685" t="s">
        <v>34</v>
      </c>
      <c r="C685">
        <v>11</v>
      </c>
      <c r="D685" s="3">
        <f>in_parking_demand_data_ver1!D685*calibration!$I$31</f>
        <v>2.9340859704755036</v>
      </c>
      <c r="E685" s="3">
        <f>in_parking_demand_data_ver1!E685*calibration!$I$31</f>
        <v>12.279693135693725</v>
      </c>
      <c r="F685" s="3">
        <f t="shared" si="10"/>
        <v>15.213779106169229</v>
      </c>
      <c r="G685">
        <v>40</v>
      </c>
    </row>
    <row r="686" spans="1:7" x14ac:dyDescent="0.25">
      <c r="A686">
        <v>18057</v>
      </c>
      <c r="B686" t="s">
        <v>34</v>
      </c>
      <c r="C686">
        <v>12</v>
      </c>
      <c r="D686" s="3">
        <f>in_parking_demand_data_ver1!D686*calibration!$I$31</f>
        <v>2.8797510450963277</v>
      </c>
      <c r="E686" s="3">
        <f>in_parking_demand_data_ver1!E686*calibration!$I$31</f>
        <v>12.93171224024382</v>
      </c>
      <c r="F686" s="3">
        <f t="shared" si="10"/>
        <v>15.811463285340148</v>
      </c>
      <c r="G686">
        <v>40</v>
      </c>
    </row>
    <row r="687" spans="1:7" x14ac:dyDescent="0.25">
      <c r="A687">
        <v>18057</v>
      </c>
      <c r="B687" t="s">
        <v>34</v>
      </c>
      <c r="C687">
        <v>13</v>
      </c>
      <c r="D687" s="3">
        <f>in_parking_demand_data_ver1!D687*calibration!$I$31</f>
        <v>2.4450716420629202</v>
      </c>
      <c r="E687" s="3">
        <f>in_parking_demand_data_ver1!E687*calibration!$I$31</f>
        <v>11.02998985197266</v>
      </c>
      <c r="F687" s="3">
        <f t="shared" si="10"/>
        <v>13.475061494035581</v>
      </c>
      <c r="G687">
        <v>40</v>
      </c>
    </row>
    <row r="688" spans="1:7" x14ac:dyDescent="0.25">
      <c r="A688">
        <v>18057</v>
      </c>
      <c r="B688" t="s">
        <v>34</v>
      </c>
      <c r="C688">
        <v>14</v>
      </c>
      <c r="D688" s="3">
        <f>in_parking_demand_data_ver1!D688*calibration!$I$31</f>
        <v>2.6080764182004481</v>
      </c>
      <c r="E688" s="3">
        <f>in_parking_demand_data_ver1!E688*calibration!$I$31</f>
        <v>11.02998985197266</v>
      </c>
      <c r="F688" s="3">
        <f t="shared" si="10"/>
        <v>13.638066270173109</v>
      </c>
      <c r="G688">
        <v>40</v>
      </c>
    </row>
    <row r="689" spans="1:7" x14ac:dyDescent="0.25">
      <c r="A689">
        <v>18057</v>
      </c>
      <c r="B689" t="s">
        <v>34</v>
      </c>
      <c r="C689">
        <v>15</v>
      </c>
      <c r="D689" s="3">
        <f>in_parking_demand_data_ver1!D689*calibration!$I$31</f>
        <v>2.4450716420629202</v>
      </c>
      <c r="E689" s="3">
        <f>in_parking_demand_data_ver1!E689*calibration!$I$31</f>
        <v>6.6831958216386562</v>
      </c>
      <c r="F689" s="3">
        <f t="shared" si="10"/>
        <v>9.1282674637015759</v>
      </c>
      <c r="G689">
        <v>40</v>
      </c>
    </row>
    <row r="690" spans="1:7" x14ac:dyDescent="0.25">
      <c r="A690">
        <v>18057</v>
      </c>
      <c r="B690" t="s">
        <v>34</v>
      </c>
      <c r="C690">
        <v>16</v>
      </c>
      <c r="D690" s="3">
        <f>in_parking_demand_data_ver1!D690*calibration!$I$31</f>
        <v>3.2057605973713841</v>
      </c>
      <c r="E690" s="3">
        <f>in_parking_demand_data_ver1!E690*calibration!$I$31</f>
        <v>1.7387176121336321</v>
      </c>
      <c r="F690" s="3">
        <f t="shared" si="10"/>
        <v>4.9444782095050162</v>
      </c>
      <c r="G690">
        <v>40</v>
      </c>
    </row>
    <row r="691" spans="1:7" x14ac:dyDescent="0.25">
      <c r="A691">
        <v>18057</v>
      </c>
      <c r="B691" t="s">
        <v>34</v>
      </c>
      <c r="C691">
        <v>17</v>
      </c>
      <c r="D691" s="3">
        <f>in_parking_demand_data_ver1!D691*calibration!$I$31</f>
        <v>3.1514256719922078</v>
      </c>
      <c r="E691" s="3">
        <f>in_parking_demand_data_ver1!E691*calibration!$I$31</f>
        <v>0.76068895530846481</v>
      </c>
      <c r="F691" s="3">
        <f t="shared" si="10"/>
        <v>3.9121146273006726</v>
      </c>
      <c r="G691">
        <v>40</v>
      </c>
    </row>
    <row r="692" spans="1:7" x14ac:dyDescent="0.25">
      <c r="A692">
        <v>18057</v>
      </c>
      <c r="B692" t="s">
        <v>34</v>
      </c>
      <c r="C692">
        <v>18</v>
      </c>
      <c r="D692" s="3">
        <f>in_parking_demand_data_ver1!D692*calibration!$I$31</f>
        <v>3.7491098511631438</v>
      </c>
      <c r="E692" s="3">
        <f>in_parking_demand_data_ver1!E692*calibration!$I$31</f>
        <v>0.59768417917093597</v>
      </c>
      <c r="F692" s="3">
        <f t="shared" si="10"/>
        <v>4.3467940303340793</v>
      </c>
      <c r="G692">
        <v>40</v>
      </c>
    </row>
    <row r="693" spans="1:7" x14ac:dyDescent="0.25">
      <c r="A693">
        <v>18057</v>
      </c>
      <c r="B693" t="s">
        <v>34</v>
      </c>
      <c r="C693">
        <v>19</v>
      </c>
      <c r="D693" s="3">
        <f>in_parking_demand_data_ver1!D693*calibration!$I$31</f>
        <v>4.9444782095050162</v>
      </c>
      <c r="E693" s="3">
        <f>in_parking_demand_data_ver1!E693*calibration!$I$31</f>
        <v>0.76068895530846481</v>
      </c>
      <c r="F693" s="3">
        <f t="shared" si="10"/>
        <v>5.7051671648134814</v>
      </c>
      <c r="G693">
        <v>40</v>
      </c>
    </row>
    <row r="694" spans="1:7" x14ac:dyDescent="0.25">
      <c r="A694">
        <v>18057</v>
      </c>
      <c r="B694" t="s">
        <v>34</v>
      </c>
      <c r="C694">
        <v>20</v>
      </c>
      <c r="D694" s="3">
        <f>in_parking_demand_data_ver1!D694*calibration!$I$31</f>
        <v>5.9768417917093597</v>
      </c>
      <c r="E694" s="3">
        <f>in_parking_demand_data_ver1!E694*calibration!$I$31</f>
        <v>0.54334925379175991</v>
      </c>
      <c r="F694" s="3">
        <f t="shared" si="10"/>
        <v>6.5201910455011198</v>
      </c>
      <c r="G694">
        <v>40</v>
      </c>
    </row>
    <row r="695" spans="1:7" x14ac:dyDescent="0.25">
      <c r="A695">
        <v>18057</v>
      </c>
      <c r="B695" t="s">
        <v>34</v>
      </c>
      <c r="C695">
        <v>21</v>
      </c>
      <c r="D695" s="3">
        <f>in_parking_demand_data_ver1!D695*calibration!$I$31</f>
        <v>7.6612244784638239</v>
      </c>
      <c r="E695" s="3">
        <f>in_parking_demand_data_ver1!E695*calibration!$I$31</f>
        <v>0.65201910455011203</v>
      </c>
      <c r="F695" s="3">
        <f t="shared" si="10"/>
        <v>8.3132435830139357</v>
      </c>
      <c r="G695">
        <v>40</v>
      </c>
    </row>
    <row r="696" spans="1:7" x14ac:dyDescent="0.25">
      <c r="A696">
        <v>18057</v>
      </c>
      <c r="B696" t="s">
        <v>34</v>
      </c>
      <c r="C696">
        <v>22</v>
      </c>
      <c r="D696" s="3">
        <f>in_parking_demand_data_ver1!D696*calibration!$I$31</f>
        <v>8.7479229860472856</v>
      </c>
      <c r="E696" s="3">
        <f>in_parking_demand_data_ver1!E696*calibration!$I$31</f>
        <v>0.65201910455011203</v>
      </c>
      <c r="F696" s="3">
        <f t="shared" si="10"/>
        <v>9.3999420905973974</v>
      </c>
      <c r="G696">
        <v>40</v>
      </c>
    </row>
    <row r="697" spans="1:7" x14ac:dyDescent="0.25">
      <c r="A697">
        <v>18057</v>
      </c>
      <c r="B697" t="s">
        <v>34</v>
      </c>
      <c r="C697">
        <v>23</v>
      </c>
      <c r="D697" s="3">
        <f>in_parking_demand_data_ver1!D697*calibration!$I$31</f>
        <v>9.2369373144599187</v>
      </c>
      <c r="E697" s="3">
        <f>in_parking_demand_data_ver1!E697*calibration!$I$31</f>
        <v>0.65201910455011203</v>
      </c>
      <c r="F697" s="3">
        <f t="shared" si="10"/>
        <v>9.8889564190100305</v>
      </c>
      <c r="G697">
        <v>40</v>
      </c>
    </row>
    <row r="698" spans="1:7" x14ac:dyDescent="0.25">
      <c r="A698">
        <v>18059</v>
      </c>
      <c r="B698" t="s">
        <v>35</v>
      </c>
      <c r="C698">
        <v>0</v>
      </c>
      <c r="D698" s="3">
        <f>in_parking_demand_data_ver1!D698*calibration!$I$31</f>
        <v>310.3974035272451</v>
      </c>
      <c r="E698" s="3">
        <f>in_parking_demand_data_ver1!E698*calibration!$I$31</f>
        <v>22.651624954998965</v>
      </c>
      <c r="F698" s="3">
        <f t="shared" si="10"/>
        <v>333.04902848224407</v>
      </c>
      <c r="G698">
        <v>540</v>
      </c>
    </row>
    <row r="699" spans="1:7" x14ac:dyDescent="0.25">
      <c r="A699">
        <v>18059</v>
      </c>
      <c r="B699" t="s">
        <v>35</v>
      </c>
      <c r="C699">
        <v>1</v>
      </c>
      <c r="D699" s="3">
        <f>in_parking_demand_data_ver1!D699*calibration!$I$31</f>
        <v>318.27802350248135</v>
      </c>
      <c r="E699" s="3">
        <f>in_parking_demand_data_ver1!E699*calibration!$I$31</f>
        <v>25.911148400253897</v>
      </c>
      <c r="F699" s="3">
        <f t="shared" si="10"/>
        <v>344.18917190273527</v>
      </c>
      <c r="G699">
        <v>540</v>
      </c>
    </row>
    <row r="700" spans="1:7" x14ac:dyDescent="0.25">
      <c r="A700">
        <v>18059</v>
      </c>
      <c r="B700" t="s">
        <v>35</v>
      </c>
      <c r="C700">
        <v>2</v>
      </c>
      <c r="D700" s="3">
        <f>in_parking_demand_data_ver1!D700*calibration!$I$31</f>
        <v>321.08368925282718</v>
      </c>
      <c r="E700" s="3">
        <f>in_parking_demand_data_ver1!E700*calibration!$I$31</f>
        <v>27.80909876078201</v>
      </c>
      <c r="F700" s="3">
        <f t="shared" si="10"/>
        <v>348.89278801360922</v>
      </c>
      <c r="G700">
        <v>540</v>
      </c>
    </row>
    <row r="701" spans="1:7" x14ac:dyDescent="0.25">
      <c r="A701">
        <v>18059</v>
      </c>
      <c r="B701" t="s">
        <v>35</v>
      </c>
      <c r="C701">
        <v>3</v>
      </c>
      <c r="D701" s="3">
        <f>in_parking_demand_data_ver1!D701*calibration!$I$31</f>
        <v>320.62983155791881</v>
      </c>
      <c r="E701" s="3">
        <f>in_parking_demand_data_ver1!E701*calibration!$I$31</f>
        <v>27.479020437211936</v>
      </c>
      <c r="F701" s="3">
        <f t="shared" si="10"/>
        <v>348.10885199513075</v>
      </c>
      <c r="G701">
        <v>540</v>
      </c>
    </row>
    <row r="702" spans="1:7" x14ac:dyDescent="0.25">
      <c r="A702">
        <v>18059</v>
      </c>
      <c r="B702" t="s">
        <v>35</v>
      </c>
      <c r="C702">
        <v>4</v>
      </c>
      <c r="D702" s="3">
        <f>in_parking_demand_data_ver1!D702*calibration!$I$31</f>
        <v>313.57440739160728</v>
      </c>
      <c r="E702" s="3">
        <f>in_parking_demand_data_ver1!E702*calibration!$I$31</f>
        <v>26.860123580517907</v>
      </c>
      <c r="F702" s="3">
        <f t="shared" si="10"/>
        <v>340.43453097212517</v>
      </c>
      <c r="G702">
        <v>540</v>
      </c>
    </row>
    <row r="703" spans="1:7" x14ac:dyDescent="0.25">
      <c r="A703">
        <v>18059</v>
      </c>
      <c r="B703" t="s">
        <v>35</v>
      </c>
      <c r="C703">
        <v>5</v>
      </c>
      <c r="D703" s="3">
        <f>in_parking_demand_data_ver1!D703*calibration!$I$31</f>
        <v>300.57757340103421</v>
      </c>
      <c r="E703" s="3">
        <f>in_parking_demand_data_ver1!E703*calibration!$I$31</f>
        <v>25.62232986713002</v>
      </c>
      <c r="F703" s="3">
        <f t="shared" si="10"/>
        <v>326.19990326816423</v>
      </c>
      <c r="G703">
        <v>540</v>
      </c>
    </row>
    <row r="704" spans="1:7" x14ac:dyDescent="0.25">
      <c r="A704">
        <v>18059</v>
      </c>
      <c r="B704" t="s">
        <v>35</v>
      </c>
      <c r="C704">
        <v>6</v>
      </c>
      <c r="D704" s="3">
        <f>in_parking_demand_data_ver1!D704*calibration!$I$31</f>
        <v>276.81193410398612</v>
      </c>
      <c r="E704" s="3">
        <f>in_parking_demand_data_ver1!E704*calibration!$I$31</f>
        <v>26.323746304716526</v>
      </c>
      <c r="F704" s="3">
        <f t="shared" si="10"/>
        <v>303.13568040870263</v>
      </c>
      <c r="G704">
        <v>540</v>
      </c>
    </row>
    <row r="705" spans="1:7" x14ac:dyDescent="0.25">
      <c r="A705">
        <v>18059</v>
      </c>
      <c r="B705" t="s">
        <v>35</v>
      </c>
      <c r="C705">
        <v>7</v>
      </c>
      <c r="D705" s="3">
        <f>in_parking_demand_data_ver1!D705*calibration!$I$31</f>
        <v>244.2992192323297</v>
      </c>
      <c r="E705" s="3">
        <f>in_parking_demand_data_ver1!E705*calibration!$I$31</f>
        <v>23.105482649907874</v>
      </c>
      <c r="F705" s="3">
        <f t="shared" si="10"/>
        <v>267.40470188223759</v>
      </c>
      <c r="G705">
        <v>540</v>
      </c>
    </row>
    <row r="706" spans="1:7" x14ac:dyDescent="0.25">
      <c r="A706">
        <v>18059</v>
      </c>
      <c r="B706" t="s">
        <v>35</v>
      </c>
      <c r="C706">
        <v>8</v>
      </c>
      <c r="D706" s="3">
        <f>in_parking_demand_data_ver1!D706*calibration!$I$31</f>
        <v>194.49865216368894</v>
      </c>
      <c r="E706" s="3">
        <f>in_parking_demand_data_ver1!E706*calibration!$I$31</f>
        <v>19.062023186174049</v>
      </c>
      <c r="F706" s="3">
        <f t="shared" si="10"/>
        <v>213.560675349863</v>
      </c>
      <c r="G706">
        <v>540</v>
      </c>
    </row>
    <row r="707" spans="1:7" x14ac:dyDescent="0.25">
      <c r="A707">
        <v>18059</v>
      </c>
      <c r="B707" t="s">
        <v>35</v>
      </c>
      <c r="C707">
        <v>9</v>
      </c>
      <c r="D707" s="3">
        <f>in_parking_demand_data_ver1!D707*calibration!$I$31</f>
        <v>156.78720369580364</v>
      </c>
      <c r="E707" s="3">
        <f>in_parking_demand_data_ver1!E707*calibration!$I$31</f>
        <v>15.76123995047284</v>
      </c>
      <c r="F707" s="3">
        <f t="shared" ref="F707:F770" si="11">SUM(D707:E707)</f>
        <v>172.54844364627647</v>
      </c>
      <c r="G707">
        <v>540</v>
      </c>
    </row>
    <row r="708" spans="1:7" x14ac:dyDescent="0.25">
      <c r="A708">
        <v>18059</v>
      </c>
      <c r="B708" t="s">
        <v>35</v>
      </c>
      <c r="C708">
        <v>10</v>
      </c>
      <c r="D708" s="3">
        <f>in_parking_demand_data_ver1!D708*calibration!$I$31</f>
        <v>129.76204095350045</v>
      </c>
      <c r="E708" s="3">
        <f>in_parking_demand_data_ver1!E708*calibration!$I$31</f>
        <v>13.491951475928374</v>
      </c>
      <c r="F708" s="3">
        <f t="shared" si="11"/>
        <v>143.25399242942882</v>
      </c>
      <c r="G708">
        <v>540</v>
      </c>
    </row>
    <row r="709" spans="1:7" x14ac:dyDescent="0.25">
      <c r="A709">
        <v>18059</v>
      </c>
      <c r="B709" t="s">
        <v>35</v>
      </c>
      <c r="C709">
        <v>11</v>
      </c>
      <c r="D709" s="3">
        <f>in_parking_demand_data_ver1!D709*calibration!$I$31</f>
        <v>120.68488705532224</v>
      </c>
      <c r="E709" s="3">
        <f>in_parking_demand_data_ver1!E709*calibration!$I$31</f>
        <v>10.47998677335104</v>
      </c>
      <c r="F709" s="3">
        <f t="shared" si="11"/>
        <v>131.16487382867328</v>
      </c>
      <c r="G709">
        <v>540</v>
      </c>
    </row>
    <row r="710" spans="1:7" x14ac:dyDescent="0.25">
      <c r="A710">
        <v>18059</v>
      </c>
      <c r="B710" t="s">
        <v>35</v>
      </c>
      <c r="C710">
        <v>12</v>
      </c>
      <c r="D710" s="3">
        <f>in_parking_demand_data_ver1!D710*calibration!$I$31</f>
        <v>116.22882968712605</v>
      </c>
      <c r="E710" s="3">
        <f>in_parking_demand_data_ver1!E710*calibration!$I$31</f>
        <v>7.7981003943439271</v>
      </c>
      <c r="F710" s="3">
        <f t="shared" si="11"/>
        <v>124.02693008146998</v>
      </c>
      <c r="G710">
        <v>540</v>
      </c>
    </row>
    <row r="711" spans="1:7" x14ac:dyDescent="0.25">
      <c r="A711">
        <v>18059</v>
      </c>
      <c r="B711" t="s">
        <v>35</v>
      </c>
      <c r="C711">
        <v>13</v>
      </c>
      <c r="D711" s="3">
        <f>in_parking_demand_data_ver1!D711*calibration!$I$31</f>
        <v>113.0105660323174</v>
      </c>
      <c r="E711" s="3">
        <f>in_parking_demand_data_ver1!E711*calibration!$I$31</f>
        <v>4.4147975777502593</v>
      </c>
      <c r="F711" s="3">
        <f t="shared" si="11"/>
        <v>117.42536361006766</v>
      </c>
      <c r="G711">
        <v>540</v>
      </c>
    </row>
    <row r="712" spans="1:7" x14ac:dyDescent="0.25">
      <c r="A712">
        <v>18059</v>
      </c>
      <c r="B712" t="s">
        <v>35</v>
      </c>
      <c r="C712">
        <v>14</v>
      </c>
      <c r="D712" s="3">
        <f>in_parking_demand_data_ver1!D712*calibration!$I$31</f>
        <v>113.71198246990365</v>
      </c>
      <c r="E712" s="3">
        <f>in_parking_demand_data_ver1!E712*calibration!$I$31</f>
        <v>5.9826696147083052</v>
      </c>
      <c r="F712" s="3">
        <f t="shared" si="11"/>
        <v>119.69465208461195</v>
      </c>
      <c r="G712">
        <v>540</v>
      </c>
    </row>
    <row r="713" spans="1:7" x14ac:dyDescent="0.25">
      <c r="A713">
        <v>18059</v>
      </c>
      <c r="B713" t="s">
        <v>35</v>
      </c>
      <c r="C713">
        <v>15</v>
      </c>
      <c r="D713" s="3">
        <f>in_parking_demand_data_ver1!D713*calibration!$I$31</f>
        <v>119.1582748088104</v>
      </c>
      <c r="E713" s="3">
        <f>in_parking_demand_data_ver1!E713*calibration!$I$31</f>
        <v>5.9414098242620419</v>
      </c>
      <c r="F713" s="3">
        <f t="shared" si="11"/>
        <v>125.09968463307244</v>
      </c>
      <c r="G713">
        <v>540</v>
      </c>
    </row>
    <row r="714" spans="1:7" x14ac:dyDescent="0.25">
      <c r="A714">
        <v>18059</v>
      </c>
      <c r="B714" t="s">
        <v>35</v>
      </c>
      <c r="C714">
        <v>16</v>
      </c>
      <c r="D714" s="3">
        <f>in_parking_demand_data_ver1!D714*calibration!$I$31</f>
        <v>129.06062451591421</v>
      </c>
      <c r="E714" s="3">
        <f>in_parking_demand_data_ver1!E714*calibration!$I$31</f>
        <v>5.9001500338157795</v>
      </c>
      <c r="F714" s="3">
        <f t="shared" si="11"/>
        <v>134.96077454972999</v>
      </c>
      <c r="G714">
        <v>540</v>
      </c>
    </row>
    <row r="715" spans="1:7" x14ac:dyDescent="0.25">
      <c r="A715">
        <v>18059</v>
      </c>
      <c r="B715" t="s">
        <v>35</v>
      </c>
      <c r="C715">
        <v>17</v>
      </c>
      <c r="D715" s="3">
        <f>in_parking_demand_data_ver1!D715*calibration!$I$31</f>
        <v>147.66879000717898</v>
      </c>
      <c r="E715" s="3">
        <f>in_parking_demand_data_ver1!E715*calibration!$I$31</f>
        <v>6.519046890509741</v>
      </c>
      <c r="F715" s="3">
        <f t="shared" si="11"/>
        <v>154.18783689768873</v>
      </c>
      <c r="G715">
        <v>540</v>
      </c>
    </row>
    <row r="716" spans="1:7" x14ac:dyDescent="0.25">
      <c r="A716">
        <v>18059</v>
      </c>
      <c r="B716" t="s">
        <v>35</v>
      </c>
      <c r="C716">
        <v>18</v>
      </c>
      <c r="D716" s="3">
        <f>in_parking_demand_data_ver1!D716*calibration!$I$31</f>
        <v>168.38120481120339</v>
      </c>
      <c r="E716" s="3">
        <f>in_parking_demand_data_ver1!E716*calibration!$I$31</f>
        <v>5.9414098242620419</v>
      </c>
      <c r="F716" s="3">
        <f t="shared" si="11"/>
        <v>174.32261463546544</v>
      </c>
      <c r="G716">
        <v>540</v>
      </c>
    </row>
    <row r="717" spans="1:7" x14ac:dyDescent="0.25">
      <c r="A717">
        <v>18059</v>
      </c>
      <c r="B717" t="s">
        <v>35</v>
      </c>
      <c r="C717">
        <v>19</v>
      </c>
      <c r="D717" s="3">
        <f>in_parking_demand_data_ver1!D717*calibration!$I$31</f>
        <v>194.00353467833409</v>
      </c>
      <c r="E717" s="3">
        <f>in_parking_demand_data_ver1!E717*calibration!$I$31</f>
        <v>6.3540077287246799</v>
      </c>
      <c r="F717" s="3">
        <f t="shared" si="11"/>
        <v>200.35754240705876</v>
      </c>
      <c r="G717">
        <v>540</v>
      </c>
    </row>
    <row r="718" spans="1:7" x14ac:dyDescent="0.25">
      <c r="A718">
        <v>18059</v>
      </c>
      <c r="B718" t="s">
        <v>35</v>
      </c>
      <c r="C718">
        <v>20</v>
      </c>
      <c r="D718" s="3">
        <f>in_parking_demand_data_ver1!D718*calibration!$I$31</f>
        <v>224.61829918946145</v>
      </c>
      <c r="E718" s="3">
        <f>in_parking_demand_data_ver1!E718*calibration!$I$31</f>
        <v>8.5820364128229247</v>
      </c>
      <c r="F718" s="3">
        <f t="shared" si="11"/>
        <v>233.20033560228438</v>
      </c>
      <c r="G718">
        <v>540</v>
      </c>
    </row>
    <row r="719" spans="1:7" x14ac:dyDescent="0.25">
      <c r="A719">
        <v>18059</v>
      </c>
      <c r="B719" t="s">
        <v>35</v>
      </c>
      <c r="C719">
        <v>21</v>
      </c>
      <c r="D719" s="3">
        <f>in_parking_demand_data_ver1!D719*calibration!$I$31</f>
        <v>256.01699971906879</v>
      </c>
      <c r="E719" s="3">
        <f>in_parking_demand_data_ver1!E719*calibration!$I$31</f>
        <v>11.140143420491265</v>
      </c>
      <c r="F719" s="3">
        <f t="shared" si="11"/>
        <v>267.15714313956005</v>
      </c>
      <c r="G719">
        <v>540</v>
      </c>
    </row>
    <row r="720" spans="1:7" x14ac:dyDescent="0.25">
      <c r="A720">
        <v>18059</v>
      </c>
      <c r="B720" t="s">
        <v>35</v>
      </c>
      <c r="C720">
        <v>22</v>
      </c>
      <c r="D720" s="3">
        <f>in_parking_demand_data_ver1!D720*calibration!$I$31</f>
        <v>279.6175998543319</v>
      </c>
      <c r="E720" s="3">
        <f>in_parking_demand_data_ver1!E720*calibration!$I$31</f>
        <v>14.977303931993859</v>
      </c>
      <c r="F720" s="3">
        <f t="shared" si="11"/>
        <v>294.59490378632574</v>
      </c>
      <c r="G720">
        <v>540</v>
      </c>
    </row>
    <row r="721" spans="1:7" x14ac:dyDescent="0.25">
      <c r="A721">
        <v>18059</v>
      </c>
      <c r="B721" t="s">
        <v>35</v>
      </c>
      <c r="C721">
        <v>23</v>
      </c>
      <c r="D721" s="3">
        <f>in_parking_demand_data_ver1!D721*calibration!$I$31</f>
        <v>297.35930974622551</v>
      </c>
      <c r="E721" s="3">
        <f>in_parking_demand_data_ver1!E721*calibration!$I$31</f>
        <v>19.35084171929784</v>
      </c>
      <c r="F721" s="3">
        <f t="shared" si="11"/>
        <v>316.71015146552332</v>
      </c>
      <c r="G721">
        <v>540</v>
      </c>
    </row>
    <row r="722" spans="1:7" x14ac:dyDescent="0.25">
      <c r="A722">
        <v>18061</v>
      </c>
      <c r="B722" t="s">
        <v>36</v>
      </c>
      <c r="C722">
        <v>0</v>
      </c>
      <c r="D722" s="3">
        <f>in_parking_demand_data_ver1!D722*calibration!$I$31</f>
        <v>0</v>
      </c>
      <c r="E722" s="3">
        <f>in_parking_demand_data_ver1!E722*calibration!$I$31</f>
        <v>2.4255806281039005</v>
      </c>
      <c r="F722" s="3">
        <f t="shared" si="11"/>
        <v>2.4255806281039005</v>
      </c>
      <c r="G722">
        <v>0</v>
      </c>
    </row>
    <row r="723" spans="1:7" x14ac:dyDescent="0.25">
      <c r="A723">
        <v>18061</v>
      </c>
      <c r="B723" t="s">
        <v>36</v>
      </c>
      <c r="C723">
        <v>1</v>
      </c>
      <c r="D723" s="3">
        <f>in_parking_demand_data_ver1!D723*calibration!$I$31</f>
        <v>0</v>
      </c>
      <c r="E723" s="3">
        <f>in_parking_demand_data_ver1!E723*calibration!$I$31</f>
        <v>2.8760456018946252</v>
      </c>
      <c r="F723" s="3">
        <f t="shared" si="11"/>
        <v>2.8760456018946252</v>
      </c>
      <c r="G723">
        <v>0</v>
      </c>
    </row>
    <row r="724" spans="1:7" x14ac:dyDescent="0.25">
      <c r="A724">
        <v>18061</v>
      </c>
      <c r="B724" t="s">
        <v>36</v>
      </c>
      <c r="C724">
        <v>2</v>
      </c>
      <c r="D724" s="3">
        <f>in_parking_demand_data_ver1!D724*calibration!$I$31</f>
        <v>0</v>
      </c>
      <c r="E724" s="3">
        <f>in_parking_demand_data_ver1!E724*calibration!$I$31</f>
        <v>3.0493013610449111</v>
      </c>
      <c r="F724" s="3">
        <f t="shared" si="11"/>
        <v>3.0493013610449111</v>
      </c>
      <c r="G724">
        <v>0</v>
      </c>
    </row>
    <row r="725" spans="1:7" x14ac:dyDescent="0.25">
      <c r="A725">
        <v>18061</v>
      </c>
      <c r="B725" t="s">
        <v>36</v>
      </c>
      <c r="C725">
        <v>3</v>
      </c>
      <c r="D725" s="3">
        <f>in_parking_demand_data_ver1!D725*calibration!$I$31</f>
        <v>0</v>
      </c>
      <c r="E725" s="3">
        <f>in_parking_demand_data_ver1!E725*calibration!$I$31</f>
        <v>3.118603664705021</v>
      </c>
      <c r="F725" s="3">
        <f t="shared" si="11"/>
        <v>3.118603664705021</v>
      </c>
      <c r="G725">
        <v>0</v>
      </c>
    </row>
    <row r="726" spans="1:7" x14ac:dyDescent="0.25">
      <c r="A726">
        <v>18061</v>
      </c>
      <c r="B726" t="s">
        <v>36</v>
      </c>
      <c r="C726">
        <v>4</v>
      </c>
      <c r="D726" s="3">
        <f>in_parking_demand_data_ver1!D726*calibration!$I$31</f>
        <v>0</v>
      </c>
      <c r="E726" s="3">
        <f>in_parking_demand_data_ver1!E726*calibration!$I$31</f>
        <v>2.9453479055547427</v>
      </c>
      <c r="F726" s="3">
        <f t="shared" si="11"/>
        <v>2.9453479055547427</v>
      </c>
      <c r="G726">
        <v>0</v>
      </c>
    </row>
    <row r="727" spans="1:7" x14ac:dyDescent="0.25">
      <c r="A727">
        <v>18061</v>
      </c>
      <c r="B727" t="s">
        <v>36</v>
      </c>
      <c r="C727">
        <v>5</v>
      </c>
      <c r="D727" s="3">
        <f>in_parking_demand_data_ver1!D727*calibration!$I$31</f>
        <v>0</v>
      </c>
      <c r="E727" s="3">
        <f>in_parking_demand_data_ver1!E727*calibration!$I$31</f>
        <v>4.7125566488875821</v>
      </c>
      <c r="F727" s="3">
        <f t="shared" si="11"/>
        <v>4.7125566488875821</v>
      </c>
      <c r="G727">
        <v>0</v>
      </c>
    </row>
    <row r="728" spans="1:7" x14ac:dyDescent="0.25">
      <c r="A728">
        <v>18061</v>
      </c>
      <c r="B728" t="s">
        <v>36</v>
      </c>
      <c r="C728">
        <v>6</v>
      </c>
      <c r="D728" s="3">
        <f>in_parking_demand_data_ver1!D728*calibration!$I$31</f>
        <v>0</v>
      </c>
      <c r="E728" s="3">
        <f>in_parking_demand_data_ver1!E728*calibration!$I$31</f>
        <v>5.9599981147695953</v>
      </c>
      <c r="F728" s="3">
        <f t="shared" si="11"/>
        <v>5.9599981147695953</v>
      </c>
      <c r="G728">
        <v>0</v>
      </c>
    </row>
    <row r="729" spans="1:7" x14ac:dyDescent="0.25">
      <c r="A729">
        <v>18061</v>
      </c>
      <c r="B729" t="s">
        <v>36</v>
      </c>
      <c r="C729">
        <v>7</v>
      </c>
      <c r="D729" s="3">
        <f>in_parking_demand_data_ver1!D729*calibration!$I$31</f>
        <v>0</v>
      </c>
      <c r="E729" s="3">
        <f>in_parking_demand_data_ver1!E729*calibration!$I$31</f>
        <v>5.2323239263384247</v>
      </c>
      <c r="F729" s="3">
        <f t="shared" si="11"/>
        <v>5.2323239263384247</v>
      </c>
      <c r="G729">
        <v>0</v>
      </c>
    </row>
    <row r="730" spans="1:7" x14ac:dyDescent="0.25">
      <c r="A730">
        <v>18061</v>
      </c>
      <c r="B730" t="s">
        <v>36</v>
      </c>
      <c r="C730">
        <v>8</v>
      </c>
      <c r="D730" s="3">
        <f>in_parking_demand_data_ver1!D730*calibration!$I$31</f>
        <v>0</v>
      </c>
      <c r="E730" s="3">
        <f>in_parking_demand_data_ver1!E730*calibration!$I$31</f>
        <v>5.4748819891488116</v>
      </c>
      <c r="F730" s="3">
        <f t="shared" si="11"/>
        <v>5.4748819891488116</v>
      </c>
      <c r="G730">
        <v>0</v>
      </c>
    </row>
    <row r="731" spans="1:7" x14ac:dyDescent="0.25">
      <c r="A731">
        <v>18061</v>
      </c>
      <c r="B731" t="s">
        <v>36</v>
      </c>
      <c r="C731">
        <v>9</v>
      </c>
      <c r="D731" s="3">
        <f>in_parking_demand_data_ver1!D731*calibration!$I$31</f>
        <v>0</v>
      </c>
      <c r="E731" s="3">
        <f>in_parking_demand_data_ver1!E731*calibration!$I$31</f>
        <v>4.1927893714367475</v>
      </c>
      <c r="F731" s="3">
        <f t="shared" si="11"/>
        <v>4.1927893714367475</v>
      </c>
      <c r="G731">
        <v>0</v>
      </c>
    </row>
    <row r="732" spans="1:7" x14ac:dyDescent="0.25">
      <c r="A732">
        <v>18061</v>
      </c>
      <c r="B732" t="s">
        <v>36</v>
      </c>
      <c r="C732">
        <v>10</v>
      </c>
      <c r="D732" s="3">
        <f>in_parking_demand_data_ver1!D732*calibration!$I$31</f>
        <v>0</v>
      </c>
      <c r="E732" s="3">
        <f>in_parking_demand_data_ver1!E732*calibration!$I$31</f>
        <v>2.6681386909142963</v>
      </c>
      <c r="F732" s="3">
        <f t="shared" si="11"/>
        <v>2.6681386909142963</v>
      </c>
      <c r="G732">
        <v>0</v>
      </c>
    </row>
    <row r="733" spans="1:7" x14ac:dyDescent="0.25">
      <c r="A733">
        <v>18061</v>
      </c>
      <c r="B733" t="s">
        <v>36</v>
      </c>
      <c r="C733">
        <v>11</v>
      </c>
      <c r="D733" s="3">
        <f>in_parking_demand_data_ver1!D733*calibration!$I$31</f>
        <v>0</v>
      </c>
      <c r="E733" s="3">
        <f>in_parking_demand_data_ver1!E733*calibration!$I$31</f>
        <v>2.8067432982345157</v>
      </c>
      <c r="F733" s="3">
        <f t="shared" si="11"/>
        <v>2.8067432982345157</v>
      </c>
      <c r="G733">
        <v>0</v>
      </c>
    </row>
    <row r="734" spans="1:7" x14ac:dyDescent="0.25">
      <c r="A734">
        <v>18061</v>
      </c>
      <c r="B734" t="s">
        <v>36</v>
      </c>
      <c r="C734">
        <v>12</v>
      </c>
      <c r="D734" s="3">
        <f>in_parking_demand_data_ver1!D734*calibration!$I$31</f>
        <v>0</v>
      </c>
      <c r="E734" s="3">
        <f>in_parking_demand_data_ver1!E734*calibration!$I$31</f>
        <v>2.5988363872541784</v>
      </c>
      <c r="F734" s="3">
        <f t="shared" si="11"/>
        <v>2.5988363872541784</v>
      </c>
      <c r="G734">
        <v>0</v>
      </c>
    </row>
    <row r="735" spans="1:7" x14ac:dyDescent="0.25">
      <c r="A735">
        <v>18061</v>
      </c>
      <c r="B735" t="s">
        <v>36</v>
      </c>
      <c r="C735">
        <v>13</v>
      </c>
      <c r="D735" s="3">
        <f>in_parking_demand_data_ver1!D735*calibration!$I$31</f>
        <v>0</v>
      </c>
      <c r="E735" s="3">
        <f>in_parking_demand_data_ver1!E735*calibration!$I$31</f>
        <v>2.1483714134634542</v>
      </c>
      <c r="F735" s="3">
        <f t="shared" si="11"/>
        <v>2.1483714134634542</v>
      </c>
      <c r="G735">
        <v>0</v>
      </c>
    </row>
    <row r="736" spans="1:7" x14ac:dyDescent="0.25">
      <c r="A736">
        <v>18061</v>
      </c>
      <c r="B736" t="s">
        <v>36</v>
      </c>
      <c r="C736">
        <v>14</v>
      </c>
      <c r="D736" s="3">
        <f>in_parking_demand_data_ver1!D736*calibration!$I$31</f>
        <v>0</v>
      </c>
      <c r="E736" s="3">
        <f>in_parking_demand_data_ver1!E736*calibration!$I$31</f>
        <v>1.4553483768623421</v>
      </c>
      <c r="F736" s="3">
        <f t="shared" si="11"/>
        <v>1.4553483768623421</v>
      </c>
      <c r="G736">
        <v>0</v>
      </c>
    </row>
    <row r="737" spans="1:7" x14ac:dyDescent="0.25">
      <c r="A737">
        <v>18061</v>
      </c>
      <c r="B737" t="s">
        <v>36</v>
      </c>
      <c r="C737">
        <v>15</v>
      </c>
      <c r="D737" s="3">
        <f>in_parking_demand_data_ver1!D737*calibration!$I$31</f>
        <v>0</v>
      </c>
      <c r="E737" s="3">
        <f>in_parking_demand_data_ver1!E737*calibration!$I$31</f>
        <v>0.90092994758144906</v>
      </c>
      <c r="F737" s="3">
        <f t="shared" si="11"/>
        <v>0.90092994758144906</v>
      </c>
      <c r="G737">
        <v>0</v>
      </c>
    </row>
    <row r="738" spans="1:7" x14ac:dyDescent="0.25">
      <c r="A738">
        <v>18061</v>
      </c>
      <c r="B738" t="s">
        <v>36</v>
      </c>
      <c r="C738">
        <v>16</v>
      </c>
      <c r="D738" s="3">
        <f>in_parking_demand_data_ver1!D738*calibration!$I$31</f>
        <v>0</v>
      </c>
      <c r="E738" s="3">
        <f>in_parking_demand_data_ver1!E738*calibration!$I$31</f>
        <v>1.0048834030716174</v>
      </c>
      <c r="F738" s="3">
        <f t="shared" si="11"/>
        <v>1.0048834030716174</v>
      </c>
      <c r="G738">
        <v>0</v>
      </c>
    </row>
    <row r="739" spans="1:7" x14ac:dyDescent="0.25">
      <c r="A739">
        <v>18061</v>
      </c>
      <c r="B739" t="s">
        <v>36</v>
      </c>
      <c r="C739">
        <v>17</v>
      </c>
      <c r="D739" s="3">
        <f>in_parking_demand_data_ver1!D739*calibration!$I$31</f>
        <v>0</v>
      </c>
      <c r="E739" s="3">
        <f>in_parking_demand_data_ver1!E739*calibration!$I$31</f>
        <v>1.0395345549016679</v>
      </c>
      <c r="F739" s="3">
        <f t="shared" si="11"/>
        <v>1.0395345549016679</v>
      </c>
      <c r="G739">
        <v>0</v>
      </c>
    </row>
    <row r="740" spans="1:7" x14ac:dyDescent="0.25">
      <c r="A740">
        <v>18061</v>
      </c>
      <c r="B740" t="s">
        <v>36</v>
      </c>
      <c r="C740">
        <v>18</v>
      </c>
      <c r="D740" s="3">
        <f>in_parking_demand_data_ver1!D740*calibration!$I$31</f>
        <v>0</v>
      </c>
      <c r="E740" s="3">
        <f>in_parking_demand_data_ver1!E740*calibration!$I$31</f>
        <v>2.2176737171235716</v>
      </c>
      <c r="F740" s="3">
        <f t="shared" si="11"/>
        <v>2.2176737171235716</v>
      </c>
      <c r="G740">
        <v>0</v>
      </c>
    </row>
    <row r="741" spans="1:7" x14ac:dyDescent="0.25">
      <c r="A741">
        <v>18061</v>
      </c>
      <c r="B741" t="s">
        <v>36</v>
      </c>
      <c r="C741">
        <v>19</v>
      </c>
      <c r="D741" s="3">
        <f>in_parking_demand_data_ver1!D741*calibration!$I$31</f>
        <v>0</v>
      </c>
      <c r="E741" s="3">
        <f>in_parking_demand_data_ver1!E741*calibration!$I$31</f>
        <v>2.1830225652935127</v>
      </c>
      <c r="F741" s="3">
        <f t="shared" si="11"/>
        <v>2.1830225652935127</v>
      </c>
      <c r="G741">
        <v>0</v>
      </c>
    </row>
    <row r="742" spans="1:7" x14ac:dyDescent="0.25">
      <c r="A742">
        <v>18061</v>
      </c>
      <c r="B742" t="s">
        <v>36</v>
      </c>
      <c r="C742">
        <v>20</v>
      </c>
      <c r="D742" s="3">
        <f>in_parking_demand_data_ver1!D742*calibration!$I$31</f>
        <v>0</v>
      </c>
      <c r="E742" s="3">
        <f>in_parking_demand_data_ver1!E742*calibration!$I$31</f>
        <v>1.6632552878426705</v>
      </c>
      <c r="F742" s="3">
        <f t="shared" si="11"/>
        <v>1.6632552878426705</v>
      </c>
      <c r="G742">
        <v>0</v>
      </c>
    </row>
    <row r="743" spans="1:7" x14ac:dyDescent="0.25">
      <c r="A743">
        <v>18061</v>
      </c>
      <c r="B743" t="s">
        <v>36</v>
      </c>
      <c r="C743">
        <v>21</v>
      </c>
      <c r="D743" s="3">
        <f>in_parking_demand_data_ver1!D743*calibration!$I$31</f>
        <v>0</v>
      </c>
      <c r="E743" s="3">
        <f>in_parking_demand_data_ver1!E743*calibration!$I$31</f>
        <v>2.0444179579732857</v>
      </c>
      <c r="F743" s="3">
        <f t="shared" si="11"/>
        <v>2.0444179579732857</v>
      </c>
      <c r="G743">
        <v>0</v>
      </c>
    </row>
    <row r="744" spans="1:7" x14ac:dyDescent="0.25">
      <c r="A744">
        <v>18061</v>
      </c>
      <c r="B744" t="s">
        <v>36</v>
      </c>
      <c r="C744">
        <v>22</v>
      </c>
      <c r="D744" s="3">
        <f>in_parking_demand_data_ver1!D744*calibration!$I$31</f>
        <v>0</v>
      </c>
      <c r="E744" s="3">
        <f>in_parking_demand_data_ver1!E744*calibration!$I$31</f>
        <v>2.1483714134634542</v>
      </c>
      <c r="F744" s="3">
        <f t="shared" si="11"/>
        <v>2.1483714134634542</v>
      </c>
      <c r="G744">
        <v>0</v>
      </c>
    </row>
    <row r="745" spans="1:7" x14ac:dyDescent="0.25">
      <c r="A745">
        <v>18061</v>
      </c>
      <c r="B745" t="s">
        <v>36</v>
      </c>
      <c r="C745">
        <v>23</v>
      </c>
      <c r="D745" s="3">
        <f>in_parking_demand_data_ver1!D745*calibration!$I$31</f>
        <v>0</v>
      </c>
      <c r="E745" s="3">
        <f>in_parking_demand_data_ver1!E745*calibration!$I$31</f>
        <v>2.2176737171235716</v>
      </c>
      <c r="F745" s="3">
        <f t="shared" si="11"/>
        <v>2.2176737171235716</v>
      </c>
      <c r="G745">
        <v>0</v>
      </c>
    </row>
    <row r="746" spans="1:7" x14ac:dyDescent="0.25">
      <c r="A746">
        <v>18063</v>
      </c>
      <c r="B746" t="s">
        <v>37</v>
      </c>
      <c r="C746">
        <v>0</v>
      </c>
      <c r="D746" s="3">
        <f>in_parking_demand_data_ver1!D746*calibration!$I$31</f>
        <v>387.28700720736049</v>
      </c>
      <c r="E746" s="3">
        <f>in_parking_demand_data_ver1!E746*calibration!$I$31</f>
        <v>35.247274582601904</v>
      </c>
      <c r="F746" s="3">
        <f t="shared" si="11"/>
        <v>422.53428178996239</v>
      </c>
      <c r="G746">
        <v>409</v>
      </c>
    </row>
    <row r="747" spans="1:7" x14ac:dyDescent="0.25">
      <c r="A747">
        <v>18063</v>
      </c>
      <c r="B747" t="s">
        <v>37</v>
      </c>
      <c r="C747">
        <v>1</v>
      </c>
      <c r="D747" s="3">
        <f>in_parking_demand_data_ver1!D747*calibration!$I$31</f>
        <v>389.62527849416705</v>
      </c>
      <c r="E747" s="3">
        <f>in_parking_demand_data_ver1!E747*calibration!$I$31</f>
        <v>39.360899994576329</v>
      </c>
      <c r="F747" s="3">
        <f t="shared" si="11"/>
        <v>428.98617848874335</v>
      </c>
      <c r="G747">
        <v>409</v>
      </c>
    </row>
    <row r="748" spans="1:7" x14ac:dyDescent="0.25">
      <c r="A748">
        <v>18063</v>
      </c>
      <c r="B748" t="s">
        <v>37</v>
      </c>
      <c r="C748">
        <v>2</v>
      </c>
      <c r="D748" s="3">
        <f>in_parking_demand_data_ver1!D748*calibration!$I$31</f>
        <v>390.66451017719277</v>
      </c>
      <c r="E748" s="3">
        <f>in_parking_demand_data_ver1!E748*calibration!$I$31</f>
        <v>41.049651479492198</v>
      </c>
      <c r="F748" s="3">
        <f t="shared" si="11"/>
        <v>431.71416165668495</v>
      </c>
      <c r="G748">
        <v>409</v>
      </c>
    </row>
    <row r="749" spans="1:7" x14ac:dyDescent="0.25">
      <c r="A749">
        <v>18063</v>
      </c>
      <c r="B749" t="s">
        <v>37</v>
      </c>
      <c r="C749">
        <v>3</v>
      </c>
      <c r="D749" s="3">
        <f>in_parking_demand_data_ver1!D749*calibration!$I$31</f>
        <v>389.66857981429303</v>
      </c>
      <c r="E749" s="3">
        <f>in_parking_demand_data_ver1!E749*calibration!$I$31</f>
        <v>42.002280522265217</v>
      </c>
      <c r="F749" s="3">
        <f t="shared" si="11"/>
        <v>431.67086033655823</v>
      </c>
      <c r="G749">
        <v>409</v>
      </c>
    </row>
    <row r="750" spans="1:7" x14ac:dyDescent="0.25">
      <c r="A750">
        <v>18063</v>
      </c>
      <c r="B750" t="s">
        <v>37</v>
      </c>
      <c r="C750">
        <v>4</v>
      </c>
      <c r="D750" s="3">
        <f>in_parking_demand_data_ver1!D750*calibration!$I$31</f>
        <v>376.50497849597542</v>
      </c>
      <c r="E750" s="3">
        <f>in_parking_demand_data_ver1!E750*calibration!$I$31</f>
        <v>41.222856759996368</v>
      </c>
      <c r="F750" s="3">
        <f t="shared" si="11"/>
        <v>417.7278352559718</v>
      </c>
      <c r="G750">
        <v>409</v>
      </c>
    </row>
    <row r="751" spans="1:7" x14ac:dyDescent="0.25">
      <c r="A751">
        <v>18063</v>
      </c>
      <c r="B751" t="s">
        <v>37</v>
      </c>
      <c r="C751">
        <v>5</v>
      </c>
      <c r="D751" s="3">
        <f>in_parking_demand_data_ver1!D751*calibration!$I$31</f>
        <v>355.6770435153465</v>
      </c>
      <c r="E751" s="3">
        <f>in_parking_demand_data_ver1!E751*calibration!$I$31</f>
        <v>41.569267321004709</v>
      </c>
      <c r="F751" s="3">
        <f t="shared" si="11"/>
        <v>397.2463108363512</v>
      </c>
      <c r="G751">
        <v>409</v>
      </c>
    </row>
    <row r="752" spans="1:7" x14ac:dyDescent="0.25">
      <c r="A752">
        <v>18063</v>
      </c>
      <c r="B752" t="s">
        <v>37</v>
      </c>
      <c r="C752">
        <v>6</v>
      </c>
      <c r="D752" s="3">
        <f>in_parking_demand_data_ver1!D752*calibration!$I$31</f>
        <v>320.47307025287114</v>
      </c>
      <c r="E752" s="3">
        <f>in_parking_demand_data_ver1!E752*calibration!$I$31</f>
        <v>40.486734317853603</v>
      </c>
      <c r="F752" s="3">
        <f t="shared" si="11"/>
        <v>360.95980457072471</v>
      </c>
      <c r="G752">
        <v>409</v>
      </c>
    </row>
    <row r="753" spans="1:7" x14ac:dyDescent="0.25">
      <c r="A753">
        <v>18063</v>
      </c>
      <c r="B753" t="s">
        <v>37</v>
      </c>
      <c r="C753">
        <v>7</v>
      </c>
      <c r="D753" s="3">
        <f>in_parking_demand_data_ver1!D753*calibration!$I$31</f>
        <v>276.34902504442948</v>
      </c>
      <c r="E753" s="3">
        <f>in_parking_demand_data_ver1!E753*calibration!$I$31</f>
        <v>34.857562701467486</v>
      </c>
      <c r="F753" s="3">
        <f t="shared" si="11"/>
        <v>311.20658774589697</v>
      </c>
      <c r="G753">
        <v>409</v>
      </c>
    </row>
    <row r="754" spans="1:7" x14ac:dyDescent="0.25">
      <c r="A754">
        <v>18063</v>
      </c>
      <c r="B754" t="s">
        <v>37</v>
      </c>
      <c r="C754">
        <v>8</v>
      </c>
      <c r="D754" s="3">
        <f>in_parking_demand_data_ver1!D754*calibration!$I$31</f>
        <v>245.99479963607035</v>
      </c>
      <c r="E754" s="3">
        <f>in_parking_demand_data_ver1!E754*calibration!$I$31</f>
        <v>28.102556761804255</v>
      </c>
      <c r="F754" s="3">
        <f t="shared" si="11"/>
        <v>274.09735639787459</v>
      </c>
      <c r="G754">
        <v>409</v>
      </c>
    </row>
    <row r="755" spans="1:7" x14ac:dyDescent="0.25">
      <c r="A755">
        <v>18063</v>
      </c>
      <c r="B755" t="s">
        <v>37</v>
      </c>
      <c r="C755">
        <v>9</v>
      </c>
      <c r="D755" s="3">
        <f>in_parking_demand_data_ver1!D755*calibration!$I$31</f>
        <v>227.98145046363564</v>
      </c>
      <c r="E755" s="3">
        <f>in_parking_demand_data_ver1!E755*calibration!$I$31</f>
        <v>22.603289105796311</v>
      </c>
      <c r="F755" s="3">
        <f t="shared" si="11"/>
        <v>250.58473956943195</v>
      </c>
      <c r="G755">
        <v>409</v>
      </c>
    </row>
    <row r="756" spans="1:7" x14ac:dyDescent="0.25">
      <c r="A756">
        <v>18063</v>
      </c>
      <c r="B756" t="s">
        <v>37</v>
      </c>
      <c r="C756">
        <v>10</v>
      </c>
      <c r="D756" s="3">
        <f>in_parking_demand_data_ver1!D756*calibration!$I$31</f>
        <v>220.10061020069512</v>
      </c>
      <c r="E756" s="3">
        <f>in_parking_demand_data_ver1!E756*calibration!$I$31</f>
        <v>16.281296367393509</v>
      </c>
      <c r="F756" s="3">
        <f t="shared" si="11"/>
        <v>236.38190656808862</v>
      </c>
      <c r="G756">
        <v>409</v>
      </c>
    </row>
    <row r="757" spans="1:7" x14ac:dyDescent="0.25">
      <c r="A757">
        <v>18063</v>
      </c>
      <c r="B757" t="s">
        <v>37</v>
      </c>
      <c r="C757">
        <v>11</v>
      </c>
      <c r="D757" s="3">
        <f>in_parking_demand_data_ver1!D757*calibration!$I$31</f>
        <v>217.54583231325776</v>
      </c>
      <c r="E757" s="3">
        <f>in_parking_demand_data_ver1!E757*calibration!$I$31</f>
        <v>9.9593036289907104</v>
      </c>
      <c r="F757" s="3">
        <f t="shared" si="11"/>
        <v>227.50513594224847</v>
      </c>
      <c r="G757">
        <v>409</v>
      </c>
    </row>
    <row r="758" spans="1:7" x14ac:dyDescent="0.25">
      <c r="A758">
        <v>18063</v>
      </c>
      <c r="B758" t="s">
        <v>37</v>
      </c>
      <c r="C758">
        <v>12</v>
      </c>
      <c r="D758" s="3">
        <f>in_parking_demand_data_ver1!D758*calibration!$I$31</f>
        <v>220.88003396296313</v>
      </c>
      <c r="E758" s="3">
        <f>in_parking_demand_data_ver1!E758*calibration!$I$31</f>
        <v>8.8334693057134359</v>
      </c>
      <c r="F758" s="3">
        <f t="shared" si="11"/>
        <v>229.71350326867656</v>
      </c>
      <c r="G758">
        <v>409</v>
      </c>
    </row>
    <row r="759" spans="1:7" x14ac:dyDescent="0.25">
      <c r="A759">
        <v>18063</v>
      </c>
      <c r="B759" t="s">
        <v>37</v>
      </c>
      <c r="C759">
        <v>13</v>
      </c>
      <c r="D759" s="3">
        <f>in_parking_demand_data_ver1!D759*calibration!$I$31</f>
        <v>226.42260293909794</v>
      </c>
      <c r="E759" s="3">
        <f>in_parking_demand_data_ver1!E759*calibration!$I$31</f>
        <v>8.1839495038228147</v>
      </c>
      <c r="F759" s="3">
        <f t="shared" si="11"/>
        <v>234.60655244292076</v>
      </c>
      <c r="G759">
        <v>409</v>
      </c>
    </row>
    <row r="760" spans="1:7" x14ac:dyDescent="0.25">
      <c r="A760">
        <v>18063</v>
      </c>
      <c r="B760" t="s">
        <v>37</v>
      </c>
      <c r="C760">
        <v>14</v>
      </c>
      <c r="D760" s="3">
        <f>in_parking_demand_data_ver1!D760*calibration!$I$31</f>
        <v>235.16946960455928</v>
      </c>
      <c r="E760" s="3">
        <f>in_parking_demand_data_ver1!E760*calibration!$I$31</f>
        <v>9.482989107604201</v>
      </c>
      <c r="F760" s="3">
        <f t="shared" si="11"/>
        <v>244.65245871216348</v>
      </c>
      <c r="G760">
        <v>409</v>
      </c>
    </row>
    <row r="761" spans="1:7" x14ac:dyDescent="0.25">
      <c r="A761">
        <v>18063</v>
      </c>
      <c r="B761" t="s">
        <v>37</v>
      </c>
      <c r="C761">
        <v>15</v>
      </c>
      <c r="D761" s="3">
        <f>in_parking_demand_data_ver1!D761*calibration!$I$31</f>
        <v>252.27349105434718</v>
      </c>
      <c r="E761" s="3">
        <f>in_parking_demand_data_ver1!E761*calibration!$I$31</f>
        <v>8.4437574245790952</v>
      </c>
      <c r="F761" s="3">
        <f t="shared" si="11"/>
        <v>260.71724847892625</v>
      </c>
      <c r="G761">
        <v>409</v>
      </c>
    </row>
    <row r="762" spans="1:7" x14ac:dyDescent="0.25">
      <c r="A762">
        <v>18063</v>
      </c>
      <c r="B762" t="s">
        <v>37</v>
      </c>
      <c r="C762">
        <v>16</v>
      </c>
      <c r="D762" s="3">
        <f>in_parking_demand_data_ver1!D762*calibration!$I$31</f>
        <v>274.09735639787493</v>
      </c>
      <c r="E762" s="3">
        <f>in_parking_demand_data_ver1!E762*calibration!$I$31</f>
        <v>6.321992738402809</v>
      </c>
      <c r="F762" s="3">
        <f t="shared" si="11"/>
        <v>280.41934913627773</v>
      </c>
      <c r="G762">
        <v>409</v>
      </c>
    </row>
    <row r="763" spans="1:7" x14ac:dyDescent="0.25">
      <c r="A763">
        <v>18063</v>
      </c>
      <c r="B763" t="s">
        <v>37</v>
      </c>
      <c r="C763">
        <v>17</v>
      </c>
      <c r="D763" s="3">
        <f>in_parking_demand_data_ver1!D763*calibration!$I$31</f>
        <v>302.89273428169554</v>
      </c>
      <c r="E763" s="3">
        <f>in_parking_demand_data_ver1!E763*calibration!$I$31</f>
        <v>6.2786914182767575</v>
      </c>
      <c r="F763" s="3">
        <f t="shared" si="11"/>
        <v>309.1714256999723</v>
      </c>
      <c r="G763">
        <v>409</v>
      </c>
    </row>
    <row r="764" spans="1:7" x14ac:dyDescent="0.25">
      <c r="A764">
        <v>18063</v>
      </c>
      <c r="B764" t="s">
        <v>37</v>
      </c>
      <c r="C764">
        <v>18</v>
      </c>
      <c r="D764" s="3">
        <f>in_parking_demand_data_ver1!D764*calibration!$I$31</f>
        <v>327.1847748724079</v>
      </c>
      <c r="E764" s="3">
        <f>in_parking_demand_data_ver1!E764*calibration!$I$31</f>
        <v>5.5858702962600182</v>
      </c>
      <c r="F764" s="3">
        <f t="shared" si="11"/>
        <v>332.7706451686679</v>
      </c>
      <c r="G764">
        <v>409</v>
      </c>
    </row>
    <row r="765" spans="1:7" x14ac:dyDescent="0.25">
      <c r="A765">
        <v>18063</v>
      </c>
      <c r="B765" t="s">
        <v>37</v>
      </c>
      <c r="C765">
        <v>19</v>
      </c>
      <c r="D765" s="3">
        <f>in_parking_demand_data_ver1!D765*calibration!$I$31</f>
        <v>345.58783592597831</v>
      </c>
      <c r="E765" s="3">
        <f>in_parking_demand_data_ver1!E765*calibration!$I$31</f>
        <v>7.967442903192576</v>
      </c>
      <c r="F765" s="3">
        <f t="shared" si="11"/>
        <v>353.5552788291709</v>
      </c>
      <c r="G765">
        <v>409</v>
      </c>
    </row>
    <row r="766" spans="1:7" x14ac:dyDescent="0.25">
      <c r="A766">
        <v>18063</v>
      </c>
      <c r="B766" t="s">
        <v>37</v>
      </c>
      <c r="C766">
        <v>20</v>
      </c>
      <c r="D766" s="3">
        <f>in_parking_demand_data_ver1!D766*calibration!$I$31</f>
        <v>364.7703207418167</v>
      </c>
      <c r="E766" s="3">
        <f>in_parking_demand_data_ver1!E766*calibration!$I$31</f>
        <v>13.46671055920045</v>
      </c>
      <c r="F766" s="3">
        <f t="shared" si="11"/>
        <v>378.23703130101717</v>
      </c>
      <c r="G766">
        <v>409</v>
      </c>
    </row>
    <row r="767" spans="1:7" x14ac:dyDescent="0.25">
      <c r="A767">
        <v>18063</v>
      </c>
      <c r="B767" t="s">
        <v>37</v>
      </c>
      <c r="C767">
        <v>21</v>
      </c>
      <c r="D767" s="3">
        <f>in_parking_demand_data_ver1!D767*calibration!$I$31</f>
        <v>376.28847189534463</v>
      </c>
      <c r="E767" s="3">
        <f>in_parking_demand_data_ver1!E767*calibration!$I$31</f>
        <v>18.099951812687465</v>
      </c>
      <c r="F767" s="3">
        <f t="shared" si="11"/>
        <v>394.38842370803206</v>
      </c>
      <c r="G767">
        <v>409</v>
      </c>
    </row>
    <row r="768" spans="1:7" x14ac:dyDescent="0.25">
      <c r="A768">
        <v>18063</v>
      </c>
      <c r="B768" t="s">
        <v>37</v>
      </c>
      <c r="C768">
        <v>22</v>
      </c>
      <c r="D768" s="3">
        <f>in_parking_demand_data_ver1!D768*calibration!$I$31</f>
        <v>384.12601083815912</v>
      </c>
      <c r="E768" s="3">
        <f>in_parking_demand_data_ver1!E768*calibration!$I$31</f>
        <v>23.90232870957767</v>
      </c>
      <c r="F768" s="3">
        <f t="shared" si="11"/>
        <v>408.02833954773678</v>
      </c>
      <c r="G768">
        <v>409</v>
      </c>
    </row>
    <row r="769" spans="1:7" x14ac:dyDescent="0.25">
      <c r="A769">
        <v>18063</v>
      </c>
      <c r="B769" t="s">
        <v>37</v>
      </c>
      <c r="C769">
        <v>23</v>
      </c>
      <c r="D769" s="3">
        <f>in_parking_demand_data_ver1!D769*calibration!$I$31</f>
        <v>383.25998443563822</v>
      </c>
      <c r="E769" s="3">
        <f>in_parking_demand_data_ver1!E769*calibration!$I$31</f>
        <v>29.921212207098211</v>
      </c>
      <c r="F769" s="3">
        <f t="shared" si="11"/>
        <v>413.18119664273644</v>
      </c>
      <c r="G769">
        <v>409</v>
      </c>
    </row>
    <row r="770" spans="1:7" x14ac:dyDescent="0.25">
      <c r="A770">
        <v>18065</v>
      </c>
      <c r="B770" t="s">
        <v>38</v>
      </c>
      <c r="C770">
        <v>0</v>
      </c>
      <c r="D770" s="3">
        <f>in_parking_demand_data_ver1!D770*calibration!$I$31</f>
        <v>349.68505220514038</v>
      </c>
      <c r="E770" s="3">
        <f>in_parking_demand_data_ver1!E770*calibration!$I$31</f>
        <v>4.1856463619682875</v>
      </c>
      <c r="F770" s="3">
        <f t="shared" si="11"/>
        <v>353.87069856710866</v>
      </c>
      <c r="G770">
        <v>449</v>
      </c>
    </row>
    <row r="771" spans="1:7" x14ac:dyDescent="0.25">
      <c r="A771">
        <v>18065</v>
      </c>
      <c r="B771" t="s">
        <v>38</v>
      </c>
      <c r="C771">
        <v>1</v>
      </c>
      <c r="D771" s="3">
        <f>in_parking_demand_data_ver1!D771*calibration!$I$31</f>
        <v>351.37399722839035</v>
      </c>
      <c r="E771" s="3">
        <f>in_parking_demand_data_ver1!E771*calibration!$I$31</f>
        <v>4.2957949504411364</v>
      </c>
      <c r="F771" s="3">
        <f t="shared" ref="F771:F834" si="12">SUM(D771:E771)</f>
        <v>355.66979217883147</v>
      </c>
      <c r="G771">
        <v>449</v>
      </c>
    </row>
    <row r="772" spans="1:7" x14ac:dyDescent="0.25">
      <c r="A772">
        <v>18065</v>
      </c>
      <c r="B772" t="s">
        <v>38</v>
      </c>
      <c r="C772">
        <v>2</v>
      </c>
      <c r="D772" s="3">
        <f>in_parking_demand_data_ver1!D772*calibration!$I$31</f>
        <v>348.58356632041131</v>
      </c>
      <c r="E772" s="3">
        <f>in_parking_demand_data_ver1!E772*calibration!$I$31</f>
        <v>4.6996731081749186</v>
      </c>
      <c r="F772" s="3">
        <f t="shared" si="12"/>
        <v>353.28323942858623</v>
      </c>
      <c r="G772">
        <v>449</v>
      </c>
    </row>
    <row r="773" spans="1:7" x14ac:dyDescent="0.25">
      <c r="A773">
        <v>18065</v>
      </c>
      <c r="B773" t="s">
        <v>38</v>
      </c>
      <c r="C773">
        <v>3</v>
      </c>
      <c r="D773" s="3">
        <f>in_parking_demand_data_ver1!D773*calibration!$I$31</f>
        <v>340.13884120415963</v>
      </c>
      <c r="E773" s="3">
        <f>in_parking_demand_data_ver1!E773*calibration!$I$31</f>
        <v>5.1769836582239366</v>
      </c>
      <c r="F773" s="3">
        <f t="shared" si="12"/>
        <v>345.31582486238358</v>
      </c>
      <c r="G773">
        <v>449</v>
      </c>
    </row>
    <row r="774" spans="1:7" x14ac:dyDescent="0.25">
      <c r="A774">
        <v>18065</v>
      </c>
      <c r="B774" t="s">
        <v>38</v>
      </c>
      <c r="C774">
        <v>4</v>
      </c>
      <c r="D774" s="3">
        <f>in_parking_demand_data_ver1!D774*calibration!$I$31</f>
        <v>325.81952470268948</v>
      </c>
      <c r="E774" s="3">
        <f>in_parking_demand_data_ver1!E774*calibration!$I$31</f>
        <v>5.6175780121153327</v>
      </c>
      <c r="F774" s="3">
        <f t="shared" si="12"/>
        <v>331.43710271480484</v>
      </c>
      <c r="G774">
        <v>449</v>
      </c>
    </row>
    <row r="775" spans="1:7" x14ac:dyDescent="0.25">
      <c r="A775">
        <v>18065</v>
      </c>
      <c r="B775" t="s">
        <v>38</v>
      </c>
      <c r="C775">
        <v>5</v>
      </c>
      <c r="D775" s="3">
        <f>in_parking_demand_data_ver1!D775*calibration!$I$31</f>
        <v>306.72710270072889</v>
      </c>
      <c r="E775" s="3">
        <f>in_parking_demand_data_ver1!E775*calibration!$I$31</f>
        <v>5.7644427967458034</v>
      </c>
      <c r="F775" s="3">
        <f t="shared" si="12"/>
        <v>312.4915454974747</v>
      </c>
      <c r="G775">
        <v>449</v>
      </c>
    </row>
    <row r="776" spans="1:7" x14ac:dyDescent="0.25">
      <c r="A776">
        <v>18065</v>
      </c>
      <c r="B776" t="s">
        <v>38</v>
      </c>
      <c r="C776">
        <v>6</v>
      </c>
      <c r="D776" s="3">
        <f>in_parking_demand_data_ver1!D776*calibration!$I$31</f>
        <v>280.65860342882087</v>
      </c>
      <c r="E776" s="3">
        <f>in_parking_demand_data_ver1!E776*calibration!$I$31</f>
        <v>6.6089153083709817</v>
      </c>
      <c r="F776" s="3">
        <f t="shared" si="12"/>
        <v>287.26751873719184</v>
      </c>
      <c r="G776">
        <v>449</v>
      </c>
    </row>
    <row r="777" spans="1:7" x14ac:dyDescent="0.25">
      <c r="A777">
        <v>18065</v>
      </c>
      <c r="B777" t="s">
        <v>38</v>
      </c>
      <c r="C777">
        <v>7</v>
      </c>
      <c r="D777" s="3">
        <f>in_parking_demand_data_ver1!D777*calibration!$I$31</f>
        <v>240.08720667465414</v>
      </c>
      <c r="E777" s="3">
        <f>in_parking_demand_data_ver1!E777*calibration!$I$31</f>
        <v>7.7471173892570935</v>
      </c>
      <c r="F777" s="3">
        <f t="shared" si="12"/>
        <v>247.83432406391123</v>
      </c>
      <c r="G777">
        <v>449</v>
      </c>
    </row>
    <row r="778" spans="1:7" x14ac:dyDescent="0.25">
      <c r="A778">
        <v>18065</v>
      </c>
      <c r="B778" t="s">
        <v>38</v>
      </c>
      <c r="C778">
        <v>8</v>
      </c>
      <c r="D778" s="3">
        <f>in_parking_demand_data_ver1!D778*calibration!$I$31</f>
        <v>196.39493324709059</v>
      </c>
      <c r="E778" s="3">
        <f>in_parking_demand_data_ver1!E778*calibration!$I$31</f>
        <v>8.5548737047245993</v>
      </c>
      <c r="F778" s="3">
        <f t="shared" si="12"/>
        <v>204.94980695181519</v>
      </c>
      <c r="G778">
        <v>449</v>
      </c>
    </row>
    <row r="779" spans="1:7" x14ac:dyDescent="0.25">
      <c r="A779">
        <v>18065</v>
      </c>
      <c r="B779" t="s">
        <v>38</v>
      </c>
      <c r="C779">
        <v>9</v>
      </c>
      <c r="D779" s="3">
        <f>in_parking_demand_data_ver1!D779*calibration!$I$31</f>
        <v>171.24433887912309</v>
      </c>
      <c r="E779" s="3">
        <f>in_parking_demand_data_ver1!E779*calibration!$I$31</f>
        <v>8.0775631546756497</v>
      </c>
      <c r="F779" s="3">
        <f t="shared" si="12"/>
        <v>179.32190203379875</v>
      </c>
      <c r="G779">
        <v>449</v>
      </c>
    </row>
    <row r="780" spans="1:7" x14ac:dyDescent="0.25">
      <c r="A780">
        <v>18065</v>
      </c>
      <c r="B780" t="s">
        <v>38</v>
      </c>
      <c r="C780">
        <v>10</v>
      </c>
      <c r="D780" s="3">
        <f>in_parking_demand_data_ver1!D780*calibration!$I$31</f>
        <v>156.59457661223419</v>
      </c>
      <c r="E780" s="3">
        <f>in_parking_demand_data_ver1!E780*calibration!$I$31</f>
        <v>7.6002526046266317</v>
      </c>
      <c r="F780" s="3">
        <f t="shared" si="12"/>
        <v>164.19482921686082</v>
      </c>
      <c r="G780">
        <v>449</v>
      </c>
    </row>
    <row r="781" spans="1:7" x14ac:dyDescent="0.25">
      <c r="A781">
        <v>18065</v>
      </c>
      <c r="B781" t="s">
        <v>38</v>
      </c>
      <c r="C781">
        <v>11</v>
      </c>
      <c r="D781" s="3">
        <f>in_parking_demand_data_ver1!D781*calibration!$I$31</f>
        <v>153.47369993883734</v>
      </c>
      <c r="E781" s="3">
        <f>in_parking_demand_data_ver1!E781*calibration!$I$31</f>
        <v>5.7277266005881824</v>
      </c>
      <c r="F781" s="3">
        <f t="shared" si="12"/>
        <v>159.20142653942551</v>
      </c>
      <c r="G781">
        <v>449</v>
      </c>
    </row>
    <row r="782" spans="1:7" x14ac:dyDescent="0.25">
      <c r="A782">
        <v>18065</v>
      </c>
      <c r="B782" t="s">
        <v>38</v>
      </c>
      <c r="C782">
        <v>12</v>
      </c>
      <c r="D782" s="3">
        <f>in_parking_demand_data_ver1!D782*calibration!$I$31</f>
        <v>152.15191687716253</v>
      </c>
      <c r="E782" s="3">
        <f>in_parking_demand_data_ver1!E782*calibration!$I$31</f>
        <v>4.9199702851206171</v>
      </c>
      <c r="F782" s="3">
        <f t="shared" si="12"/>
        <v>157.07188716228316</v>
      </c>
      <c r="G782">
        <v>449</v>
      </c>
    </row>
    <row r="783" spans="1:7" x14ac:dyDescent="0.25">
      <c r="A783">
        <v>18065</v>
      </c>
      <c r="B783" t="s">
        <v>38</v>
      </c>
      <c r="C783">
        <v>13</v>
      </c>
      <c r="D783" s="3">
        <f>in_parking_demand_data_ver1!D783*calibration!$I$31</f>
        <v>154.75876680435394</v>
      </c>
      <c r="E783" s="3">
        <f>in_parking_demand_data_ver1!E783*calibration!$I$31</f>
        <v>3.5614710272888068</v>
      </c>
      <c r="F783" s="3">
        <f t="shared" si="12"/>
        <v>158.32023783164274</v>
      </c>
      <c r="G783">
        <v>449</v>
      </c>
    </row>
    <row r="784" spans="1:7" x14ac:dyDescent="0.25">
      <c r="A784">
        <v>18065</v>
      </c>
      <c r="B784" t="s">
        <v>38</v>
      </c>
      <c r="C784">
        <v>14</v>
      </c>
      <c r="D784" s="3">
        <f>in_parking_demand_data_ver1!D784*calibration!$I$31</f>
        <v>166.54466577094828</v>
      </c>
      <c r="E784" s="3">
        <f>in_parking_demand_data_ver1!E784*calibration!$I$31</f>
        <v>3.2677414580278734</v>
      </c>
      <c r="F784" s="3">
        <f t="shared" si="12"/>
        <v>169.81240722897616</v>
      </c>
      <c r="G784">
        <v>449</v>
      </c>
    </row>
    <row r="785" spans="1:7" x14ac:dyDescent="0.25">
      <c r="A785">
        <v>18065</v>
      </c>
      <c r="B785" t="s">
        <v>38</v>
      </c>
      <c r="C785">
        <v>15</v>
      </c>
      <c r="D785" s="3">
        <f>in_parking_demand_data_ver1!D785*calibration!$I$31</f>
        <v>182.03890054946305</v>
      </c>
      <c r="E785" s="3">
        <f>in_parking_demand_data_ver1!E785*calibration!$I$31</f>
        <v>2.4232689464026951</v>
      </c>
      <c r="F785" s="3">
        <f t="shared" si="12"/>
        <v>184.46216949586574</v>
      </c>
      <c r="G785">
        <v>449</v>
      </c>
    </row>
    <row r="786" spans="1:7" x14ac:dyDescent="0.25">
      <c r="A786">
        <v>18065</v>
      </c>
      <c r="B786" t="s">
        <v>38</v>
      </c>
      <c r="C786">
        <v>16</v>
      </c>
      <c r="D786" s="3">
        <f>in_parking_demand_data_ver1!D786*calibration!$I$31</f>
        <v>202.12265984767885</v>
      </c>
      <c r="E786" s="3">
        <f>in_parking_demand_data_ver1!E786*calibration!$I$31</f>
        <v>2.7169985156636196</v>
      </c>
      <c r="F786" s="3">
        <f t="shared" si="12"/>
        <v>204.83965836334247</v>
      </c>
      <c r="G786">
        <v>449</v>
      </c>
    </row>
    <row r="787" spans="1:7" x14ac:dyDescent="0.25">
      <c r="A787">
        <v>18065</v>
      </c>
      <c r="B787" t="s">
        <v>38</v>
      </c>
      <c r="C787">
        <v>17</v>
      </c>
      <c r="D787" s="3">
        <f>in_parking_demand_data_ver1!D787*calibration!$I$31</f>
        <v>227.34668660796189</v>
      </c>
      <c r="E787" s="3">
        <f>in_parking_demand_data_ver1!E787*calibration!$I$31</f>
        <v>1.5787964347775081</v>
      </c>
      <c r="F787" s="3">
        <f t="shared" si="12"/>
        <v>228.92548304273939</v>
      </c>
      <c r="G787">
        <v>449</v>
      </c>
    </row>
    <row r="788" spans="1:7" x14ac:dyDescent="0.25">
      <c r="A788">
        <v>18065</v>
      </c>
      <c r="B788" t="s">
        <v>38</v>
      </c>
      <c r="C788">
        <v>18</v>
      </c>
      <c r="D788" s="3">
        <f>in_parking_demand_data_ver1!D788*calibration!$I$31</f>
        <v>256.27904918016367</v>
      </c>
      <c r="E788" s="3">
        <f>in_parking_demand_data_ver1!E788*calibration!$I$31</f>
        <v>1.138202080886112</v>
      </c>
      <c r="F788" s="3">
        <f t="shared" si="12"/>
        <v>257.41725126104978</v>
      </c>
      <c r="G788">
        <v>449</v>
      </c>
    </row>
    <row r="789" spans="1:7" x14ac:dyDescent="0.25">
      <c r="A789">
        <v>18065</v>
      </c>
      <c r="B789" t="s">
        <v>38</v>
      </c>
      <c r="C789">
        <v>19</v>
      </c>
      <c r="D789" s="3">
        <f>in_parking_demand_data_ver1!D789*calibration!$I$31</f>
        <v>280.76875201729371</v>
      </c>
      <c r="E789" s="3">
        <f>in_parking_demand_data_ver1!E789*calibration!$I$31</f>
        <v>0.95462110009802759</v>
      </c>
      <c r="F789" s="3">
        <f t="shared" si="12"/>
        <v>281.72337311739176</v>
      </c>
      <c r="G789">
        <v>449</v>
      </c>
    </row>
    <row r="790" spans="1:7" x14ac:dyDescent="0.25">
      <c r="A790">
        <v>18065</v>
      </c>
      <c r="B790" t="s">
        <v>38</v>
      </c>
      <c r="C790">
        <v>20</v>
      </c>
      <c r="D790" s="3">
        <f>in_parking_demand_data_ver1!D790*calibration!$I$31</f>
        <v>301.51340284634693</v>
      </c>
      <c r="E790" s="3">
        <f>in_parking_demand_data_ver1!E790*calibration!$I$31</f>
        <v>1.5053640424622725</v>
      </c>
      <c r="F790" s="3">
        <f t="shared" si="12"/>
        <v>303.01876688880918</v>
      </c>
      <c r="G790">
        <v>449</v>
      </c>
    </row>
    <row r="791" spans="1:7" x14ac:dyDescent="0.25">
      <c r="A791">
        <v>18065</v>
      </c>
      <c r="B791" t="s">
        <v>38</v>
      </c>
      <c r="C791">
        <v>21</v>
      </c>
      <c r="D791" s="3">
        <f>in_parking_demand_data_ver1!D791*calibration!$I$31</f>
        <v>318.5864340596388</v>
      </c>
      <c r="E791" s="3">
        <f>in_parking_demand_data_ver1!E791*calibration!$I$31</f>
        <v>2.2764041617722239</v>
      </c>
      <c r="F791" s="3">
        <f t="shared" si="12"/>
        <v>320.86283822141104</v>
      </c>
      <c r="G791">
        <v>449</v>
      </c>
    </row>
    <row r="792" spans="1:7" x14ac:dyDescent="0.25">
      <c r="A792">
        <v>18065</v>
      </c>
      <c r="B792" t="s">
        <v>38</v>
      </c>
      <c r="C792">
        <v>22</v>
      </c>
      <c r="D792" s="3">
        <f>in_parking_demand_data_ver1!D792*calibration!$I$31</f>
        <v>331.51053510711949</v>
      </c>
      <c r="E792" s="3">
        <f>in_parking_demand_data_ver1!E792*calibration!$I$31</f>
        <v>2.496701338717922</v>
      </c>
      <c r="F792" s="3">
        <f t="shared" si="12"/>
        <v>334.00723644583741</v>
      </c>
      <c r="G792">
        <v>449</v>
      </c>
    </row>
    <row r="793" spans="1:7" x14ac:dyDescent="0.25">
      <c r="A793">
        <v>18065</v>
      </c>
      <c r="B793" t="s">
        <v>38</v>
      </c>
      <c r="C793">
        <v>23</v>
      </c>
      <c r="D793" s="3">
        <f>in_parking_demand_data_ver1!D793*calibration!$I$31</f>
        <v>341.27704328504603</v>
      </c>
      <c r="E793" s="3">
        <f>in_parking_demand_data_ver1!E793*calibration!$I$31</f>
        <v>3.1208766733974023</v>
      </c>
      <c r="F793" s="3">
        <f t="shared" si="12"/>
        <v>344.39791995844342</v>
      </c>
      <c r="G793">
        <v>449</v>
      </c>
    </row>
    <row r="794" spans="1:7" x14ac:dyDescent="0.25">
      <c r="A794">
        <v>18067</v>
      </c>
      <c r="B794" t="s">
        <v>39</v>
      </c>
      <c r="C794">
        <v>0</v>
      </c>
      <c r="D794" s="3">
        <f>in_parking_demand_data_ver1!D794*calibration!$I$31</f>
        <v>0</v>
      </c>
      <c r="E794" s="3">
        <f>in_parking_demand_data_ver1!E794*calibration!$I$31</f>
        <v>1.3634058869946168</v>
      </c>
      <c r="F794" s="3">
        <f t="shared" si="12"/>
        <v>1.3634058869946168</v>
      </c>
      <c r="G794">
        <v>0</v>
      </c>
    </row>
    <row r="795" spans="1:7" x14ac:dyDescent="0.25">
      <c r="A795">
        <v>18067</v>
      </c>
      <c r="B795" t="s">
        <v>39</v>
      </c>
      <c r="C795">
        <v>1</v>
      </c>
      <c r="D795" s="3">
        <f>in_parking_demand_data_ver1!D795*calibration!$I$31</f>
        <v>0</v>
      </c>
      <c r="E795" s="3">
        <f>in_parking_demand_data_ver1!E795*calibration!$I$31</f>
        <v>1.4574338792011383</v>
      </c>
      <c r="F795" s="3">
        <f t="shared" si="12"/>
        <v>1.4574338792011383</v>
      </c>
      <c r="G795">
        <v>0</v>
      </c>
    </row>
    <row r="796" spans="1:7" x14ac:dyDescent="0.25">
      <c r="A796">
        <v>18067</v>
      </c>
      <c r="B796" t="s">
        <v>39</v>
      </c>
      <c r="C796">
        <v>2</v>
      </c>
      <c r="D796" s="3">
        <f>in_parking_demand_data_ver1!D796*calibration!$I$31</f>
        <v>0</v>
      </c>
      <c r="E796" s="3">
        <f>in_parking_demand_data_ver1!E796*calibration!$I$31</f>
        <v>3.2439657311251233</v>
      </c>
      <c r="F796" s="3">
        <f t="shared" si="12"/>
        <v>3.2439657311251233</v>
      </c>
      <c r="G796">
        <v>0</v>
      </c>
    </row>
    <row r="797" spans="1:7" x14ac:dyDescent="0.25">
      <c r="A797">
        <v>18067</v>
      </c>
      <c r="B797" t="s">
        <v>39</v>
      </c>
      <c r="C797">
        <v>3</v>
      </c>
      <c r="D797" s="3">
        <f>in_parking_demand_data_ver1!D797*calibration!$I$31</f>
        <v>0</v>
      </c>
      <c r="E797" s="3">
        <f>in_parking_demand_data_ver1!E797*calibration!$I$31</f>
        <v>4.0902176609838596</v>
      </c>
      <c r="F797" s="3">
        <f t="shared" si="12"/>
        <v>4.0902176609838596</v>
      </c>
      <c r="G797">
        <v>0</v>
      </c>
    </row>
    <row r="798" spans="1:7" x14ac:dyDescent="0.25">
      <c r="A798">
        <v>18067</v>
      </c>
      <c r="B798" t="s">
        <v>39</v>
      </c>
      <c r="C798">
        <v>4</v>
      </c>
      <c r="D798" s="3">
        <f>in_parking_demand_data_ver1!D798*calibration!$I$31</f>
        <v>0</v>
      </c>
      <c r="E798" s="3">
        <f>in_parking_demand_data_ver1!E798*calibration!$I$31</f>
        <v>4.6073716181197488</v>
      </c>
      <c r="F798" s="3">
        <f t="shared" si="12"/>
        <v>4.6073716181197488</v>
      </c>
      <c r="G798">
        <v>0</v>
      </c>
    </row>
    <row r="799" spans="1:7" x14ac:dyDescent="0.25">
      <c r="A799">
        <v>18067</v>
      </c>
      <c r="B799" t="s">
        <v>39</v>
      </c>
      <c r="C799">
        <v>5</v>
      </c>
      <c r="D799" s="3">
        <f>in_parking_demand_data_ver1!D799*calibration!$I$31</f>
        <v>0</v>
      </c>
      <c r="E799" s="3">
        <f>in_parking_demand_data_ver1!E799*calibration!$I$31</f>
        <v>5.6416795323915272</v>
      </c>
      <c r="F799" s="3">
        <f t="shared" si="12"/>
        <v>5.6416795323915272</v>
      </c>
      <c r="G799">
        <v>0</v>
      </c>
    </row>
    <row r="800" spans="1:7" x14ac:dyDescent="0.25">
      <c r="A800">
        <v>18067</v>
      </c>
      <c r="B800" t="s">
        <v>39</v>
      </c>
      <c r="C800">
        <v>6</v>
      </c>
      <c r="D800" s="3">
        <f>in_parking_demand_data_ver1!D800*calibration!$I$31</f>
        <v>0</v>
      </c>
      <c r="E800" s="3">
        <f>in_parking_demand_data_ver1!E800*calibration!$I$31</f>
        <v>6.440917466146999</v>
      </c>
      <c r="F800" s="3">
        <f t="shared" si="12"/>
        <v>6.440917466146999</v>
      </c>
      <c r="G800">
        <v>0</v>
      </c>
    </row>
    <row r="801" spans="1:7" x14ac:dyDescent="0.25">
      <c r="A801">
        <v>18067</v>
      </c>
      <c r="B801" t="s">
        <v>39</v>
      </c>
      <c r="C801">
        <v>7</v>
      </c>
      <c r="D801" s="3">
        <f>in_parking_demand_data_ver1!D801*calibration!$I$31</f>
        <v>0</v>
      </c>
      <c r="E801" s="3">
        <f>in_parking_demand_data_ver1!E801*calibration!$I$31</f>
        <v>6.6289734505600499</v>
      </c>
      <c r="F801" s="3">
        <f t="shared" si="12"/>
        <v>6.6289734505600499</v>
      </c>
      <c r="G801">
        <v>0</v>
      </c>
    </row>
    <row r="802" spans="1:7" x14ac:dyDescent="0.25">
      <c r="A802">
        <v>18067</v>
      </c>
      <c r="B802" t="s">
        <v>39</v>
      </c>
      <c r="C802">
        <v>8</v>
      </c>
      <c r="D802" s="3">
        <f>in_parking_demand_data_ver1!D802*calibration!$I$31</f>
        <v>0</v>
      </c>
      <c r="E802" s="3">
        <f>in_parking_demand_data_ver1!E802*calibration!$I$31</f>
        <v>6.7700154388698364</v>
      </c>
      <c r="F802" s="3">
        <f t="shared" si="12"/>
        <v>6.7700154388698364</v>
      </c>
      <c r="G802">
        <v>0</v>
      </c>
    </row>
    <row r="803" spans="1:7" x14ac:dyDescent="0.25">
      <c r="A803">
        <v>18067</v>
      </c>
      <c r="B803" t="s">
        <v>39</v>
      </c>
      <c r="C803">
        <v>9</v>
      </c>
      <c r="D803" s="3">
        <f>in_parking_demand_data_ver1!D803*calibration!$I$31</f>
        <v>0</v>
      </c>
      <c r="E803" s="3">
        <f>in_parking_demand_data_ver1!E803*calibration!$I$31</f>
        <v>6.2998754778372037</v>
      </c>
      <c r="F803" s="3">
        <f t="shared" si="12"/>
        <v>6.2998754778372037</v>
      </c>
      <c r="G803">
        <v>0</v>
      </c>
    </row>
    <row r="804" spans="1:7" x14ac:dyDescent="0.25">
      <c r="A804">
        <v>18067</v>
      </c>
      <c r="B804" t="s">
        <v>39</v>
      </c>
      <c r="C804">
        <v>10</v>
      </c>
      <c r="D804" s="3">
        <f>in_parking_demand_data_ver1!D804*calibration!$I$31</f>
        <v>0</v>
      </c>
      <c r="E804" s="3">
        <f>in_parking_demand_data_ver1!E804*calibration!$I$31</f>
        <v>5.735707524598058</v>
      </c>
      <c r="F804" s="3">
        <f t="shared" si="12"/>
        <v>5.735707524598058</v>
      </c>
      <c r="G804">
        <v>0</v>
      </c>
    </row>
    <row r="805" spans="1:7" x14ac:dyDescent="0.25">
      <c r="A805">
        <v>18067</v>
      </c>
      <c r="B805" t="s">
        <v>39</v>
      </c>
      <c r="C805">
        <v>11</v>
      </c>
      <c r="D805" s="3">
        <f>in_parking_demand_data_ver1!D805*calibration!$I$31</f>
        <v>0</v>
      </c>
      <c r="E805" s="3">
        <f>in_parking_demand_data_ver1!E805*calibration!$I$31</f>
        <v>3.1499377389186018</v>
      </c>
      <c r="F805" s="3">
        <f t="shared" si="12"/>
        <v>3.1499377389186018</v>
      </c>
      <c r="G805">
        <v>0</v>
      </c>
    </row>
    <row r="806" spans="1:7" x14ac:dyDescent="0.25">
      <c r="A806">
        <v>18067</v>
      </c>
      <c r="B806" t="s">
        <v>39</v>
      </c>
      <c r="C806">
        <v>12</v>
      </c>
      <c r="D806" s="3">
        <f>in_parking_demand_data_ver1!D806*calibration!$I$31</f>
        <v>0</v>
      </c>
      <c r="E806" s="3">
        <f>in_parking_demand_data_ver1!E806*calibration!$I$31</f>
        <v>3.4320217155381747</v>
      </c>
      <c r="F806" s="3">
        <f t="shared" si="12"/>
        <v>3.4320217155381747</v>
      </c>
      <c r="G806">
        <v>0</v>
      </c>
    </row>
    <row r="807" spans="1:7" x14ac:dyDescent="0.25">
      <c r="A807">
        <v>18067</v>
      </c>
      <c r="B807" t="s">
        <v>39</v>
      </c>
      <c r="C807">
        <v>13</v>
      </c>
      <c r="D807" s="3">
        <f>in_parking_demand_data_ver1!D807*calibration!$I$31</f>
        <v>0</v>
      </c>
      <c r="E807" s="3">
        <f>in_parking_demand_data_ver1!E807*calibration!$I$31</f>
        <v>3.3379937233316532</v>
      </c>
      <c r="F807" s="3">
        <f t="shared" si="12"/>
        <v>3.3379937233316532</v>
      </c>
      <c r="G807">
        <v>0</v>
      </c>
    </row>
    <row r="808" spans="1:7" x14ac:dyDescent="0.25">
      <c r="A808">
        <v>18067</v>
      </c>
      <c r="B808" t="s">
        <v>39</v>
      </c>
      <c r="C808">
        <v>14</v>
      </c>
      <c r="D808" s="3">
        <f>in_parking_demand_data_ver1!D808*calibration!$I$31</f>
        <v>0</v>
      </c>
      <c r="E808" s="3">
        <f>in_parking_demand_data_ver1!E808*calibration!$I$31</f>
        <v>1.2693778947880869</v>
      </c>
      <c r="F808" s="3">
        <f t="shared" si="12"/>
        <v>1.2693778947880869</v>
      </c>
      <c r="G808">
        <v>0</v>
      </c>
    </row>
    <row r="809" spans="1:7" x14ac:dyDescent="0.25">
      <c r="A809">
        <v>18067</v>
      </c>
      <c r="B809" t="s">
        <v>39</v>
      </c>
      <c r="C809">
        <v>15</v>
      </c>
      <c r="D809" s="3">
        <f>in_parking_demand_data_ver1!D809*calibration!$I$31</f>
        <v>0</v>
      </c>
      <c r="E809" s="3">
        <f>in_parking_demand_data_ver1!E809*calibration!$I$31</f>
        <v>1.4104198830978818</v>
      </c>
      <c r="F809" s="3">
        <f t="shared" si="12"/>
        <v>1.4104198830978818</v>
      </c>
      <c r="G809">
        <v>0</v>
      </c>
    </row>
    <row r="810" spans="1:7" x14ac:dyDescent="0.25">
      <c r="A810">
        <v>18067</v>
      </c>
      <c r="B810" t="s">
        <v>39</v>
      </c>
      <c r="C810">
        <v>16</v>
      </c>
      <c r="D810" s="3">
        <f>in_parking_demand_data_ver1!D810*calibration!$I$31</f>
        <v>0</v>
      </c>
      <c r="E810" s="3">
        <f>in_parking_demand_data_ver1!E810*calibration!$I$31</f>
        <v>0.7052099415489409</v>
      </c>
      <c r="F810" s="3">
        <f t="shared" si="12"/>
        <v>0.7052099415489409</v>
      </c>
      <c r="G810">
        <v>0</v>
      </c>
    </row>
    <row r="811" spans="1:7" x14ac:dyDescent="0.25">
      <c r="A811">
        <v>18067</v>
      </c>
      <c r="B811" t="s">
        <v>39</v>
      </c>
      <c r="C811">
        <v>17</v>
      </c>
      <c r="D811" s="3">
        <f>in_parking_demand_data_ver1!D811*calibration!$I$31</f>
        <v>0</v>
      </c>
      <c r="E811" s="3">
        <f>in_parking_demand_data_ver1!E811*calibration!$I$31</f>
        <v>0.32909797272283886</v>
      </c>
      <c r="F811" s="3">
        <f t="shared" si="12"/>
        <v>0.32909797272283886</v>
      </c>
      <c r="G811">
        <v>0</v>
      </c>
    </row>
    <row r="812" spans="1:7" x14ac:dyDescent="0.25">
      <c r="A812">
        <v>18067</v>
      </c>
      <c r="B812" t="s">
        <v>39</v>
      </c>
      <c r="C812">
        <v>18</v>
      </c>
      <c r="D812" s="3">
        <f>in_parking_demand_data_ver1!D812*calibration!$I$31</f>
        <v>0</v>
      </c>
      <c r="E812" s="3">
        <f>in_parking_demand_data_ver1!E812*calibration!$I$31</f>
        <v>0.37611196882610215</v>
      </c>
      <c r="F812" s="3">
        <f t="shared" si="12"/>
        <v>0.37611196882610215</v>
      </c>
      <c r="G812">
        <v>0</v>
      </c>
    </row>
    <row r="813" spans="1:7" x14ac:dyDescent="0.25">
      <c r="A813">
        <v>18067</v>
      </c>
      <c r="B813" t="s">
        <v>39</v>
      </c>
      <c r="C813">
        <v>19</v>
      </c>
      <c r="D813" s="3">
        <f>in_parking_demand_data_ver1!D813*calibration!$I$31</f>
        <v>0</v>
      </c>
      <c r="E813" s="3">
        <f>in_parking_demand_data_ver1!E813*calibration!$I$31</f>
        <v>0.65819594544567861</v>
      </c>
      <c r="F813" s="3">
        <f t="shared" si="12"/>
        <v>0.65819594544567861</v>
      </c>
      <c r="G813">
        <v>0</v>
      </c>
    </row>
    <row r="814" spans="1:7" x14ac:dyDescent="0.25">
      <c r="A814">
        <v>18067</v>
      </c>
      <c r="B814" t="s">
        <v>39</v>
      </c>
      <c r="C814">
        <v>20</v>
      </c>
      <c r="D814" s="3">
        <f>in_parking_demand_data_ver1!D814*calibration!$I$31</f>
        <v>0</v>
      </c>
      <c r="E814" s="3">
        <f>in_parking_demand_data_ver1!E814*calibration!$I$31</f>
        <v>0.94027992206524902</v>
      </c>
      <c r="F814" s="3">
        <f t="shared" si="12"/>
        <v>0.94027992206524902</v>
      </c>
      <c r="G814">
        <v>0</v>
      </c>
    </row>
    <row r="815" spans="1:7" x14ac:dyDescent="0.25">
      <c r="A815">
        <v>18067</v>
      </c>
      <c r="B815" t="s">
        <v>39</v>
      </c>
      <c r="C815">
        <v>21</v>
      </c>
      <c r="D815" s="3">
        <f>in_parking_demand_data_ver1!D815*calibration!$I$31</f>
        <v>0</v>
      </c>
      <c r="E815" s="3">
        <f>in_parking_demand_data_ver1!E815*calibration!$I$31</f>
        <v>0.7052099415489409</v>
      </c>
      <c r="F815" s="3">
        <f t="shared" si="12"/>
        <v>0.7052099415489409</v>
      </c>
      <c r="G815">
        <v>0</v>
      </c>
    </row>
    <row r="816" spans="1:7" x14ac:dyDescent="0.25">
      <c r="A816">
        <v>18067</v>
      </c>
      <c r="B816" t="s">
        <v>39</v>
      </c>
      <c r="C816">
        <v>22</v>
      </c>
      <c r="D816" s="3">
        <f>in_parking_demand_data_ver1!D816*calibration!$I$31</f>
        <v>0</v>
      </c>
      <c r="E816" s="3">
        <f>in_parking_demand_data_ver1!E816*calibration!$I$31</f>
        <v>0.5171539571358903</v>
      </c>
      <c r="F816" s="3">
        <f t="shared" si="12"/>
        <v>0.5171539571358903</v>
      </c>
      <c r="G816">
        <v>0</v>
      </c>
    </row>
    <row r="817" spans="1:7" x14ac:dyDescent="0.25">
      <c r="A817">
        <v>18067</v>
      </c>
      <c r="B817" t="s">
        <v>39</v>
      </c>
      <c r="C817">
        <v>23</v>
      </c>
      <c r="D817" s="3">
        <f>in_parking_demand_data_ver1!D817*calibration!$I$31</f>
        <v>0</v>
      </c>
      <c r="E817" s="3">
        <f>in_parking_demand_data_ver1!E817*calibration!$I$31</f>
        <v>1.0343079142717788</v>
      </c>
      <c r="F817" s="3">
        <f t="shared" si="12"/>
        <v>1.0343079142717788</v>
      </c>
      <c r="G817">
        <v>0</v>
      </c>
    </row>
    <row r="818" spans="1:7" x14ac:dyDescent="0.25">
      <c r="A818">
        <v>18069</v>
      </c>
      <c r="B818" t="s">
        <v>40</v>
      </c>
      <c r="C818">
        <v>0</v>
      </c>
      <c r="D818" s="3">
        <f>in_parking_demand_data_ver1!D818*calibration!$I$31</f>
        <v>28.940213427886849</v>
      </c>
      <c r="E818" s="3">
        <f>in_parking_demand_data_ver1!E818*calibration!$I$31</f>
        <v>1.9005513295925691</v>
      </c>
      <c r="F818" s="3">
        <f t="shared" si="12"/>
        <v>30.84076475747942</v>
      </c>
      <c r="G818">
        <v>130</v>
      </c>
    </row>
    <row r="819" spans="1:7" x14ac:dyDescent="0.25">
      <c r="A819">
        <v>18069</v>
      </c>
      <c r="B819" t="s">
        <v>40</v>
      </c>
      <c r="C819">
        <v>1</v>
      </c>
      <c r="D819" s="3">
        <f>in_parking_demand_data_ver1!D819*calibration!$I$31</f>
        <v>29.7177116990838</v>
      </c>
      <c r="E819" s="3">
        <f>in_parking_demand_data_ver1!E819*calibration!$I$31</f>
        <v>2.303698581324324</v>
      </c>
      <c r="F819" s="3">
        <f t="shared" si="12"/>
        <v>32.021410280408126</v>
      </c>
      <c r="G819">
        <v>130</v>
      </c>
    </row>
    <row r="820" spans="1:7" x14ac:dyDescent="0.25">
      <c r="A820">
        <v>18069</v>
      </c>
      <c r="B820" t="s">
        <v>40</v>
      </c>
      <c r="C820">
        <v>2</v>
      </c>
      <c r="D820" s="3">
        <f>in_parking_demand_data_ver1!D820*calibration!$I$31</f>
        <v>30.149655183082114</v>
      </c>
      <c r="E820" s="3">
        <f>in_parking_demand_data_ver1!E820*calibration!$I$31</f>
        <v>3.3115667106537199</v>
      </c>
      <c r="F820" s="3">
        <f t="shared" si="12"/>
        <v>33.461221893735832</v>
      </c>
      <c r="G820">
        <v>130</v>
      </c>
    </row>
    <row r="821" spans="1:7" x14ac:dyDescent="0.25">
      <c r="A821">
        <v>18069</v>
      </c>
      <c r="B821" t="s">
        <v>40</v>
      </c>
      <c r="C821">
        <v>3</v>
      </c>
      <c r="D821" s="3">
        <f>in_parking_demand_data_ver1!D821*calibration!$I$31</f>
        <v>30.092062718548995</v>
      </c>
      <c r="E821" s="3">
        <f>in_parking_demand_data_ver1!E821*calibration!$I$31</f>
        <v>3.3403629429202715</v>
      </c>
      <c r="F821" s="3">
        <f t="shared" si="12"/>
        <v>33.432425661469267</v>
      </c>
      <c r="G821">
        <v>130</v>
      </c>
    </row>
    <row r="822" spans="1:7" x14ac:dyDescent="0.25">
      <c r="A822">
        <v>18069</v>
      </c>
      <c r="B822" t="s">
        <v>40</v>
      </c>
      <c r="C822">
        <v>4</v>
      </c>
      <c r="D822" s="3">
        <f>in_parking_demand_data_ver1!D822*calibration!$I$31</f>
        <v>29.256971982818925</v>
      </c>
      <c r="E822" s="3">
        <f>in_parking_demand_data_ver1!E822*calibration!$I$31</f>
        <v>3.9738800527844638</v>
      </c>
      <c r="F822" s="3">
        <f t="shared" si="12"/>
        <v>33.230852035603391</v>
      </c>
      <c r="G822">
        <v>130</v>
      </c>
    </row>
    <row r="823" spans="1:7" x14ac:dyDescent="0.25">
      <c r="A823">
        <v>18069</v>
      </c>
      <c r="B823" t="s">
        <v>40</v>
      </c>
      <c r="C823">
        <v>5</v>
      </c>
      <c r="D823" s="3">
        <f>in_parking_demand_data_ver1!D823*calibration!$I$31</f>
        <v>28.133918924423341</v>
      </c>
      <c r="E823" s="3">
        <f>in_parking_demand_data_ver1!E823*calibration!$I$31</f>
        <v>4.8665632530476453</v>
      </c>
      <c r="F823" s="3">
        <f t="shared" si="12"/>
        <v>33.000482177470985</v>
      </c>
      <c r="G823">
        <v>130</v>
      </c>
    </row>
    <row r="824" spans="1:7" x14ac:dyDescent="0.25">
      <c r="A824">
        <v>18069</v>
      </c>
      <c r="B824" t="s">
        <v>40</v>
      </c>
      <c r="C824">
        <v>6</v>
      </c>
      <c r="D824" s="3">
        <f>in_parking_demand_data_ver1!D824*calibration!$I$31</f>
        <v>27.154847027360468</v>
      </c>
      <c r="E824" s="3">
        <f>in_parking_demand_data_ver1!E824*calibration!$I$31</f>
        <v>6.738318350373663</v>
      </c>
      <c r="F824" s="3">
        <f t="shared" si="12"/>
        <v>33.893165377734128</v>
      </c>
      <c r="G824">
        <v>130</v>
      </c>
    </row>
    <row r="825" spans="1:7" x14ac:dyDescent="0.25">
      <c r="A825">
        <v>18069</v>
      </c>
      <c r="B825" t="s">
        <v>40</v>
      </c>
      <c r="C825">
        <v>7</v>
      </c>
      <c r="D825" s="3">
        <f>in_parking_demand_data_ver1!D825*calibration!$I$31</f>
        <v>22.576246096978362</v>
      </c>
      <c r="E825" s="3">
        <f>in_parking_demand_data_ver1!E825*calibration!$I$31</f>
        <v>7.3142429957047437</v>
      </c>
      <c r="F825" s="3">
        <f t="shared" si="12"/>
        <v>29.890489092683104</v>
      </c>
      <c r="G825">
        <v>130</v>
      </c>
    </row>
    <row r="826" spans="1:7" x14ac:dyDescent="0.25">
      <c r="A826">
        <v>18069</v>
      </c>
      <c r="B826" t="s">
        <v>40</v>
      </c>
      <c r="C826">
        <v>8</v>
      </c>
      <c r="D826" s="3">
        <f>in_parking_demand_data_ver1!D826*calibration!$I$31</f>
        <v>15.405984262606369</v>
      </c>
      <c r="E826" s="3">
        <f>in_parking_demand_data_ver1!E826*calibration!$I$31</f>
        <v>5.7304502210442667</v>
      </c>
      <c r="F826" s="3">
        <f t="shared" si="12"/>
        <v>21.136434483650635</v>
      </c>
      <c r="G826">
        <v>130</v>
      </c>
    </row>
    <row r="827" spans="1:7" x14ac:dyDescent="0.25">
      <c r="A827">
        <v>18069</v>
      </c>
      <c r="B827" t="s">
        <v>40</v>
      </c>
      <c r="C827">
        <v>9</v>
      </c>
      <c r="D827" s="3">
        <f>in_parking_demand_data_ver1!D827*calibration!$I$31</f>
        <v>12.38237987461825</v>
      </c>
      <c r="E827" s="3">
        <f>in_parking_demand_data_ver1!E827*calibration!$I$31</f>
        <v>4.7801745562479825</v>
      </c>
      <c r="F827" s="3">
        <f t="shared" si="12"/>
        <v>17.162554430866233</v>
      </c>
      <c r="G827">
        <v>130</v>
      </c>
    </row>
    <row r="828" spans="1:7" x14ac:dyDescent="0.25">
      <c r="A828">
        <v>18069</v>
      </c>
      <c r="B828" t="s">
        <v>40</v>
      </c>
      <c r="C828">
        <v>10</v>
      </c>
      <c r="D828" s="3">
        <f>in_parking_demand_data_ver1!D828*calibration!$I$31</f>
        <v>10.62580970635843</v>
      </c>
      <c r="E828" s="3">
        <f>in_parking_demand_data_ver1!E828*calibration!$I$31</f>
        <v>3.8874913559848006</v>
      </c>
      <c r="F828" s="3">
        <f t="shared" si="12"/>
        <v>14.513301062343231</v>
      </c>
      <c r="G828">
        <v>130</v>
      </c>
    </row>
    <row r="829" spans="1:7" x14ac:dyDescent="0.25">
      <c r="A829">
        <v>18069</v>
      </c>
      <c r="B829" t="s">
        <v>40</v>
      </c>
      <c r="C829">
        <v>11</v>
      </c>
      <c r="D829" s="3">
        <f>in_parking_demand_data_ver1!D829*calibration!$I$31</f>
        <v>9.502756647962844</v>
      </c>
      <c r="E829" s="3">
        <f>in_parking_demand_data_ver1!E829*calibration!$I$31</f>
        <v>2.8508269943888536</v>
      </c>
      <c r="F829" s="3">
        <f t="shared" si="12"/>
        <v>12.353583642351698</v>
      </c>
      <c r="G829">
        <v>130</v>
      </c>
    </row>
    <row r="830" spans="1:7" x14ac:dyDescent="0.25">
      <c r="A830">
        <v>18069</v>
      </c>
      <c r="B830" t="s">
        <v>40</v>
      </c>
      <c r="C830">
        <v>12</v>
      </c>
      <c r="D830" s="3">
        <f>in_parking_demand_data_ver1!D830*calibration!$I$31</f>
        <v>8.9556282348982901</v>
      </c>
      <c r="E830" s="3">
        <f>in_parking_demand_data_ver1!E830*calibration!$I$31</f>
        <v>3.2251780138540567</v>
      </c>
      <c r="F830" s="3">
        <f t="shared" si="12"/>
        <v>12.180806248752347</v>
      </c>
      <c r="G830">
        <v>130</v>
      </c>
    </row>
    <row r="831" spans="1:7" x14ac:dyDescent="0.25">
      <c r="A831">
        <v>18069</v>
      </c>
      <c r="B831" t="s">
        <v>40</v>
      </c>
      <c r="C831">
        <v>13</v>
      </c>
      <c r="D831" s="3">
        <f>in_parking_demand_data_ver1!D831*calibration!$I$31</f>
        <v>8.3797035895672423</v>
      </c>
      <c r="E831" s="3">
        <f>in_parking_demand_data_ver1!E831*calibration!$I$31</f>
        <v>1.9869400263922319</v>
      </c>
      <c r="F831" s="3">
        <f t="shared" si="12"/>
        <v>10.366643615959473</v>
      </c>
      <c r="G831">
        <v>130</v>
      </c>
    </row>
    <row r="832" spans="1:7" x14ac:dyDescent="0.25">
      <c r="A832">
        <v>18069</v>
      </c>
      <c r="B832" t="s">
        <v>40</v>
      </c>
      <c r="C832">
        <v>14</v>
      </c>
      <c r="D832" s="3">
        <f>in_parking_demand_data_ver1!D832*calibration!$I$31</f>
        <v>8.7828508412989308</v>
      </c>
      <c r="E832" s="3">
        <f>in_parking_demand_data_ver1!E832*calibration!$I$31</f>
        <v>1.9869400263922319</v>
      </c>
      <c r="F832" s="3">
        <f t="shared" si="12"/>
        <v>10.769790867691162</v>
      </c>
      <c r="G832">
        <v>130</v>
      </c>
    </row>
    <row r="833" spans="1:7" x14ac:dyDescent="0.25">
      <c r="A833">
        <v>18069</v>
      </c>
      <c r="B833" t="s">
        <v>40</v>
      </c>
      <c r="C833">
        <v>15</v>
      </c>
      <c r="D833" s="3">
        <f>in_parking_demand_data_ver1!D833*calibration!$I$31</f>
        <v>9.9059038996946001</v>
      </c>
      <c r="E833" s="3">
        <f>in_parking_demand_data_ver1!E833*calibration!$I$31</f>
        <v>1.3246266842614878</v>
      </c>
      <c r="F833" s="3">
        <f t="shared" si="12"/>
        <v>11.230530583956089</v>
      </c>
      <c r="G833">
        <v>130</v>
      </c>
    </row>
    <row r="834" spans="1:7" x14ac:dyDescent="0.25">
      <c r="A834">
        <v>18069</v>
      </c>
      <c r="B834" t="s">
        <v>40</v>
      </c>
      <c r="C834">
        <v>16</v>
      </c>
      <c r="D834" s="3">
        <f>in_parking_demand_data_ver1!D834*calibration!$I$31</f>
        <v>11.633677835687861</v>
      </c>
      <c r="E834" s="3">
        <f>in_parking_demand_data_ver1!E834*calibration!$I$31</f>
        <v>1.2670342197283766</v>
      </c>
      <c r="F834" s="3">
        <f t="shared" si="12"/>
        <v>12.900712055416237</v>
      </c>
      <c r="G834">
        <v>130</v>
      </c>
    </row>
    <row r="835" spans="1:7" x14ac:dyDescent="0.25">
      <c r="A835">
        <v>18069</v>
      </c>
      <c r="B835" t="s">
        <v>40</v>
      </c>
      <c r="C835">
        <v>17</v>
      </c>
      <c r="D835" s="3">
        <f>in_parking_demand_data_ver1!D835*calibration!$I$31</f>
        <v>13.707006558879756</v>
      </c>
      <c r="E835" s="3">
        <f>in_parking_demand_data_ver1!E835*calibration!$I$31</f>
        <v>1.238237987461825</v>
      </c>
      <c r="F835" s="3">
        <f t="shared" ref="F835:F898" si="13">SUM(D835:E835)</f>
        <v>14.945244546341581</v>
      </c>
      <c r="G835">
        <v>130</v>
      </c>
    </row>
    <row r="836" spans="1:7" x14ac:dyDescent="0.25">
      <c r="A836">
        <v>18069</v>
      </c>
      <c r="B836" t="s">
        <v>40</v>
      </c>
      <c r="C836">
        <v>18</v>
      </c>
      <c r="D836" s="3">
        <f>in_parking_demand_data_ver1!D836*calibration!$I$31</f>
        <v>15.348391798073335</v>
      </c>
      <c r="E836" s="3">
        <f>in_parking_demand_data_ver1!E836*calibration!$I$31</f>
        <v>1.0366643615959477</v>
      </c>
      <c r="F836" s="3">
        <f t="shared" si="13"/>
        <v>16.385056159669283</v>
      </c>
      <c r="G836">
        <v>130</v>
      </c>
    </row>
    <row r="837" spans="1:7" x14ac:dyDescent="0.25">
      <c r="A837">
        <v>18069</v>
      </c>
      <c r="B837" t="s">
        <v>40</v>
      </c>
      <c r="C837">
        <v>19</v>
      </c>
      <c r="D837" s="3">
        <f>in_parking_demand_data_ver1!D837*calibration!$I$31</f>
        <v>18.919124599126008</v>
      </c>
      <c r="E837" s="3">
        <f>in_parking_demand_data_ver1!E837*calibration!$I$31</f>
        <v>1.4398116133277026</v>
      </c>
      <c r="F837" s="3">
        <f t="shared" si="13"/>
        <v>20.35893621245371</v>
      </c>
      <c r="G837">
        <v>130</v>
      </c>
    </row>
    <row r="838" spans="1:7" x14ac:dyDescent="0.25">
      <c r="A838">
        <v>18069</v>
      </c>
      <c r="B838" t="s">
        <v>40</v>
      </c>
      <c r="C838">
        <v>20</v>
      </c>
      <c r="D838" s="3">
        <f>in_parking_demand_data_ver1!D838*calibration!$I$31</f>
        <v>22.288283774312848</v>
      </c>
      <c r="E838" s="3">
        <f>in_parking_demand_data_ver1!E838*calibration!$I$31</f>
        <v>1.295830451994928</v>
      </c>
      <c r="F838" s="3">
        <f t="shared" si="13"/>
        <v>23.584114226307776</v>
      </c>
      <c r="G838">
        <v>130</v>
      </c>
    </row>
    <row r="839" spans="1:7" x14ac:dyDescent="0.25">
      <c r="A839">
        <v>18069</v>
      </c>
      <c r="B839" t="s">
        <v>40</v>
      </c>
      <c r="C839">
        <v>21</v>
      </c>
      <c r="D839" s="3">
        <f>in_parking_demand_data_ver1!D839*calibration!$I$31</f>
        <v>24.534389891104105</v>
      </c>
      <c r="E839" s="3">
        <f>in_parking_demand_data_ver1!E839*calibration!$I$31</f>
        <v>1.2670342197283766</v>
      </c>
      <c r="F839" s="3">
        <f t="shared" si="13"/>
        <v>25.801424110832482</v>
      </c>
      <c r="G839">
        <v>130</v>
      </c>
    </row>
    <row r="840" spans="1:7" x14ac:dyDescent="0.25">
      <c r="A840">
        <v>18069</v>
      </c>
      <c r="B840" t="s">
        <v>40</v>
      </c>
      <c r="C840">
        <v>22</v>
      </c>
      <c r="D840" s="3">
        <f>in_parking_demand_data_ver1!D840*calibration!$I$31</f>
        <v>26.233367594830721</v>
      </c>
      <c r="E840" s="3">
        <f>in_parking_demand_data_ver1!E840*calibration!$I$31</f>
        <v>1.6125890069270283</v>
      </c>
      <c r="F840" s="3">
        <f t="shared" si="13"/>
        <v>27.845956601757749</v>
      </c>
      <c r="G840">
        <v>130</v>
      </c>
    </row>
    <row r="841" spans="1:7" x14ac:dyDescent="0.25">
      <c r="A841">
        <v>18069</v>
      </c>
      <c r="B841" t="s">
        <v>40</v>
      </c>
      <c r="C841">
        <v>23</v>
      </c>
      <c r="D841" s="3">
        <f>in_parking_demand_data_ver1!D841*calibration!$I$31</f>
        <v>27.701975440425027</v>
      </c>
      <c r="E841" s="3">
        <f>in_parking_demand_data_ver1!E841*calibration!$I$31</f>
        <v>1.7565701682597943</v>
      </c>
      <c r="F841" s="3">
        <f t="shared" si="13"/>
        <v>29.458545608684823</v>
      </c>
      <c r="G841">
        <v>130</v>
      </c>
    </row>
    <row r="842" spans="1:7" x14ac:dyDescent="0.25">
      <c r="A842">
        <v>18071</v>
      </c>
      <c r="B842" t="s">
        <v>41</v>
      </c>
      <c r="C842">
        <v>0</v>
      </c>
      <c r="D842" s="3">
        <f>in_parking_demand_data_ver1!D842*calibration!$I$31</f>
        <v>133.01032175874886</v>
      </c>
      <c r="E842" s="3">
        <f>in_parking_demand_data_ver1!E842*calibration!$I$31</f>
        <v>12.305769327448095</v>
      </c>
      <c r="F842" s="3">
        <f t="shared" si="13"/>
        <v>145.31609108619696</v>
      </c>
      <c r="G842">
        <v>189</v>
      </c>
    </row>
    <row r="843" spans="1:7" x14ac:dyDescent="0.25">
      <c r="A843">
        <v>18071</v>
      </c>
      <c r="B843" t="s">
        <v>41</v>
      </c>
      <c r="C843">
        <v>1</v>
      </c>
      <c r="D843" s="3">
        <f>in_parking_demand_data_ver1!D843*calibration!$I$31</f>
        <v>133.35750647331676</v>
      </c>
      <c r="E843" s="3">
        <f>in_parking_demand_data_ver1!E843*calibration!$I$31</f>
        <v>9.4125633727189086</v>
      </c>
      <c r="F843" s="3">
        <f t="shared" si="13"/>
        <v>142.77006984603568</v>
      </c>
      <c r="G843">
        <v>189</v>
      </c>
    </row>
    <row r="844" spans="1:7" x14ac:dyDescent="0.25">
      <c r="A844">
        <v>18071</v>
      </c>
      <c r="B844" t="s">
        <v>41</v>
      </c>
      <c r="C844">
        <v>2</v>
      </c>
      <c r="D844" s="3">
        <f>in_parking_demand_data_ver1!D844*calibration!$I$31</f>
        <v>134.82339749037979</v>
      </c>
      <c r="E844" s="3">
        <f>in_parking_demand_data_ver1!E844*calibration!$I$31</f>
        <v>9.489715531511635</v>
      </c>
      <c r="F844" s="3">
        <f t="shared" si="13"/>
        <v>144.31311302189141</v>
      </c>
      <c r="G844">
        <v>189</v>
      </c>
    </row>
    <row r="845" spans="1:7" x14ac:dyDescent="0.25">
      <c r="A845">
        <v>18071</v>
      </c>
      <c r="B845" t="s">
        <v>41</v>
      </c>
      <c r="C845">
        <v>3</v>
      </c>
      <c r="D845" s="3">
        <f>in_parking_demand_data_ver1!D845*calibration!$I$31</f>
        <v>134.3604845376226</v>
      </c>
      <c r="E845" s="3">
        <f>in_parking_demand_data_ver1!E845*calibration!$I$31</f>
        <v>8.9496504199622198</v>
      </c>
      <c r="F845" s="3">
        <f t="shared" si="13"/>
        <v>143.31013495758481</v>
      </c>
      <c r="G845">
        <v>189</v>
      </c>
    </row>
    <row r="846" spans="1:7" x14ac:dyDescent="0.25">
      <c r="A846">
        <v>18071</v>
      </c>
      <c r="B846" t="s">
        <v>41</v>
      </c>
      <c r="C846">
        <v>4</v>
      </c>
      <c r="D846" s="3">
        <f>in_parking_demand_data_ver1!D846*calibration!$I$31</f>
        <v>131.12009386832645</v>
      </c>
      <c r="E846" s="3">
        <f>in_parking_demand_data_ver1!E846*calibration!$I$31</f>
        <v>9.1039547375477543</v>
      </c>
      <c r="F846" s="3">
        <f t="shared" si="13"/>
        <v>140.2240486058742</v>
      </c>
      <c r="G846">
        <v>189</v>
      </c>
    </row>
    <row r="847" spans="1:7" x14ac:dyDescent="0.25">
      <c r="A847">
        <v>18071</v>
      </c>
      <c r="B847" t="s">
        <v>41</v>
      </c>
      <c r="C847">
        <v>5</v>
      </c>
      <c r="D847" s="3">
        <f>in_parking_demand_data_ver1!D847*calibration!$I$31</f>
        <v>125.565138435246</v>
      </c>
      <c r="E847" s="3">
        <f>in_parking_demand_data_ver1!E847*calibration!$I$31</f>
        <v>9.8369002460791943</v>
      </c>
      <c r="F847" s="3">
        <f t="shared" si="13"/>
        <v>135.40203868132519</v>
      </c>
      <c r="G847">
        <v>189</v>
      </c>
    </row>
    <row r="848" spans="1:7" x14ac:dyDescent="0.25">
      <c r="A848">
        <v>18071</v>
      </c>
      <c r="B848" t="s">
        <v>41</v>
      </c>
      <c r="C848">
        <v>6</v>
      </c>
      <c r="D848" s="3">
        <f>in_parking_demand_data_ver1!D848*calibration!$I$31</f>
        <v>114.84098836305</v>
      </c>
      <c r="E848" s="3">
        <f>in_parking_demand_data_ver1!E848*calibration!$I$31</f>
        <v>12.92298659779032</v>
      </c>
      <c r="F848" s="3">
        <f t="shared" si="13"/>
        <v>127.76397496084033</v>
      </c>
      <c r="G848">
        <v>189</v>
      </c>
    </row>
    <row r="849" spans="1:7" x14ac:dyDescent="0.25">
      <c r="A849">
        <v>18071</v>
      </c>
      <c r="B849" t="s">
        <v>41</v>
      </c>
      <c r="C849">
        <v>7</v>
      </c>
      <c r="D849" s="3">
        <f>in_parking_demand_data_ver1!D849*calibration!$I$31</f>
        <v>100.22065427181819</v>
      </c>
      <c r="E849" s="3">
        <f>in_parking_demand_data_ver1!E849*calibration!$I$31</f>
        <v>11.958584612880534</v>
      </c>
      <c r="F849" s="3">
        <f t="shared" si="13"/>
        <v>112.17923888469872</v>
      </c>
      <c r="G849">
        <v>189</v>
      </c>
    </row>
    <row r="850" spans="1:7" x14ac:dyDescent="0.25">
      <c r="A850">
        <v>18071</v>
      </c>
      <c r="B850" t="s">
        <v>41</v>
      </c>
      <c r="C850">
        <v>8</v>
      </c>
      <c r="D850" s="3">
        <f>in_parking_demand_data_ver1!D850*calibration!$I$31</f>
        <v>81.974168717326705</v>
      </c>
      <c r="E850" s="3">
        <f>in_parking_demand_data_ver1!E850*calibration!$I$31</f>
        <v>8.7567700229802803</v>
      </c>
      <c r="F850" s="3">
        <f t="shared" si="13"/>
        <v>90.730938740306982</v>
      </c>
      <c r="G850">
        <v>189</v>
      </c>
    </row>
    <row r="851" spans="1:7" x14ac:dyDescent="0.25">
      <c r="A851">
        <v>18071</v>
      </c>
      <c r="B851" t="s">
        <v>41</v>
      </c>
      <c r="C851">
        <v>9</v>
      </c>
      <c r="D851" s="3">
        <f>in_parking_demand_data_ver1!D851*calibration!$I$31</f>
        <v>68.742573484365323</v>
      </c>
      <c r="E851" s="3">
        <f>in_parking_demand_data_ver1!E851*calibration!$I$31</f>
        <v>5.7478358300619652</v>
      </c>
      <c r="F851" s="3">
        <f t="shared" si="13"/>
        <v>74.490409314427282</v>
      </c>
      <c r="G851">
        <v>189</v>
      </c>
    </row>
    <row r="852" spans="1:7" x14ac:dyDescent="0.25">
      <c r="A852">
        <v>18071</v>
      </c>
      <c r="B852" t="s">
        <v>41</v>
      </c>
      <c r="C852">
        <v>10</v>
      </c>
      <c r="D852" s="3">
        <f>in_parking_demand_data_ver1!D852*calibration!$I$31</f>
        <v>59.214281873457189</v>
      </c>
      <c r="E852" s="3">
        <f>in_parking_demand_data_ver1!E852*calibration!$I$31</f>
        <v>5.2463467979089122</v>
      </c>
      <c r="F852" s="3">
        <f t="shared" si="13"/>
        <v>64.460628671366095</v>
      </c>
      <c r="G852">
        <v>189</v>
      </c>
    </row>
    <row r="853" spans="1:7" x14ac:dyDescent="0.25">
      <c r="A853">
        <v>18071</v>
      </c>
      <c r="B853" t="s">
        <v>41</v>
      </c>
      <c r="C853">
        <v>11</v>
      </c>
      <c r="D853" s="3">
        <f>in_parking_demand_data_ver1!D853*calibration!$I$31</f>
        <v>58.558488523718566</v>
      </c>
      <c r="E853" s="3">
        <f>in_parking_demand_data_ver1!E853*calibration!$I$31</f>
        <v>5.2849228773053003</v>
      </c>
      <c r="F853" s="3">
        <f t="shared" si="13"/>
        <v>63.843411401023864</v>
      </c>
      <c r="G853">
        <v>189</v>
      </c>
    </row>
    <row r="854" spans="1:7" x14ac:dyDescent="0.25">
      <c r="A854">
        <v>18071</v>
      </c>
      <c r="B854" t="s">
        <v>41</v>
      </c>
      <c r="C854">
        <v>12</v>
      </c>
      <c r="D854" s="3">
        <f>in_parking_demand_data_ver1!D854*calibration!$I$31</f>
        <v>58.90567323828612</v>
      </c>
      <c r="E854" s="3">
        <f>in_parking_demand_data_ver1!E854*calibration!$I$31</f>
        <v>5.0534664009269639</v>
      </c>
      <c r="F854" s="3">
        <f t="shared" si="13"/>
        <v>63.959139639213085</v>
      </c>
      <c r="G854">
        <v>189</v>
      </c>
    </row>
    <row r="855" spans="1:7" x14ac:dyDescent="0.25">
      <c r="A855">
        <v>18071</v>
      </c>
      <c r="B855" t="s">
        <v>41</v>
      </c>
      <c r="C855">
        <v>13</v>
      </c>
      <c r="D855" s="3">
        <f>in_parking_demand_data_ver1!D855*calibration!$I$31</f>
        <v>54.353695869512208</v>
      </c>
      <c r="E855" s="3">
        <f>in_parking_demand_data_ver1!E855*calibration!$I$31</f>
        <v>4.3976730511883506</v>
      </c>
      <c r="F855" s="3">
        <f t="shared" si="13"/>
        <v>58.751368920700557</v>
      </c>
      <c r="G855">
        <v>189</v>
      </c>
    </row>
    <row r="856" spans="1:7" x14ac:dyDescent="0.25">
      <c r="A856">
        <v>18071</v>
      </c>
      <c r="B856" t="s">
        <v>41</v>
      </c>
      <c r="C856">
        <v>14</v>
      </c>
      <c r="D856" s="3">
        <f>in_parking_demand_data_ver1!D856*calibration!$I$31</f>
        <v>54.546576266494142</v>
      </c>
      <c r="E856" s="3">
        <f>in_parking_demand_data_ver1!E856*calibration!$I$31</f>
        <v>3.2789667486930649</v>
      </c>
      <c r="F856" s="3">
        <f t="shared" si="13"/>
        <v>57.825543015187208</v>
      </c>
      <c r="G856">
        <v>189</v>
      </c>
    </row>
    <row r="857" spans="1:7" x14ac:dyDescent="0.25">
      <c r="A857">
        <v>18071</v>
      </c>
      <c r="B857" t="s">
        <v>41</v>
      </c>
      <c r="C857">
        <v>15</v>
      </c>
      <c r="D857" s="3">
        <f>in_parking_demand_data_ver1!D857*calibration!$I$31</f>
        <v>58.944249317682441</v>
      </c>
      <c r="E857" s="3">
        <f>in_parking_demand_data_ver1!E857*calibration!$I$31</f>
        <v>1.928803969819451</v>
      </c>
      <c r="F857" s="3">
        <f t="shared" si="13"/>
        <v>60.873053287501889</v>
      </c>
      <c r="G857">
        <v>189</v>
      </c>
    </row>
    <row r="858" spans="1:7" x14ac:dyDescent="0.25">
      <c r="A858">
        <v>18071</v>
      </c>
      <c r="B858" t="s">
        <v>41</v>
      </c>
      <c r="C858">
        <v>16</v>
      </c>
      <c r="D858" s="3">
        <f>in_parking_demand_data_ver1!D858*calibration!$I$31</f>
        <v>66.273704402996415</v>
      </c>
      <c r="E858" s="3">
        <f>in_parking_demand_data_ver1!E858*calibration!$I$31</f>
        <v>2.4688690813689003</v>
      </c>
      <c r="F858" s="3">
        <f t="shared" si="13"/>
        <v>68.742573484365309</v>
      </c>
      <c r="G858">
        <v>189</v>
      </c>
    </row>
    <row r="859" spans="1:7" x14ac:dyDescent="0.25">
      <c r="A859">
        <v>18071</v>
      </c>
      <c r="B859" t="s">
        <v>41</v>
      </c>
      <c r="C859">
        <v>17</v>
      </c>
      <c r="D859" s="3">
        <f>in_parking_demand_data_ver1!D859*calibration!$I$31</f>
        <v>76.959278395796176</v>
      </c>
      <c r="E859" s="3">
        <f>in_parking_demand_data_ver1!E859*calibration!$I$31</f>
        <v>1.1187063024952775</v>
      </c>
      <c r="F859" s="3">
        <f t="shared" si="13"/>
        <v>78.077984698291459</v>
      </c>
      <c r="G859">
        <v>189</v>
      </c>
    </row>
    <row r="860" spans="1:7" x14ac:dyDescent="0.25">
      <c r="A860">
        <v>18071</v>
      </c>
      <c r="B860" t="s">
        <v>41</v>
      </c>
      <c r="C860">
        <v>18</v>
      </c>
      <c r="D860" s="3">
        <f>in_parking_demand_data_ver1!D860*calibration!$I$31</f>
        <v>89.149319485055145</v>
      </c>
      <c r="E860" s="3">
        <f>in_parking_demand_data_ver1!E860*calibration!$I$31</f>
        <v>1.2344345406844501</v>
      </c>
      <c r="F860" s="3">
        <f t="shared" si="13"/>
        <v>90.383754025739591</v>
      </c>
      <c r="G860">
        <v>189</v>
      </c>
    </row>
    <row r="861" spans="1:7" x14ac:dyDescent="0.25">
      <c r="A861">
        <v>18071</v>
      </c>
      <c r="B861" t="s">
        <v>41</v>
      </c>
      <c r="C861">
        <v>19</v>
      </c>
      <c r="D861" s="3">
        <f>in_parking_demand_data_ver1!D861*calibration!$I$31</f>
        <v>100.06634995423275</v>
      </c>
      <c r="E861" s="3">
        <f>in_parking_demand_data_ver1!E861*calibration!$I$31</f>
        <v>1.5816192552519506</v>
      </c>
      <c r="F861" s="3">
        <f t="shared" si="13"/>
        <v>101.6479692094847</v>
      </c>
      <c r="G861">
        <v>189</v>
      </c>
    </row>
    <row r="862" spans="1:7" x14ac:dyDescent="0.25">
      <c r="A862">
        <v>18071</v>
      </c>
      <c r="B862" t="s">
        <v>41</v>
      </c>
      <c r="C862">
        <v>20</v>
      </c>
      <c r="D862" s="3">
        <f>in_parking_demand_data_ver1!D862*calibration!$I$31</f>
        <v>109.90325020031219</v>
      </c>
      <c r="E862" s="3">
        <f>in_parking_demand_data_ver1!E862*calibration!$I$31</f>
        <v>3.3561189074858491</v>
      </c>
      <c r="F862" s="3">
        <f t="shared" si="13"/>
        <v>113.25936910779804</v>
      </c>
      <c r="G862">
        <v>189</v>
      </c>
    </row>
    <row r="863" spans="1:7" x14ac:dyDescent="0.25">
      <c r="A863">
        <v>18071</v>
      </c>
      <c r="B863" t="s">
        <v>41</v>
      </c>
      <c r="C863">
        <v>21</v>
      </c>
      <c r="D863" s="3">
        <f>in_parking_demand_data_ver1!D863*calibration!$I$31</f>
        <v>116.80836841226554</v>
      </c>
      <c r="E863" s="3">
        <f>in_parking_demand_data_ver1!E863*calibration!$I$31</f>
        <v>6.5965095767825268</v>
      </c>
      <c r="F863" s="3">
        <f t="shared" si="13"/>
        <v>123.40487798904806</v>
      </c>
      <c r="G863">
        <v>189</v>
      </c>
    </row>
    <row r="864" spans="1:7" x14ac:dyDescent="0.25">
      <c r="A864">
        <v>18071</v>
      </c>
      <c r="B864" t="s">
        <v>41</v>
      </c>
      <c r="C864">
        <v>22</v>
      </c>
      <c r="D864" s="3">
        <f>in_parking_demand_data_ver1!D864*calibration!$I$31</f>
        <v>126.2980839437771</v>
      </c>
      <c r="E864" s="3">
        <f>in_parking_demand_data_ver1!E864*calibration!$I$31</f>
        <v>12.498649724430035</v>
      </c>
      <c r="F864" s="3">
        <f t="shared" si="13"/>
        <v>138.79673366820714</v>
      </c>
      <c r="G864">
        <v>189</v>
      </c>
    </row>
    <row r="865" spans="1:7" x14ac:dyDescent="0.25">
      <c r="A865">
        <v>18071</v>
      </c>
      <c r="B865" t="s">
        <v>41</v>
      </c>
      <c r="C865">
        <v>23</v>
      </c>
      <c r="D865" s="3">
        <f>in_parking_demand_data_ver1!D865*calibration!$I$31</f>
        <v>133.01032175874886</v>
      </c>
      <c r="E865" s="3">
        <f>in_parking_demand_data_ver1!E865*calibration!$I$31</f>
        <v>14.813214488213399</v>
      </c>
      <c r="F865" s="3">
        <f t="shared" si="13"/>
        <v>147.82353624696225</v>
      </c>
      <c r="G865">
        <v>189</v>
      </c>
    </row>
    <row r="866" spans="1:7" x14ac:dyDescent="0.25">
      <c r="A866">
        <v>18073</v>
      </c>
      <c r="B866" t="s">
        <v>42</v>
      </c>
      <c r="C866">
        <v>0</v>
      </c>
      <c r="D866" s="3">
        <f>in_parking_demand_data_ver1!D866*calibration!$I$31</f>
        <v>566.31078260058416</v>
      </c>
      <c r="E866" s="3">
        <f>in_parking_demand_data_ver1!E866*calibration!$I$31</f>
        <v>16.327890694134499</v>
      </c>
      <c r="F866" s="3">
        <f t="shared" si="13"/>
        <v>582.63867329471861</v>
      </c>
      <c r="G866">
        <v>869</v>
      </c>
    </row>
    <row r="867" spans="1:7" x14ac:dyDescent="0.25">
      <c r="A867">
        <v>18073</v>
      </c>
      <c r="B867" t="s">
        <v>42</v>
      </c>
      <c r="C867">
        <v>1</v>
      </c>
      <c r="D867" s="3">
        <f>in_parking_demand_data_ver1!D867*calibration!$I$31</f>
        <v>567.23004722411474</v>
      </c>
      <c r="E867" s="3">
        <f>in_parking_demand_data_ver1!E867*calibration!$I$31</f>
        <v>18.735488517666322</v>
      </c>
      <c r="F867" s="3">
        <f t="shared" si="13"/>
        <v>585.96553574178108</v>
      </c>
      <c r="G867">
        <v>869</v>
      </c>
    </row>
    <row r="868" spans="1:7" x14ac:dyDescent="0.25">
      <c r="A868">
        <v>18073</v>
      </c>
      <c r="B868" t="s">
        <v>42</v>
      </c>
      <c r="C868">
        <v>2</v>
      </c>
      <c r="D868" s="3">
        <f>in_parking_demand_data_ver1!D868*calibration!$I$31</f>
        <v>560.18235177704878</v>
      </c>
      <c r="E868" s="3">
        <f>in_parking_demand_data_ver1!E868*calibration!$I$31</f>
        <v>21.318184364727831</v>
      </c>
      <c r="F868" s="3">
        <f t="shared" si="13"/>
        <v>581.50053614177659</v>
      </c>
      <c r="G868">
        <v>869</v>
      </c>
    </row>
    <row r="869" spans="1:7" x14ac:dyDescent="0.25">
      <c r="A869">
        <v>18073</v>
      </c>
      <c r="B869" t="s">
        <v>42</v>
      </c>
      <c r="C869">
        <v>3</v>
      </c>
      <c r="D869" s="3">
        <f>in_parking_demand_data_ver1!D869*calibration!$I$31</f>
        <v>533.61122670643294</v>
      </c>
      <c r="E869" s="3">
        <f>in_parking_demand_data_ver1!E869*calibration!$I$31</f>
        <v>19.567204129431882</v>
      </c>
      <c r="F869" s="3">
        <f t="shared" si="13"/>
        <v>553.17843083586479</v>
      </c>
      <c r="G869">
        <v>869</v>
      </c>
    </row>
    <row r="870" spans="1:7" x14ac:dyDescent="0.25">
      <c r="A870">
        <v>18073</v>
      </c>
      <c r="B870" t="s">
        <v>42</v>
      </c>
      <c r="C870">
        <v>4</v>
      </c>
      <c r="D870" s="3">
        <f>in_parking_demand_data_ver1!D870*calibration!$I$31</f>
        <v>506.03328800052185</v>
      </c>
      <c r="E870" s="3">
        <f>in_parking_demand_data_ver1!E870*calibration!$I$31</f>
        <v>20.574017764727117</v>
      </c>
      <c r="F870" s="3">
        <f t="shared" si="13"/>
        <v>526.60730576524895</v>
      </c>
      <c r="G870">
        <v>869</v>
      </c>
    </row>
    <row r="871" spans="1:7" x14ac:dyDescent="0.25">
      <c r="A871">
        <v>18073</v>
      </c>
      <c r="B871" t="s">
        <v>42</v>
      </c>
      <c r="C871">
        <v>5</v>
      </c>
      <c r="D871" s="3">
        <f>in_parking_demand_data_ver1!D871*calibration!$I$31</f>
        <v>459.93873330635705</v>
      </c>
      <c r="E871" s="3">
        <f>in_parking_demand_data_ver1!E871*calibration!$I$31</f>
        <v>24.294850764730946</v>
      </c>
      <c r="F871" s="3">
        <f t="shared" si="13"/>
        <v>484.23358407108799</v>
      </c>
      <c r="G871">
        <v>869</v>
      </c>
    </row>
    <row r="872" spans="1:7" x14ac:dyDescent="0.25">
      <c r="A872">
        <v>18073</v>
      </c>
      <c r="B872" t="s">
        <v>42</v>
      </c>
      <c r="C872">
        <v>6</v>
      </c>
      <c r="D872" s="3">
        <f>in_parking_demand_data_ver1!D872*calibration!$I$31</f>
        <v>393.09506282393522</v>
      </c>
      <c r="E872" s="3">
        <f>in_parking_demand_data_ver1!E872*calibration!$I$31</f>
        <v>22.018576458846209</v>
      </c>
      <c r="F872" s="3">
        <f t="shared" si="13"/>
        <v>415.11363928278143</v>
      </c>
      <c r="G872">
        <v>869</v>
      </c>
    </row>
    <row r="873" spans="1:7" x14ac:dyDescent="0.25">
      <c r="A873">
        <v>18073</v>
      </c>
      <c r="B873" t="s">
        <v>42</v>
      </c>
      <c r="C873">
        <v>7</v>
      </c>
      <c r="D873" s="3">
        <f>in_parking_demand_data_ver1!D873*calibration!$I$31</f>
        <v>320.86712811797793</v>
      </c>
      <c r="E873" s="3">
        <f>in_parking_demand_data_ver1!E873*calibration!$I$31</f>
        <v>15.452400576486525</v>
      </c>
      <c r="F873" s="3">
        <f t="shared" si="13"/>
        <v>336.31952869446445</v>
      </c>
      <c r="G873">
        <v>869</v>
      </c>
    </row>
    <row r="874" spans="1:7" x14ac:dyDescent="0.25">
      <c r="A874">
        <v>18073</v>
      </c>
      <c r="B874" t="s">
        <v>42</v>
      </c>
      <c r="C874">
        <v>8</v>
      </c>
      <c r="D874" s="3">
        <f>in_parking_demand_data_ver1!D874*calibration!$I$31</f>
        <v>262.51571177674151</v>
      </c>
      <c r="E874" s="3">
        <f>in_parking_demand_data_ver1!E874*calibration!$I$31</f>
        <v>9.7617148117747305</v>
      </c>
      <c r="F874" s="3">
        <f t="shared" si="13"/>
        <v>272.27742658851622</v>
      </c>
      <c r="G874">
        <v>869</v>
      </c>
    </row>
    <row r="875" spans="1:7" x14ac:dyDescent="0.25">
      <c r="A875">
        <v>18073</v>
      </c>
      <c r="B875" t="s">
        <v>42</v>
      </c>
      <c r="C875">
        <v>9</v>
      </c>
      <c r="D875" s="3">
        <f>in_parking_demand_data_ver1!D875*calibration!$I$31</f>
        <v>226.53306794140957</v>
      </c>
      <c r="E875" s="3">
        <f>in_parking_demand_data_ver1!E875*calibration!$I$31</f>
        <v>9.2801952470683648</v>
      </c>
      <c r="F875" s="3">
        <f t="shared" si="13"/>
        <v>235.81326318847795</v>
      </c>
      <c r="G875">
        <v>869</v>
      </c>
    </row>
    <row r="876" spans="1:7" x14ac:dyDescent="0.25">
      <c r="A876">
        <v>18073</v>
      </c>
      <c r="B876" t="s">
        <v>42</v>
      </c>
      <c r="C876">
        <v>10</v>
      </c>
      <c r="D876" s="3">
        <f>in_parking_demand_data_ver1!D876*calibration!$I$31</f>
        <v>214.05733376492668</v>
      </c>
      <c r="E876" s="3">
        <f>in_parking_demand_data_ver1!E876*calibration!$I$31</f>
        <v>8.2733816117732406</v>
      </c>
      <c r="F876" s="3">
        <f t="shared" si="13"/>
        <v>222.33071537669991</v>
      </c>
      <c r="G876">
        <v>869</v>
      </c>
    </row>
    <row r="877" spans="1:7" x14ac:dyDescent="0.25">
      <c r="A877">
        <v>18073</v>
      </c>
      <c r="B877" t="s">
        <v>42</v>
      </c>
      <c r="C877">
        <v>11</v>
      </c>
      <c r="D877" s="3">
        <f>in_parking_demand_data_ver1!D877*calibration!$I$31</f>
        <v>218.12836281198952</v>
      </c>
      <c r="E877" s="3">
        <f>in_parking_demand_data_ver1!E877*calibration!$I$31</f>
        <v>7.4416660000076771</v>
      </c>
      <c r="F877" s="3">
        <f t="shared" si="13"/>
        <v>225.57002881199719</v>
      </c>
      <c r="G877">
        <v>869</v>
      </c>
    </row>
    <row r="878" spans="1:7" x14ac:dyDescent="0.25">
      <c r="A878">
        <v>18073</v>
      </c>
      <c r="B878" t="s">
        <v>42</v>
      </c>
      <c r="C878">
        <v>12</v>
      </c>
      <c r="D878" s="3">
        <f>in_parking_demand_data_ver1!D878*calibration!$I$31</f>
        <v>231.34826358847411</v>
      </c>
      <c r="E878" s="3">
        <f>in_parking_demand_data_ver1!E878*calibration!$I$31</f>
        <v>6.6537248941245162</v>
      </c>
      <c r="F878" s="3">
        <f t="shared" si="13"/>
        <v>238.00198848259862</v>
      </c>
      <c r="G878">
        <v>869</v>
      </c>
    </row>
    <row r="879" spans="1:7" x14ac:dyDescent="0.25">
      <c r="A879">
        <v>18073</v>
      </c>
      <c r="B879" t="s">
        <v>42</v>
      </c>
      <c r="C879">
        <v>13</v>
      </c>
      <c r="D879" s="3">
        <f>in_parking_demand_data_ver1!D879*calibration!$I$31</f>
        <v>241.28507642377801</v>
      </c>
      <c r="E879" s="3">
        <f>in_parking_demand_data_ver1!E879*calibration!$I$31</f>
        <v>6.785048411771708</v>
      </c>
      <c r="F879" s="3">
        <f t="shared" si="13"/>
        <v>248.07012483554971</v>
      </c>
      <c r="G879">
        <v>869</v>
      </c>
    </row>
    <row r="880" spans="1:7" x14ac:dyDescent="0.25">
      <c r="A880">
        <v>18073</v>
      </c>
      <c r="B880" t="s">
        <v>42</v>
      </c>
      <c r="C880">
        <v>14</v>
      </c>
      <c r="D880" s="3">
        <f>in_parking_demand_data_ver1!D880*calibration!$I$31</f>
        <v>259.49527087085602</v>
      </c>
      <c r="E880" s="3">
        <f>in_parking_demand_data_ver1!E880*calibration!$I$31</f>
        <v>4.7714211411813912</v>
      </c>
      <c r="F880" s="3">
        <f t="shared" si="13"/>
        <v>264.26669201203742</v>
      </c>
      <c r="G880">
        <v>869</v>
      </c>
    </row>
    <row r="881" spans="1:7" x14ac:dyDescent="0.25">
      <c r="A881">
        <v>18073</v>
      </c>
      <c r="B881" t="s">
        <v>42</v>
      </c>
      <c r="C881">
        <v>15</v>
      </c>
      <c r="D881" s="3">
        <f>in_parking_demand_data_ver1!D881*calibration!$I$31</f>
        <v>290.66271905912345</v>
      </c>
      <c r="E881" s="3">
        <f>in_parking_demand_data_ver1!E881*calibration!$I$31</f>
        <v>3.8083820117686358</v>
      </c>
      <c r="F881" s="3">
        <f t="shared" si="13"/>
        <v>294.47110107089208</v>
      </c>
      <c r="G881">
        <v>869</v>
      </c>
    </row>
    <row r="882" spans="1:7" x14ac:dyDescent="0.25">
      <c r="A882">
        <v>18073</v>
      </c>
      <c r="B882" t="s">
        <v>42</v>
      </c>
      <c r="C882">
        <v>16</v>
      </c>
      <c r="D882" s="3">
        <f>in_parking_demand_data_ver1!D882*calibration!$I$31</f>
        <v>337.80786189446565</v>
      </c>
      <c r="E882" s="3">
        <f>in_parking_demand_data_ver1!E882*calibration!$I$31</f>
        <v>3.5457349764742432</v>
      </c>
      <c r="F882" s="3">
        <f t="shared" si="13"/>
        <v>341.3535968709399</v>
      </c>
      <c r="G882">
        <v>869</v>
      </c>
    </row>
    <row r="883" spans="1:7" x14ac:dyDescent="0.25">
      <c r="A883">
        <v>18073</v>
      </c>
      <c r="B883" t="s">
        <v>42</v>
      </c>
      <c r="C883">
        <v>17</v>
      </c>
      <c r="D883" s="3">
        <f>in_parking_demand_data_ver1!D883*calibration!$I$31</f>
        <v>382.10766184745307</v>
      </c>
      <c r="E883" s="3">
        <f>in_parking_demand_data_ver1!E883*calibration!$I$31</f>
        <v>4.0710290470630195</v>
      </c>
      <c r="F883" s="3">
        <f t="shared" si="13"/>
        <v>386.17869089451608</v>
      </c>
      <c r="G883">
        <v>869</v>
      </c>
    </row>
    <row r="884" spans="1:7" x14ac:dyDescent="0.25">
      <c r="A884">
        <v>18073</v>
      </c>
      <c r="B884" t="s">
        <v>42</v>
      </c>
      <c r="C884">
        <v>18</v>
      </c>
      <c r="D884" s="3">
        <f>in_parking_demand_data_ver1!D884*calibration!$I$31</f>
        <v>429.12148116514857</v>
      </c>
      <c r="E884" s="3">
        <f>in_parking_demand_data_ver1!E884*calibration!$I$31</f>
        <v>4.5525486117694012</v>
      </c>
      <c r="F884" s="3">
        <f t="shared" si="13"/>
        <v>433.67402977691796</v>
      </c>
      <c r="G884">
        <v>869</v>
      </c>
    </row>
    <row r="885" spans="1:7" x14ac:dyDescent="0.25">
      <c r="A885">
        <v>18073</v>
      </c>
      <c r="B885" t="s">
        <v>42</v>
      </c>
      <c r="C885">
        <v>19</v>
      </c>
      <c r="D885" s="3">
        <f>in_parking_demand_data_ver1!D885*calibration!$I$31</f>
        <v>474.38432024754809</v>
      </c>
      <c r="E885" s="3">
        <f>in_parking_demand_data_ver1!E885*calibration!$I$31</f>
        <v>4.2461270705926148</v>
      </c>
      <c r="F885" s="3">
        <f t="shared" si="13"/>
        <v>478.63044731814068</v>
      </c>
      <c r="G885">
        <v>869</v>
      </c>
    </row>
    <row r="886" spans="1:7" x14ac:dyDescent="0.25">
      <c r="A886">
        <v>18073</v>
      </c>
      <c r="B886" t="s">
        <v>42</v>
      </c>
      <c r="C886">
        <v>20</v>
      </c>
      <c r="D886" s="3">
        <f>in_parking_demand_data_ver1!D886*calibration!$I$31</f>
        <v>506.55858207111061</v>
      </c>
      <c r="E886" s="3">
        <f>in_parking_demand_data_ver1!E886*calibration!$I$31</f>
        <v>6.128430823535731</v>
      </c>
      <c r="F886" s="3">
        <f t="shared" si="13"/>
        <v>512.68701289464639</v>
      </c>
      <c r="G886">
        <v>869</v>
      </c>
    </row>
    <row r="887" spans="1:7" x14ac:dyDescent="0.25">
      <c r="A887">
        <v>18073</v>
      </c>
      <c r="B887" t="s">
        <v>42</v>
      </c>
      <c r="C887">
        <v>21</v>
      </c>
      <c r="D887" s="3">
        <f>in_parking_demand_data_ver1!D887*calibration!$I$31</f>
        <v>533.83009923584495</v>
      </c>
      <c r="E887" s="3">
        <f>in_parking_demand_data_ver1!E887*calibration!$I$31</f>
        <v>8.1858326000084514</v>
      </c>
      <c r="F887" s="3">
        <f t="shared" si="13"/>
        <v>542.01593183585339</v>
      </c>
      <c r="G887">
        <v>869</v>
      </c>
    </row>
    <row r="888" spans="1:7" x14ac:dyDescent="0.25">
      <c r="A888">
        <v>18073</v>
      </c>
      <c r="B888" t="s">
        <v>42</v>
      </c>
      <c r="C888">
        <v>22</v>
      </c>
      <c r="D888" s="3">
        <f>in_parking_demand_data_ver1!D888*calibration!$I$31</f>
        <v>548.49455870644806</v>
      </c>
      <c r="E888" s="3">
        <f>in_parking_demand_data_ver1!E888*calibration!$I$31</f>
        <v>10.812302952952299</v>
      </c>
      <c r="F888" s="3">
        <f t="shared" si="13"/>
        <v>559.3068616594004</v>
      </c>
      <c r="G888">
        <v>869</v>
      </c>
    </row>
    <row r="889" spans="1:7" x14ac:dyDescent="0.25">
      <c r="A889">
        <v>18073</v>
      </c>
      <c r="B889" t="s">
        <v>42</v>
      </c>
      <c r="C889">
        <v>23</v>
      </c>
      <c r="D889" s="3">
        <f>in_parking_demand_data_ver1!D889*calibration!$I$31</f>
        <v>560.18235177704878</v>
      </c>
      <c r="E889" s="3">
        <f>in_parking_demand_data_ver1!E889*calibration!$I$31</f>
        <v>13.701420341190575</v>
      </c>
      <c r="F889" s="3">
        <f t="shared" si="13"/>
        <v>573.88377211823934</v>
      </c>
      <c r="G889">
        <v>869</v>
      </c>
    </row>
    <row r="890" spans="1:7" x14ac:dyDescent="0.25">
      <c r="A890">
        <v>18075</v>
      </c>
      <c r="B890" t="s">
        <v>43</v>
      </c>
      <c r="C890">
        <v>0</v>
      </c>
      <c r="D890" s="3">
        <f>in_parking_demand_data_ver1!D890*calibration!$I$31</f>
        <v>7.9336002836122077</v>
      </c>
      <c r="E890" s="3">
        <f>in_parking_demand_data_ver1!E890*calibration!$I$31</f>
        <v>0</v>
      </c>
      <c r="F890" s="3">
        <f t="shared" si="13"/>
        <v>7.9336002836122077</v>
      </c>
      <c r="G890">
        <v>30</v>
      </c>
    </row>
    <row r="891" spans="1:7" x14ac:dyDescent="0.25">
      <c r="A891">
        <v>18075</v>
      </c>
      <c r="B891" t="s">
        <v>43</v>
      </c>
      <c r="C891">
        <v>1</v>
      </c>
      <c r="D891" s="3">
        <f>in_parking_demand_data_ver1!D891*calibration!$I$31</f>
        <v>8.282878283519663</v>
      </c>
      <c r="E891" s="3">
        <f>in_parking_demand_data_ver1!E891*calibration!$I$31</f>
        <v>0</v>
      </c>
      <c r="F891" s="3">
        <f t="shared" si="13"/>
        <v>8.282878283519663</v>
      </c>
      <c r="G891">
        <v>30</v>
      </c>
    </row>
    <row r="892" spans="1:7" x14ac:dyDescent="0.25">
      <c r="A892">
        <v>18075</v>
      </c>
      <c r="B892" t="s">
        <v>43</v>
      </c>
      <c r="C892">
        <v>2</v>
      </c>
      <c r="D892" s="3">
        <f>in_parking_demand_data_ver1!D892*calibration!$I$31</f>
        <v>8.3327751406493018</v>
      </c>
      <c r="E892" s="3">
        <f>in_parking_demand_data_ver1!E892*calibration!$I$31</f>
        <v>0</v>
      </c>
      <c r="F892" s="3">
        <f t="shared" si="13"/>
        <v>8.3327751406493018</v>
      </c>
      <c r="G892">
        <v>30</v>
      </c>
    </row>
    <row r="893" spans="1:7" x14ac:dyDescent="0.25">
      <c r="A893">
        <v>18075</v>
      </c>
      <c r="B893" t="s">
        <v>43</v>
      </c>
      <c r="C893">
        <v>3</v>
      </c>
      <c r="D893" s="3">
        <f>in_parking_demand_data_ver1!D893*calibration!$I$31</f>
        <v>8.4824657120382039</v>
      </c>
      <c r="E893" s="3">
        <f>in_parking_demand_data_ver1!E893*calibration!$I$31</f>
        <v>0</v>
      </c>
      <c r="F893" s="3">
        <f t="shared" si="13"/>
        <v>8.4824657120382039</v>
      </c>
      <c r="G893">
        <v>30</v>
      </c>
    </row>
    <row r="894" spans="1:7" x14ac:dyDescent="0.25">
      <c r="A894">
        <v>18075</v>
      </c>
      <c r="B894" t="s">
        <v>43</v>
      </c>
      <c r="C894">
        <v>4</v>
      </c>
      <c r="D894" s="3">
        <f>in_parking_demand_data_ver1!D894*calibration!$I$31</f>
        <v>8.2329814263900225</v>
      </c>
      <c r="E894" s="3">
        <f>in_parking_demand_data_ver1!E894*calibration!$I$31</f>
        <v>0</v>
      </c>
      <c r="F894" s="3">
        <f t="shared" si="13"/>
        <v>8.2329814263900225</v>
      </c>
      <c r="G894">
        <v>30</v>
      </c>
    </row>
    <row r="895" spans="1:7" x14ac:dyDescent="0.25">
      <c r="A895">
        <v>18075</v>
      </c>
      <c r="B895" t="s">
        <v>43</v>
      </c>
      <c r="C895">
        <v>5</v>
      </c>
      <c r="D895" s="3">
        <f>in_parking_demand_data_ver1!D895*calibration!$I$31</f>
        <v>7.9834971407418465</v>
      </c>
      <c r="E895" s="3">
        <f>in_parking_demand_data_ver1!E895*calibration!$I$31</f>
        <v>0</v>
      </c>
      <c r="F895" s="3">
        <f t="shared" si="13"/>
        <v>7.9834971407418465</v>
      </c>
      <c r="G895">
        <v>30</v>
      </c>
    </row>
    <row r="896" spans="1:7" x14ac:dyDescent="0.25">
      <c r="A896">
        <v>18075</v>
      </c>
      <c r="B896" t="s">
        <v>43</v>
      </c>
      <c r="C896">
        <v>6</v>
      </c>
      <c r="D896" s="3">
        <f>in_parking_demand_data_ver1!D896*calibration!$I$31</f>
        <v>7.6841159979640237</v>
      </c>
      <c r="E896" s="3">
        <f>in_parking_demand_data_ver1!E896*calibration!$I$31</f>
        <v>0</v>
      </c>
      <c r="F896" s="3">
        <f t="shared" si="13"/>
        <v>7.6841159979640237</v>
      </c>
      <c r="G896">
        <v>30</v>
      </c>
    </row>
    <row r="897" spans="1:7" x14ac:dyDescent="0.25">
      <c r="A897">
        <v>18075</v>
      </c>
      <c r="B897" t="s">
        <v>43</v>
      </c>
      <c r="C897">
        <v>7</v>
      </c>
      <c r="D897" s="3">
        <f>in_parking_demand_data_ver1!D897*calibration!$I$31</f>
        <v>7.4845285694454731</v>
      </c>
      <c r="E897" s="3">
        <f>in_parking_demand_data_ver1!E897*calibration!$I$31</f>
        <v>0</v>
      </c>
      <c r="F897" s="3">
        <f t="shared" si="13"/>
        <v>7.4845285694454731</v>
      </c>
      <c r="G897">
        <v>30</v>
      </c>
    </row>
    <row r="898" spans="1:7" x14ac:dyDescent="0.25">
      <c r="A898">
        <v>18075</v>
      </c>
      <c r="B898" t="s">
        <v>43</v>
      </c>
      <c r="C898">
        <v>8</v>
      </c>
      <c r="D898" s="3">
        <f>in_parking_demand_data_ver1!D898*calibration!$I$31</f>
        <v>5.8379322841674721</v>
      </c>
      <c r="E898" s="3">
        <f>in_parking_demand_data_ver1!E898*calibration!$I$31</f>
        <v>1.0977308568520034</v>
      </c>
      <c r="F898" s="3">
        <f t="shared" si="13"/>
        <v>6.9356631410194751</v>
      </c>
      <c r="G898">
        <v>30</v>
      </c>
    </row>
    <row r="899" spans="1:7" x14ac:dyDescent="0.25">
      <c r="A899">
        <v>18075</v>
      </c>
      <c r="B899" t="s">
        <v>43</v>
      </c>
      <c r="C899">
        <v>9</v>
      </c>
      <c r="D899" s="3">
        <f>in_parking_demand_data_ver1!D899*calibration!$I$31</f>
        <v>4.1913359988894623</v>
      </c>
      <c r="E899" s="3">
        <f>in_parking_demand_data_ver1!E899*calibration!$I$31</f>
        <v>2.7942239992596445</v>
      </c>
      <c r="F899" s="3">
        <f t="shared" ref="F899:F962" si="14">SUM(D899:E899)</f>
        <v>6.9855599981491068</v>
      </c>
      <c r="G899">
        <v>30</v>
      </c>
    </row>
    <row r="900" spans="1:7" x14ac:dyDescent="0.25">
      <c r="A900">
        <v>18075</v>
      </c>
      <c r="B900" t="s">
        <v>43</v>
      </c>
      <c r="C900">
        <v>10</v>
      </c>
      <c r="D900" s="3">
        <f>in_parking_demand_data_ver1!D900*calibration!$I$31</f>
        <v>4.091542284630191</v>
      </c>
      <c r="E900" s="3">
        <f>in_parking_demand_data_ver1!E900*calibration!$I$31</f>
        <v>2.8940177135189162</v>
      </c>
      <c r="F900" s="3">
        <f t="shared" si="14"/>
        <v>6.9855599981491068</v>
      </c>
      <c r="G900">
        <v>30</v>
      </c>
    </row>
    <row r="901" spans="1:7" x14ac:dyDescent="0.25">
      <c r="A901">
        <v>18075</v>
      </c>
      <c r="B901" t="s">
        <v>43</v>
      </c>
      <c r="C901">
        <v>11</v>
      </c>
      <c r="D901" s="3">
        <f>in_parking_demand_data_ver1!D901*calibration!$I$31</f>
        <v>4.7900982844450999</v>
      </c>
      <c r="E901" s="3">
        <f>in_parking_demand_data_ver1!E901*calibration!$I$31</f>
        <v>2.6944302850003727</v>
      </c>
      <c r="F901" s="3">
        <f t="shared" si="14"/>
        <v>7.4845285694454731</v>
      </c>
      <c r="G901">
        <v>30</v>
      </c>
    </row>
    <row r="902" spans="1:7" x14ac:dyDescent="0.25">
      <c r="A902">
        <v>18075</v>
      </c>
      <c r="B902" t="s">
        <v>43</v>
      </c>
      <c r="C902">
        <v>12</v>
      </c>
      <c r="D902" s="3">
        <f>in_parking_demand_data_ver1!D902*calibration!$I$31</f>
        <v>4.6903045701858286</v>
      </c>
      <c r="E902" s="3">
        <f>in_parking_demand_data_ver1!E902*calibration!$I$31</f>
        <v>2.2453585708336385</v>
      </c>
      <c r="F902" s="3">
        <f t="shared" si="14"/>
        <v>6.9356631410194671</v>
      </c>
      <c r="G902">
        <v>30</v>
      </c>
    </row>
    <row r="903" spans="1:7" x14ac:dyDescent="0.25">
      <c r="A903">
        <v>18075</v>
      </c>
      <c r="B903" t="s">
        <v>43</v>
      </c>
      <c r="C903">
        <v>13</v>
      </c>
      <c r="D903" s="3">
        <f>in_parking_demand_data_ver1!D903*calibration!$I$31</f>
        <v>3.343089427685642</v>
      </c>
      <c r="E903" s="3">
        <f>in_parking_demand_data_ver1!E903*calibration!$I$31</f>
        <v>1.696493142407641</v>
      </c>
      <c r="F903" s="3">
        <f t="shared" si="14"/>
        <v>5.039582570093283</v>
      </c>
      <c r="G903">
        <v>30</v>
      </c>
    </row>
    <row r="904" spans="1:7" x14ac:dyDescent="0.25">
      <c r="A904">
        <v>18075</v>
      </c>
      <c r="B904" t="s">
        <v>43</v>
      </c>
      <c r="C904">
        <v>14</v>
      </c>
      <c r="D904" s="3">
        <f>in_parking_demand_data_ver1!D904*calibration!$I$31</f>
        <v>2.4948428564818212</v>
      </c>
      <c r="E904" s="3">
        <f>in_parking_demand_data_ver1!E904*calibration!$I$31</f>
        <v>1.3472151425001864</v>
      </c>
      <c r="F904" s="3">
        <f t="shared" si="14"/>
        <v>3.8420579989820078</v>
      </c>
      <c r="G904">
        <v>30</v>
      </c>
    </row>
    <row r="905" spans="1:7" x14ac:dyDescent="0.25">
      <c r="A905">
        <v>18075</v>
      </c>
      <c r="B905" t="s">
        <v>43</v>
      </c>
      <c r="C905">
        <v>15</v>
      </c>
      <c r="D905" s="3">
        <f>in_parking_demand_data_ver1!D905*calibration!$I$31</f>
        <v>2.7942239992596445</v>
      </c>
      <c r="E905" s="3">
        <f>in_parking_demand_data_ver1!E905*calibration!$I$31</f>
        <v>0.64865914268527491</v>
      </c>
      <c r="F905" s="3">
        <f t="shared" si="14"/>
        <v>3.4428831419449195</v>
      </c>
      <c r="G905">
        <v>30</v>
      </c>
    </row>
    <row r="906" spans="1:7" x14ac:dyDescent="0.25">
      <c r="A906">
        <v>18075</v>
      </c>
      <c r="B906" t="s">
        <v>43</v>
      </c>
      <c r="C906">
        <v>16</v>
      </c>
      <c r="D906" s="3">
        <f>in_parking_demand_data_ver1!D906*calibration!$I$31</f>
        <v>3.2931925705560103</v>
      </c>
      <c r="E906" s="3">
        <f>in_parking_demand_data_ver1!E906*calibration!$I$31</f>
        <v>0</v>
      </c>
      <c r="F906" s="3">
        <f t="shared" si="14"/>
        <v>3.2931925705560103</v>
      </c>
      <c r="G906">
        <v>30</v>
      </c>
    </row>
    <row r="907" spans="1:7" x14ac:dyDescent="0.25">
      <c r="A907">
        <v>18075</v>
      </c>
      <c r="B907" t="s">
        <v>43</v>
      </c>
      <c r="C907">
        <v>17</v>
      </c>
      <c r="D907" s="3">
        <f>in_parking_demand_data_ver1!D907*calibration!$I$31</f>
        <v>3.542676856204193</v>
      </c>
      <c r="E907" s="3">
        <f>in_parking_demand_data_ver1!E907*calibration!$I$31</f>
        <v>0</v>
      </c>
      <c r="F907" s="3">
        <f t="shared" si="14"/>
        <v>3.542676856204193</v>
      </c>
      <c r="G907">
        <v>30</v>
      </c>
    </row>
    <row r="908" spans="1:7" x14ac:dyDescent="0.25">
      <c r="A908">
        <v>18075</v>
      </c>
      <c r="B908" t="s">
        <v>43</v>
      </c>
      <c r="C908">
        <v>18</v>
      </c>
      <c r="D908" s="3">
        <f>in_parking_demand_data_ver1!D908*calibration!$I$31</f>
        <v>4.5406139987969256</v>
      </c>
      <c r="E908" s="3">
        <f>in_parking_demand_data_ver1!E908*calibration!$I$31</f>
        <v>9.9793714259272345E-2</v>
      </c>
      <c r="F908" s="3">
        <f t="shared" si="14"/>
        <v>4.6404077130561978</v>
      </c>
      <c r="G908">
        <v>30</v>
      </c>
    </row>
    <row r="909" spans="1:7" x14ac:dyDescent="0.25">
      <c r="A909">
        <v>18075</v>
      </c>
      <c r="B909" t="s">
        <v>43</v>
      </c>
      <c r="C909">
        <v>19</v>
      </c>
      <c r="D909" s="3">
        <f>in_parking_demand_data_ver1!D909*calibration!$I$31</f>
        <v>5.4387574271303771</v>
      </c>
      <c r="E909" s="3">
        <f>in_parking_demand_data_ver1!E909*calibration!$I$31</f>
        <v>0</v>
      </c>
      <c r="F909" s="3">
        <f t="shared" si="14"/>
        <v>5.4387574271303771</v>
      </c>
      <c r="G909">
        <v>30</v>
      </c>
    </row>
    <row r="910" spans="1:7" x14ac:dyDescent="0.25">
      <c r="A910">
        <v>18075</v>
      </c>
      <c r="B910" t="s">
        <v>43</v>
      </c>
      <c r="C910">
        <v>20</v>
      </c>
      <c r="D910" s="3">
        <f>in_parking_demand_data_ver1!D910*calibration!$I$31</f>
        <v>6.2870039983341979</v>
      </c>
      <c r="E910" s="3">
        <f>in_parking_demand_data_ver1!E910*calibration!$I$31</f>
        <v>0</v>
      </c>
      <c r="F910" s="3">
        <f t="shared" si="14"/>
        <v>6.2870039983341979</v>
      </c>
      <c r="G910">
        <v>30</v>
      </c>
    </row>
    <row r="911" spans="1:7" x14ac:dyDescent="0.25">
      <c r="A911">
        <v>18075</v>
      </c>
      <c r="B911" t="s">
        <v>43</v>
      </c>
      <c r="C911">
        <v>21</v>
      </c>
      <c r="D911" s="3">
        <f>in_parking_demand_data_ver1!D911*calibration!$I$31</f>
        <v>6.6861788553712929</v>
      </c>
      <c r="E911" s="3">
        <f>in_parking_demand_data_ver1!E911*calibration!$I$31</f>
        <v>0</v>
      </c>
      <c r="F911" s="3">
        <f t="shared" si="14"/>
        <v>6.6861788553712929</v>
      </c>
      <c r="G911">
        <v>30</v>
      </c>
    </row>
    <row r="912" spans="1:7" x14ac:dyDescent="0.25">
      <c r="A912">
        <v>18075</v>
      </c>
      <c r="B912" t="s">
        <v>43</v>
      </c>
      <c r="C912">
        <v>22</v>
      </c>
      <c r="D912" s="3">
        <f>in_parking_demand_data_ver1!D912*calibration!$I$31</f>
        <v>7.3847348551862018</v>
      </c>
      <c r="E912" s="3">
        <f>in_parking_demand_data_ver1!E912*calibration!$I$31</f>
        <v>0</v>
      </c>
      <c r="F912" s="3">
        <f t="shared" si="14"/>
        <v>7.3847348551862018</v>
      </c>
      <c r="G912">
        <v>30</v>
      </c>
    </row>
    <row r="913" spans="1:7" x14ac:dyDescent="0.25">
      <c r="A913">
        <v>18075</v>
      </c>
      <c r="B913" t="s">
        <v>43</v>
      </c>
      <c r="C913">
        <v>23</v>
      </c>
      <c r="D913" s="3">
        <f>in_parking_demand_data_ver1!D913*calibration!$I$31</f>
        <v>7.8338065693529355</v>
      </c>
      <c r="E913" s="3">
        <f>in_parking_demand_data_ver1!E913*calibration!$I$31</f>
        <v>0</v>
      </c>
      <c r="F913" s="3">
        <f t="shared" si="14"/>
        <v>7.8338065693529355</v>
      </c>
      <c r="G913">
        <v>30</v>
      </c>
    </row>
    <row r="914" spans="1:7" x14ac:dyDescent="0.25">
      <c r="A914">
        <v>18077</v>
      </c>
      <c r="B914" t="s">
        <v>44</v>
      </c>
      <c r="C914">
        <v>0</v>
      </c>
      <c r="D914" s="3">
        <f>in_parking_demand_data_ver1!D914*calibration!$I$31</f>
        <v>0</v>
      </c>
      <c r="E914" s="3">
        <f>in_parking_demand_data_ver1!E914*calibration!$I$31</f>
        <v>0.54682567824445272</v>
      </c>
      <c r="F914" s="3">
        <f t="shared" si="14"/>
        <v>0.54682567824445272</v>
      </c>
      <c r="G914">
        <v>0</v>
      </c>
    </row>
    <row r="915" spans="1:7" x14ac:dyDescent="0.25">
      <c r="A915">
        <v>18077</v>
      </c>
      <c r="B915" t="s">
        <v>44</v>
      </c>
      <c r="C915">
        <v>1</v>
      </c>
      <c r="D915" s="3">
        <f>in_parking_demand_data_ver1!D915*calibration!$I$31</f>
        <v>0</v>
      </c>
      <c r="E915" s="3">
        <f>in_parking_demand_data_ver1!E915*calibration!$I$31</f>
        <v>0.54682567824445272</v>
      </c>
      <c r="F915" s="3">
        <f t="shared" si="14"/>
        <v>0.54682567824445272</v>
      </c>
      <c r="G915">
        <v>0</v>
      </c>
    </row>
    <row r="916" spans="1:7" x14ac:dyDescent="0.25">
      <c r="A916">
        <v>18077</v>
      </c>
      <c r="B916" t="s">
        <v>44</v>
      </c>
      <c r="C916">
        <v>2</v>
      </c>
      <c r="D916" s="3">
        <f>in_parking_demand_data_ver1!D916*calibration!$I$31</f>
        <v>0</v>
      </c>
      <c r="E916" s="3">
        <f>in_parking_demand_data_ver1!E916*calibration!$I$31</f>
        <v>0.62494363227937444</v>
      </c>
      <c r="F916" s="3">
        <f t="shared" si="14"/>
        <v>0.62494363227937444</v>
      </c>
      <c r="G916">
        <v>0</v>
      </c>
    </row>
    <row r="917" spans="1:7" x14ac:dyDescent="0.25">
      <c r="A917">
        <v>18077</v>
      </c>
      <c r="B917" t="s">
        <v>44</v>
      </c>
      <c r="C917">
        <v>3</v>
      </c>
      <c r="D917" s="3">
        <f>in_parking_demand_data_ver1!D917*calibration!$I$31</f>
        <v>0</v>
      </c>
      <c r="E917" s="3">
        <f>in_parking_demand_data_ver1!E917*calibration!$I$31</f>
        <v>0.62494363227937444</v>
      </c>
      <c r="F917" s="3">
        <f t="shared" si="14"/>
        <v>0.62494363227937444</v>
      </c>
      <c r="G917">
        <v>0</v>
      </c>
    </row>
    <row r="918" spans="1:7" x14ac:dyDescent="0.25">
      <c r="A918">
        <v>18077</v>
      </c>
      <c r="B918" t="s">
        <v>44</v>
      </c>
      <c r="C918">
        <v>4</v>
      </c>
      <c r="D918" s="3">
        <f>in_parking_demand_data_ver1!D918*calibration!$I$31</f>
        <v>0</v>
      </c>
      <c r="E918" s="3">
        <f>in_parking_demand_data_ver1!E918*calibration!$I$31</f>
        <v>0.62494363227937444</v>
      </c>
      <c r="F918" s="3">
        <f t="shared" si="14"/>
        <v>0.62494363227937444</v>
      </c>
      <c r="G918">
        <v>0</v>
      </c>
    </row>
    <row r="919" spans="1:7" x14ac:dyDescent="0.25">
      <c r="A919">
        <v>18077</v>
      </c>
      <c r="B919" t="s">
        <v>44</v>
      </c>
      <c r="C919">
        <v>5</v>
      </c>
      <c r="D919" s="3">
        <f>in_parking_demand_data_ver1!D919*calibration!$I$31</f>
        <v>0</v>
      </c>
      <c r="E919" s="3">
        <f>in_parking_demand_data_ver1!E919*calibration!$I$31</f>
        <v>0.54682567824445272</v>
      </c>
      <c r="F919" s="3">
        <f t="shared" si="14"/>
        <v>0.54682567824445272</v>
      </c>
      <c r="G919">
        <v>0</v>
      </c>
    </row>
    <row r="920" spans="1:7" x14ac:dyDescent="0.25">
      <c r="A920">
        <v>18077</v>
      </c>
      <c r="B920" t="s">
        <v>44</v>
      </c>
      <c r="C920">
        <v>6</v>
      </c>
      <c r="D920" s="3">
        <f>in_parking_demand_data_ver1!D920*calibration!$I$31</f>
        <v>0</v>
      </c>
      <c r="E920" s="3">
        <f>in_parking_demand_data_ver1!E920*calibration!$I$31</f>
        <v>2.460715552100031</v>
      </c>
      <c r="F920" s="3">
        <f t="shared" si="14"/>
        <v>2.460715552100031</v>
      </c>
      <c r="G920">
        <v>0</v>
      </c>
    </row>
    <row r="921" spans="1:7" x14ac:dyDescent="0.25">
      <c r="A921">
        <v>18077</v>
      </c>
      <c r="B921" t="s">
        <v>44</v>
      </c>
      <c r="C921">
        <v>7</v>
      </c>
      <c r="D921" s="3">
        <f>in_parking_demand_data_ver1!D921*calibration!$I$31</f>
        <v>0</v>
      </c>
      <c r="E921" s="3">
        <f>in_parking_demand_data_ver1!E921*calibration!$I$31</f>
        <v>3.0075412303444882</v>
      </c>
      <c r="F921" s="3">
        <f t="shared" si="14"/>
        <v>3.0075412303444882</v>
      </c>
      <c r="G921">
        <v>0</v>
      </c>
    </row>
    <row r="922" spans="1:7" x14ac:dyDescent="0.25">
      <c r="A922">
        <v>18077</v>
      </c>
      <c r="B922" t="s">
        <v>44</v>
      </c>
      <c r="C922">
        <v>8</v>
      </c>
      <c r="D922" s="3">
        <f>in_parking_demand_data_ver1!D922*calibration!$I$31</f>
        <v>0</v>
      </c>
      <c r="E922" s="3">
        <f>in_parking_demand_data_ver1!E922*calibration!$I$31</f>
        <v>5.9760234836715158</v>
      </c>
      <c r="F922" s="3">
        <f t="shared" si="14"/>
        <v>5.9760234836715158</v>
      </c>
      <c r="G922">
        <v>0</v>
      </c>
    </row>
    <row r="923" spans="1:7" x14ac:dyDescent="0.25">
      <c r="A923">
        <v>18077</v>
      </c>
      <c r="B923" t="s">
        <v>44</v>
      </c>
      <c r="C923">
        <v>9</v>
      </c>
      <c r="D923" s="3">
        <f>in_parking_demand_data_ver1!D923*calibration!$I$31</f>
        <v>0</v>
      </c>
      <c r="E923" s="3">
        <f>in_parking_demand_data_ver1!E923*calibration!$I$31</f>
        <v>4.3355464489381532</v>
      </c>
      <c r="F923" s="3">
        <f t="shared" si="14"/>
        <v>4.3355464489381532</v>
      </c>
      <c r="G923">
        <v>0</v>
      </c>
    </row>
    <row r="924" spans="1:7" x14ac:dyDescent="0.25">
      <c r="A924">
        <v>18077</v>
      </c>
      <c r="B924" t="s">
        <v>44</v>
      </c>
      <c r="C924">
        <v>10</v>
      </c>
      <c r="D924" s="3">
        <f>in_parking_demand_data_ver1!D924*calibration!$I$31</f>
        <v>0</v>
      </c>
      <c r="E924" s="3">
        <f>in_parking_demand_data_ver1!E924*calibration!$I$31</f>
        <v>5.1557849663048385</v>
      </c>
      <c r="F924" s="3">
        <f t="shared" si="14"/>
        <v>5.1557849663048385</v>
      </c>
      <c r="G924">
        <v>0</v>
      </c>
    </row>
    <row r="925" spans="1:7" x14ac:dyDescent="0.25">
      <c r="A925">
        <v>18077</v>
      </c>
      <c r="B925" t="s">
        <v>44</v>
      </c>
      <c r="C925">
        <v>11</v>
      </c>
      <c r="D925" s="3">
        <f>in_parking_demand_data_ver1!D925*calibration!$I$31</f>
        <v>0</v>
      </c>
      <c r="E925" s="3">
        <f>in_parking_demand_data_ver1!E925*calibration!$I$31</f>
        <v>3.9449566787635453</v>
      </c>
      <c r="F925" s="3">
        <f t="shared" si="14"/>
        <v>3.9449566787635453</v>
      </c>
      <c r="G925">
        <v>0</v>
      </c>
    </row>
    <row r="926" spans="1:7" x14ac:dyDescent="0.25">
      <c r="A926">
        <v>18077</v>
      </c>
      <c r="B926" t="s">
        <v>44</v>
      </c>
      <c r="C926">
        <v>12</v>
      </c>
      <c r="D926" s="3">
        <f>in_parking_demand_data_ver1!D926*calibration!$I$31</f>
        <v>0</v>
      </c>
      <c r="E926" s="3">
        <f>in_parking_demand_data_ver1!E926*calibration!$I$31</f>
        <v>3.0075412303444882</v>
      </c>
      <c r="F926" s="3">
        <f t="shared" si="14"/>
        <v>3.0075412303444882</v>
      </c>
      <c r="G926">
        <v>0</v>
      </c>
    </row>
    <row r="927" spans="1:7" x14ac:dyDescent="0.25">
      <c r="A927">
        <v>18077</v>
      </c>
      <c r="B927" t="s">
        <v>44</v>
      </c>
      <c r="C927">
        <v>13</v>
      </c>
      <c r="D927" s="3">
        <f>in_parking_demand_data_ver1!D927*calibration!$I$31</f>
        <v>0</v>
      </c>
      <c r="E927" s="3">
        <f>in_parking_demand_data_ver1!E927*calibration!$I$31</f>
        <v>1.562359080698434</v>
      </c>
      <c r="F927" s="3">
        <f t="shared" si="14"/>
        <v>1.562359080698434</v>
      </c>
      <c r="G927">
        <v>0</v>
      </c>
    </row>
    <row r="928" spans="1:7" x14ac:dyDescent="0.25">
      <c r="A928">
        <v>18077</v>
      </c>
      <c r="B928" t="s">
        <v>44</v>
      </c>
      <c r="C928">
        <v>14</v>
      </c>
      <c r="D928" s="3">
        <f>in_parking_demand_data_ver1!D928*calibration!$I$31</f>
        <v>0</v>
      </c>
      <c r="E928" s="3">
        <f>in_parking_demand_data_ver1!E928*calibration!$I$31</f>
        <v>0.58588465526191358</v>
      </c>
      <c r="F928" s="3">
        <f t="shared" si="14"/>
        <v>0.58588465526191358</v>
      </c>
      <c r="G928">
        <v>0</v>
      </c>
    </row>
    <row r="929" spans="1:7" x14ac:dyDescent="0.25">
      <c r="A929">
        <v>18077</v>
      </c>
      <c r="B929" t="s">
        <v>44</v>
      </c>
      <c r="C929">
        <v>15</v>
      </c>
      <c r="D929" s="3">
        <f>in_parking_demand_data_ver1!D929*calibration!$I$31</f>
        <v>0</v>
      </c>
      <c r="E929" s="3">
        <f>in_parking_demand_data_ver1!E929*calibration!$I$31</f>
        <v>0.35153079315714764</v>
      </c>
      <c r="F929" s="3">
        <f t="shared" si="14"/>
        <v>0.35153079315714764</v>
      </c>
      <c r="G929">
        <v>0</v>
      </c>
    </row>
    <row r="930" spans="1:7" x14ac:dyDescent="0.25">
      <c r="A930">
        <v>18077</v>
      </c>
      <c r="B930" t="s">
        <v>44</v>
      </c>
      <c r="C930">
        <v>16</v>
      </c>
      <c r="D930" s="3">
        <f>in_parking_demand_data_ver1!D930*calibration!$I$31</f>
        <v>0</v>
      </c>
      <c r="E930" s="3">
        <f>in_parking_demand_data_ver1!E930*calibration!$I$31</f>
        <v>0.35153079315714764</v>
      </c>
      <c r="F930" s="3">
        <f t="shared" si="14"/>
        <v>0.35153079315714764</v>
      </c>
      <c r="G930">
        <v>0</v>
      </c>
    </row>
    <row r="931" spans="1:7" x14ac:dyDescent="0.25">
      <c r="A931">
        <v>18077</v>
      </c>
      <c r="B931" t="s">
        <v>44</v>
      </c>
      <c r="C931">
        <v>17</v>
      </c>
      <c r="D931" s="3">
        <f>in_parking_demand_data_ver1!D931*calibration!$I$31</f>
        <v>0</v>
      </c>
      <c r="E931" s="3">
        <f>in_parking_demand_data_ver1!E931*calibration!$I$31</f>
        <v>0.15623590806984342</v>
      </c>
      <c r="F931" s="3">
        <f t="shared" si="14"/>
        <v>0.15623590806984342</v>
      </c>
      <c r="G931">
        <v>0</v>
      </c>
    </row>
    <row r="932" spans="1:7" x14ac:dyDescent="0.25">
      <c r="A932">
        <v>18077</v>
      </c>
      <c r="B932" t="s">
        <v>44</v>
      </c>
      <c r="C932">
        <v>18</v>
      </c>
      <c r="D932" s="3">
        <f>in_parking_demand_data_ver1!D932*calibration!$I$31</f>
        <v>0</v>
      </c>
      <c r="E932" s="3">
        <f>in_parking_demand_data_ver1!E932*calibration!$I$31</f>
        <v>7.8117954034921777E-2</v>
      </c>
      <c r="F932" s="3">
        <f t="shared" si="14"/>
        <v>7.8117954034921777E-2</v>
      </c>
      <c r="G932">
        <v>0</v>
      </c>
    </row>
    <row r="933" spans="1:7" x14ac:dyDescent="0.25">
      <c r="A933">
        <v>18077</v>
      </c>
      <c r="B933" t="s">
        <v>44</v>
      </c>
      <c r="C933">
        <v>19</v>
      </c>
      <c r="D933" s="3">
        <f>in_parking_demand_data_ver1!D933*calibration!$I$31</f>
        <v>0</v>
      </c>
      <c r="E933" s="3">
        <f>in_parking_demand_data_ver1!E933*calibration!$I$31</f>
        <v>0.23435386210476511</v>
      </c>
      <c r="F933" s="3">
        <f t="shared" si="14"/>
        <v>0.23435386210476511</v>
      </c>
      <c r="G933">
        <v>0</v>
      </c>
    </row>
    <row r="934" spans="1:7" x14ac:dyDescent="0.25">
      <c r="A934">
        <v>18077</v>
      </c>
      <c r="B934" t="s">
        <v>44</v>
      </c>
      <c r="C934">
        <v>20</v>
      </c>
      <c r="D934" s="3">
        <f>in_parking_demand_data_ver1!D934*calibration!$I$31</f>
        <v>0</v>
      </c>
      <c r="E934" s="3">
        <f>in_parking_demand_data_ver1!E934*calibration!$I$31</f>
        <v>0.50776670122699108</v>
      </c>
      <c r="F934" s="3">
        <f t="shared" si="14"/>
        <v>0.50776670122699108</v>
      </c>
      <c r="G934">
        <v>0</v>
      </c>
    </row>
    <row r="935" spans="1:7" x14ac:dyDescent="0.25">
      <c r="A935">
        <v>18077</v>
      </c>
      <c r="B935" t="s">
        <v>44</v>
      </c>
      <c r="C935">
        <v>21</v>
      </c>
      <c r="D935" s="3">
        <f>in_parking_demand_data_ver1!D935*calibration!$I$31</f>
        <v>0</v>
      </c>
      <c r="E935" s="3">
        <f>in_parking_demand_data_ver1!E935*calibration!$I$31</f>
        <v>0.54682567824445272</v>
      </c>
      <c r="F935" s="3">
        <f t="shared" si="14"/>
        <v>0.54682567824445272</v>
      </c>
      <c r="G935">
        <v>0</v>
      </c>
    </row>
    <row r="936" spans="1:7" x14ac:dyDescent="0.25">
      <c r="A936">
        <v>18077</v>
      </c>
      <c r="B936" t="s">
        <v>44</v>
      </c>
      <c r="C936">
        <v>22</v>
      </c>
      <c r="D936" s="3">
        <f>in_parking_demand_data_ver1!D936*calibration!$I$31</f>
        <v>0</v>
      </c>
      <c r="E936" s="3">
        <f>in_parking_demand_data_ver1!E936*calibration!$I$31</f>
        <v>0.54682567824445272</v>
      </c>
      <c r="F936" s="3">
        <f t="shared" si="14"/>
        <v>0.54682567824445272</v>
      </c>
      <c r="G936">
        <v>0</v>
      </c>
    </row>
    <row r="937" spans="1:7" x14ac:dyDescent="0.25">
      <c r="A937">
        <v>18077</v>
      </c>
      <c r="B937" t="s">
        <v>44</v>
      </c>
      <c r="C937">
        <v>23</v>
      </c>
      <c r="D937" s="3">
        <f>in_parking_demand_data_ver1!D937*calibration!$I$31</f>
        <v>0</v>
      </c>
      <c r="E937" s="3">
        <f>in_parking_demand_data_ver1!E937*calibration!$I$31</f>
        <v>0.54682567824445272</v>
      </c>
      <c r="F937" s="3">
        <f t="shared" si="14"/>
        <v>0.54682567824445272</v>
      </c>
      <c r="G937">
        <v>0</v>
      </c>
    </row>
    <row r="938" spans="1:7" x14ac:dyDescent="0.25">
      <c r="A938">
        <v>18079</v>
      </c>
      <c r="B938" t="s">
        <v>45</v>
      </c>
      <c r="C938">
        <v>0</v>
      </c>
      <c r="D938" s="3">
        <f>in_parking_demand_data_ver1!D938*calibration!$I$31</f>
        <v>0</v>
      </c>
      <c r="E938" s="3">
        <f>in_parking_demand_data_ver1!E938*calibration!$I$31</f>
        <v>0.87974610748524795</v>
      </c>
      <c r="F938" s="3">
        <f t="shared" si="14"/>
        <v>0.87974610748524795</v>
      </c>
      <c r="G938">
        <v>0</v>
      </c>
    </row>
    <row r="939" spans="1:7" x14ac:dyDescent="0.25">
      <c r="A939">
        <v>18079</v>
      </c>
      <c r="B939" t="s">
        <v>45</v>
      </c>
      <c r="C939">
        <v>1</v>
      </c>
      <c r="D939" s="3">
        <f>in_parking_demand_data_ver1!D939*calibration!$I$31</f>
        <v>0</v>
      </c>
      <c r="E939" s="3">
        <f>in_parking_demand_data_ver1!E939*calibration!$I$31</f>
        <v>1.0054241228402896</v>
      </c>
      <c r="F939" s="3">
        <f t="shared" si="14"/>
        <v>1.0054241228402896</v>
      </c>
      <c r="G939">
        <v>0</v>
      </c>
    </row>
    <row r="940" spans="1:7" x14ac:dyDescent="0.25">
      <c r="A940">
        <v>18079</v>
      </c>
      <c r="B940" t="s">
        <v>45</v>
      </c>
      <c r="C940">
        <v>2</v>
      </c>
      <c r="D940" s="3">
        <f>in_parking_demand_data_ver1!D940*calibration!$I$31</f>
        <v>0</v>
      </c>
      <c r="E940" s="3">
        <f>in_parking_demand_data_ver1!E940*calibration!$I$31</f>
        <v>1.0054241228402896</v>
      </c>
      <c r="F940" s="3">
        <f t="shared" si="14"/>
        <v>1.0054241228402896</v>
      </c>
      <c r="G940">
        <v>0</v>
      </c>
    </row>
    <row r="941" spans="1:7" x14ac:dyDescent="0.25">
      <c r="A941">
        <v>18079</v>
      </c>
      <c r="B941" t="s">
        <v>45</v>
      </c>
      <c r="C941">
        <v>3</v>
      </c>
      <c r="D941" s="3">
        <f>in_parking_demand_data_ver1!D941*calibration!$I$31</f>
        <v>0</v>
      </c>
      <c r="E941" s="3">
        <f>in_parking_demand_data_ver1!E941*calibration!$I$31</f>
        <v>1.0892094664103116</v>
      </c>
      <c r="F941" s="3">
        <f t="shared" si="14"/>
        <v>1.0892094664103116</v>
      </c>
      <c r="G941">
        <v>0</v>
      </c>
    </row>
    <row r="942" spans="1:7" x14ac:dyDescent="0.25">
      <c r="A942">
        <v>18079</v>
      </c>
      <c r="B942" t="s">
        <v>45</v>
      </c>
      <c r="C942">
        <v>4</v>
      </c>
      <c r="D942" s="3">
        <f>in_parking_demand_data_ver1!D942*calibration!$I$31</f>
        <v>0</v>
      </c>
      <c r="E942" s="3">
        <f>in_parking_demand_data_ver1!E942*calibration!$I$31</f>
        <v>1.0473167946253004</v>
      </c>
      <c r="F942" s="3">
        <f t="shared" si="14"/>
        <v>1.0473167946253004</v>
      </c>
      <c r="G942">
        <v>0</v>
      </c>
    </row>
    <row r="943" spans="1:7" x14ac:dyDescent="0.25">
      <c r="A943">
        <v>18079</v>
      </c>
      <c r="B943" t="s">
        <v>45</v>
      </c>
      <c r="C943">
        <v>5</v>
      </c>
      <c r="D943" s="3">
        <f>in_parking_demand_data_ver1!D943*calibration!$I$31</f>
        <v>0</v>
      </c>
      <c r="E943" s="3">
        <f>in_parking_demand_data_ver1!E943*calibration!$I$31</f>
        <v>1.1311021381953223</v>
      </c>
      <c r="F943" s="3">
        <f t="shared" si="14"/>
        <v>1.1311021381953223</v>
      </c>
      <c r="G943">
        <v>0</v>
      </c>
    </row>
    <row r="944" spans="1:7" x14ac:dyDescent="0.25">
      <c r="A944">
        <v>18079</v>
      </c>
      <c r="B944" t="s">
        <v>45</v>
      </c>
      <c r="C944">
        <v>6</v>
      </c>
      <c r="D944" s="3">
        <f>in_parking_demand_data_ver1!D944*calibration!$I$31</f>
        <v>0</v>
      </c>
      <c r="E944" s="3">
        <f>in_parking_demand_data_ver1!E944*calibration!$I$31</f>
        <v>1.2567801535503555</v>
      </c>
      <c r="F944" s="3">
        <f t="shared" si="14"/>
        <v>1.2567801535503555</v>
      </c>
      <c r="G944">
        <v>0</v>
      </c>
    </row>
    <row r="945" spans="1:7" x14ac:dyDescent="0.25">
      <c r="A945">
        <v>18079</v>
      </c>
      <c r="B945" t="s">
        <v>45</v>
      </c>
      <c r="C945">
        <v>7</v>
      </c>
      <c r="D945" s="3">
        <f>in_parking_demand_data_ver1!D945*calibration!$I$31</f>
        <v>0</v>
      </c>
      <c r="E945" s="3">
        <f>in_parking_demand_data_ver1!E945*calibration!$I$31</f>
        <v>1.382458168905397</v>
      </c>
      <c r="F945" s="3">
        <f t="shared" si="14"/>
        <v>1.382458168905397</v>
      </c>
      <c r="G945">
        <v>0</v>
      </c>
    </row>
    <row r="946" spans="1:7" x14ac:dyDescent="0.25">
      <c r="A946">
        <v>18079</v>
      </c>
      <c r="B946" t="s">
        <v>45</v>
      </c>
      <c r="C946">
        <v>8</v>
      </c>
      <c r="D946" s="3">
        <f>in_parking_demand_data_ver1!D946*calibration!$I$31</f>
        <v>0</v>
      </c>
      <c r="E946" s="3">
        <f>in_parking_demand_data_ver1!E946*calibration!$I$31</f>
        <v>1.2148874817653446</v>
      </c>
      <c r="F946" s="3">
        <f t="shared" si="14"/>
        <v>1.2148874817653446</v>
      </c>
      <c r="G946">
        <v>0</v>
      </c>
    </row>
    <row r="947" spans="1:7" x14ac:dyDescent="0.25">
      <c r="A947">
        <v>18079</v>
      </c>
      <c r="B947" t="s">
        <v>45</v>
      </c>
      <c r="C947">
        <v>9</v>
      </c>
      <c r="D947" s="3">
        <f>in_parking_demand_data_ver1!D947*calibration!$I$31</f>
        <v>0</v>
      </c>
      <c r="E947" s="3">
        <f>in_parking_demand_data_ver1!E947*calibration!$I$31</f>
        <v>1.7175995431854936</v>
      </c>
      <c r="F947" s="3">
        <f t="shared" si="14"/>
        <v>1.7175995431854936</v>
      </c>
      <c r="G947">
        <v>0</v>
      </c>
    </row>
    <row r="948" spans="1:7" x14ac:dyDescent="0.25">
      <c r="A948">
        <v>18079</v>
      </c>
      <c r="B948" t="s">
        <v>45</v>
      </c>
      <c r="C948">
        <v>10</v>
      </c>
      <c r="D948" s="3">
        <f>in_parking_demand_data_ver1!D948*calibration!$I$31</f>
        <v>0</v>
      </c>
      <c r="E948" s="3">
        <f>in_parking_demand_data_ver1!E948*calibration!$I$31</f>
        <v>3.3514137428009652</v>
      </c>
      <c r="F948" s="3">
        <f t="shared" si="14"/>
        <v>3.3514137428009652</v>
      </c>
      <c r="G948">
        <v>0</v>
      </c>
    </row>
    <row r="949" spans="1:7" x14ac:dyDescent="0.25">
      <c r="A949">
        <v>18079</v>
      </c>
      <c r="B949" t="s">
        <v>45</v>
      </c>
      <c r="C949">
        <v>11</v>
      </c>
      <c r="D949" s="3">
        <f>in_parking_demand_data_ver1!D949*calibration!$I$31</f>
        <v>0</v>
      </c>
      <c r="E949" s="3">
        <f>in_parking_demand_data_ver1!E949*calibration!$I$31</f>
        <v>2.8905943531658269</v>
      </c>
      <c r="F949" s="3">
        <f t="shared" si="14"/>
        <v>2.8905943531658269</v>
      </c>
      <c r="G949">
        <v>0</v>
      </c>
    </row>
    <row r="950" spans="1:7" x14ac:dyDescent="0.25">
      <c r="A950">
        <v>18079</v>
      </c>
      <c r="B950" t="s">
        <v>45</v>
      </c>
      <c r="C950">
        <v>12</v>
      </c>
      <c r="D950" s="3">
        <f>in_parking_demand_data_ver1!D950*calibration!$I$31</f>
        <v>0</v>
      </c>
      <c r="E950" s="3">
        <f>in_parking_demand_data_ver1!E950*calibration!$I$31</f>
        <v>1.8851702303255375</v>
      </c>
      <c r="F950" s="3">
        <f t="shared" si="14"/>
        <v>1.8851702303255375</v>
      </c>
      <c r="G950">
        <v>0</v>
      </c>
    </row>
    <row r="951" spans="1:7" x14ac:dyDescent="0.25">
      <c r="A951">
        <v>18079</v>
      </c>
      <c r="B951" t="s">
        <v>45</v>
      </c>
      <c r="C951">
        <v>13</v>
      </c>
      <c r="D951" s="3">
        <f>in_parking_demand_data_ver1!D951*calibration!$I$31</f>
        <v>0</v>
      </c>
      <c r="E951" s="3">
        <f>in_parking_demand_data_ver1!E951*calibration!$I$31</f>
        <v>1.0473167946253004</v>
      </c>
      <c r="F951" s="3">
        <f t="shared" si="14"/>
        <v>1.0473167946253004</v>
      </c>
      <c r="G951">
        <v>0</v>
      </c>
    </row>
    <row r="952" spans="1:7" x14ac:dyDescent="0.25">
      <c r="A952">
        <v>18079</v>
      </c>
      <c r="B952" t="s">
        <v>45</v>
      </c>
      <c r="C952">
        <v>14</v>
      </c>
      <c r="D952" s="3">
        <f>in_parking_demand_data_ver1!D952*calibration!$I$31</f>
        <v>0</v>
      </c>
      <c r="E952" s="3">
        <f>in_parking_demand_data_ver1!E952*calibration!$I$31</f>
        <v>0.5027120614201448</v>
      </c>
      <c r="F952" s="3">
        <f t="shared" si="14"/>
        <v>0.5027120614201448</v>
      </c>
      <c r="G952">
        <v>0</v>
      </c>
    </row>
    <row r="953" spans="1:7" x14ac:dyDescent="0.25">
      <c r="A953">
        <v>18079</v>
      </c>
      <c r="B953" t="s">
        <v>45</v>
      </c>
      <c r="C953">
        <v>15</v>
      </c>
      <c r="D953" s="3">
        <f>in_parking_demand_data_ver1!D953*calibration!$I$31</f>
        <v>0</v>
      </c>
      <c r="E953" s="3">
        <f>in_parking_demand_data_ver1!E953*calibration!$I$31</f>
        <v>0.62839007677518033</v>
      </c>
      <c r="F953" s="3">
        <f t="shared" si="14"/>
        <v>0.62839007677518033</v>
      </c>
      <c r="G953">
        <v>0</v>
      </c>
    </row>
    <row r="954" spans="1:7" x14ac:dyDescent="0.25">
      <c r="A954">
        <v>18079</v>
      </c>
      <c r="B954" t="s">
        <v>45</v>
      </c>
      <c r="C954">
        <v>16</v>
      </c>
      <c r="D954" s="3">
        <f>in_parking_demand_data_ver1!D954*calibration!$I$31</f>
        <v>0</v>
      </c>
      <c r="E954" s="3">
        <f>in_parking_demand_data_ver1!E954*calibration!$I$31</f>
        <v>0.54460473320515657</v>
      </c>
      <c r="F954" s="3">
        <f t="shared" si="14"/>
        <v>0.54460473320515657</v>
      </c>
      <c r="G954">
        <v>0</v>
      </c>
    </row>
    <row r="955" spans="1:7" x14ac:dyDescent="0.25">
      <c r="A955">
        <v>18079</v>
      </c>
      <c r="B955" t="s">
        <v>45</v>
      </c>
      <c r="C955">
        <v>17</v>
      </c>
      <c r="D955" s="3">
        <f>in_parking_demand_data_ver1!D955*calibration!$I$31</f>
        <v>0</v>
      </c>
      <c r="E955" s="3">
        <f>in_parking_demand_data_ver1!E955*calibration!$I$31</f>
        <v>0.37703404606510837</v>
      </c>
      <c r="F955" s="3">
        <f t="shared" si="14"/>
        <v>0.37703404606510837</v>
      </c>
      <c r="G955">
        <v>0</v>
      </c>
    </row>
    <row r="956" spans="1:7" x14ac:dyDescent="0.25">
      <c r="A956">
        <v>18079</v>
      </c>
      <c r="B956" t="s">
        <v>45</v>
      </c>
      <c r="C956">
        <v>18</v>
      </c>
      <c r="D956" s="3">
        <f>in_parking_demand_data_ver1!D956*calibration!$I$31</f>
        <v>0</v>
      </c>
      <c r="E956" s="3">
        <f>in_parking_demand_data_ver1!E956*calibration!$I$31</f>
        <v>0.37703404606510837</v>
      </c>
      <c r="F956" s="3">
        <f t="shared" si="14"/>
        <v>0.37703404606510837</v>
      </c>
      <c r="G956">
        <v>0</v>
      </c>
    </row>
    <row r="957" spans="1:7" x14ac:dyDescent="0.25">
      <c r="A957">
        <v>18079</v>
      </c>
      <c r="B957" t="s">
        <v>45</v>
      </c>
      <c r="C957">
        <v>19</v>
      </c>
      <c r="D957" s="3">
        <f>in_parking_demand_data_ver1!D957*calibration!$I$31</f>
        <v>0</v>
      </c>
      <c r="E957" s="3">
        <f>in_parking_demand_data_ver1!E957*calibration!$I$31</f>
        <v>0.71217542034520476</v>
      </c>
      <c r="F957" s="3">
        <f t="shared" si="14"/>
        <v>0.71217542034520476</v>
      </c>
      <c r="G957">
        <v>0</v>
      </c>
    </row>
    <row r="958" spans="1:7" x14ac:dyDescent="0.25">
      <c r="A958">
        <v>18079</v>
      </c>
      <c r="B958" t="s">
        <v>45</v>
      </c>
      <c r="C958">
        <v>20</v>
      </c>
      <c r="D958" s="3">
        <f>in_parking_demand_data_ver1!D958*calibration!$I$31</f>
        <v>0</v>
      </c>
      <c r="E958" s="3">
        <f>in_parking_demand_data_ver1!E958*calibration!$I$31</f>
        <v>0.46081938963513208</v>
      </c>
      <c r="F958" s="3">
        <f t="shared" si="14"/>
        <v>0.46081938963513208</v>
      </c>
      <c r="G958">
        <v>0</v>
      </c>
    </row>
    <row r="959" spans="1:7" x14ac:dyDescent="0.25">
      <c r="A959">
        <v>18079</v>
      </c>
      <c r="B959" t="s">
        <v>45</v>
      </c>
      <c r="C959">
        <v>21</v>
      </c>
      <c r="D959" s="3">
        <f>in_parking_demand_data_ver1!D959*calibration!$I$31</f>
        <v>0</v>
      </c>
      <c r="E959" s="3">
        <f>in_parking_demand_data_ver1!E959*calibration!$I$31</f>
        <v>0.58649740499016845</v>
      </c>
      <c r="F959" s="3">
        <f t="shared" si="14"/>
        <v>0.58649740499016845</v>
      </c>
      <c r="G959">
        <v>0</v>
      </c>
    </row>
    <row r="960" spans="1:7" x14ac:dyDescent="0.25">
      <c r="A960">
        <v>18079</v>
      </c>
      <c r="B960" t="s">
        <v>45</v>
      </c>
      <c r="C960">
        <v>22</v>
      </c>
      <c r="D960" s="3">
        <f>in_parking_demand_data_ver1!D960*calibration!$I$31</f>
        <v>0</v>
      </c>
      <c r="E960" s="3">
        <f>in_parking_demand_data_ver1!E960*calibration!$I$31</f>
        <v>0.75406809213021675</v>
      </c>
      <c r="F960" s="3">
        <f t="shared" si="14"/>
        <v>0.75406809213021675</v>
      </c>
      <c r="G960">
        <v>0</v>
      </c>
    </row>
    <row r="961" spans="1:7" x14ac:dyDescent="0.25">
      <c r="A961">
        <v>18079</v>
      </c>
      <c r="B961" t="s">
        <v>45</v>
      </c>
      <c r="C961">
        <v>23</v>
      </c>
      <c r="D961" s="3">
        <f>in_parking_demand_data_ver1!D961*calibration!$I$31</f>
        <v>0</v>
      </c>
      <c r="E961" s="3">
        <f>in_parking_demand_data_ver1!E961*calibration!$I$31</f>
        <v>0.87974610748524795</v>
      </c>
      <c r="F961" s="3">
        <f t="shared" si="14"/>
        <v>0.87974610748524795</v>
      </c>
      <c r="G961">
        <v>0</v>
      </c>
    </row>
    <row r="962" spans="1:7" x14ac:dyDescent="0.25">
      <c r="A962">
        <v>18081</v>
      </c>
      <c r="B962" t="s">
        <v>46</v>
      </c>
      <c r="C962">
        <v>0</v>
      </c>
      <c r="D962" s="3">
        <f>in_parking_demand_data_ver1!D962*calibration!$I$31</f>
        <v>398.52808377359253</v>
      </c>
      <c r="E962" s="3">
        <f>in_parking_demand_data_ver1!E962*calibration!$I$31</f>
        <v>12.560917038240474</v>
      </c>
      <c r="F962" s="3">
        <f t="shared" si="14"/>
        <v>411.08900081183299</v>
      </c>
      <c r="G962">
        <v>480</v>
      </c>
    </row>
    <row r="963" spans="1:7" x14ac:dyDescent="0.25">
      <c r="A963">
        <v>18081</v>
      </c>
      <c r="B963" t="s">
        <v>46</v>
      </c>
      <c r="C963">
        <v>1</v>
      </c>
      <c r="D963" s="3">
        <f>in_parking_demand_data_ver1!D963*calibration!$I$31</f>
        <v>400.82521646151952</v>
      </c>
      <c r="E963" s="3">
        <f>in_parking_demand_data_ver1!E963*calibration!$I$31</f>
        <v>14.467048417584399</v>
      </c>
      <c r="F963" s="3">
        <f t="shared" ref="F963:F1026" si="15">SUM(D963:E963)</f>
        <v>415.29226487910393</v>
      </c>
      <c r="G963">
        <v>480</v>
      </c>
    </row>
    <row r="964" spans="1:7" x14ac:dyDescent="0.25">
      <c r="A964">
        <v>18081</v>
      </c>
      <c r="B964" t="s">
        <v>46</v>
      </c>
      <c r="C964">
        <v>2</v>
      </c>
      <c r="D964" s="3">
        <f>in_parking_demand_data_ver1!D964*calibration!$I$31</f>
        <v>396.67082755782133</v>
      </c>
      <c r="E964" s="3">
        <f>in_parking_demand_data_ver1!E964*calibration!$I$31</f>
        <v>16.422054960501221</v>
      </c>
      <c r="F964" s="3">
        <f t="shared" si="15"/>
        <v>413.09288251832254</v>
      </c>
      <c r="G964">
        <v>480</v>
      </c>
    </row>
    <row r="965" spans="1:7" x14ac:dyDescent="0.25">
      <c r="A965">
        <v>18081</v>
      </c>
      <c r="B965" t="s">
        <v>46</v>
      </c>
      <c r="C965">
        <v>3</v>
      </c>
      <c r="D965" s="3">
        <f>in_parking_demand_data_ver1!D965*calibration!$I$31</f>
        <v>388.36204975042494</v>
      </c>
      <c r="E965" s="3">
        <f>in_parking_demand_data_ver1!E965*calibration!$I$31</f>
        <v>17.350683068386733</v>
      </c>
      <c r="F965" s="3">
        <f t="shared" si="15"/>
        <v>405.71273281881167</v>
      </c>
      <c r="G965">
        <v>480</v>
      </c>
    </row>
    <row r="966" spans="1:7" x14ac:dyDescent="0.25">
      <c r="A966">
        <v>18081</v>
      </c>
      <c r="B966" t="s">
        <v>46</v>
      </c>
      <c r="C966">
        <v>4</v>
      </c>
      <c r="D966" s="3">
        <f>in_parking_demand_data_ver1!D966*calibration!$I$31</f>
        <v>375.41013140360138</v>
      </c>
      <c r="E966" s="3">
        <f>in_parking_demand_data_ver1!E966*calibration!$I$31</f>
        <v>18.279311176272163</v>
      </c>
      <c r="F966" s="3">
        <f t="shared" si="15"/>
        <v>393.68944257987357</v>
      </c>
      <c r="G966">
        <v>480</v>
      </c>
    </row>
    <row r="967" spans="1:7" x14ac:dyDescent="0.25">
      <c r="A967">
        <v>18081</v>
      </c>
      <c r="B967" t="s">
        <v>46</v>
      </c>
      <c r="C967">
        <v>5</v>
      </c>
      <c r="D967" s="3">
        <f>in_parking_demand_data_ver1!D967*calibration!$I$31</f>
        <v>357.86394768092299</v>
      </c>
      <c r="E967" s="3">
        <f>in_parking_demand_data_ver1!E967*calibration!$I$31</f>
        <v>19.696690919886883</v>
      </c>
      <c r="F967" s="3">
        <f t="shared" si="15"/>
        <v>377.56063860080985</v>
      </c>
      <c r="G967">
        <v>480</v>
      </c>
    </row>
    <row r="968" spans="1:7" x14ac:dyDescent="0.25">
      <c r="A968">
        <v>18081</v>
      </c>
      <c r="B968" t="s">
        <v>46</v>
      </c>
      <c r="C968">
        <v>6</v>
      </c>
      <c r="D968" s="3">
        <f>in_parking_demand_data_ver1!D968*calibration!$I$31</f>
        <v>329.27197699076453</v>
      </c>
      <c r="E968" s="3">
        <f>in_parking_demand_data_ver1!E968*calibration!$I$31</f>
        <v>19.598940592741009</v>
      </c>
      <c r="F968" s="3">
        <f t="shared" si="15"/>
        <v>348.87091758350556</v>
      </c>
      <c r="G968">
        <v>480</v>
      </c>
    </row>
    <row r="969" spans="1:7" x14ac:dyDescent="0.25">
      <c r="A969">
        <v>18081</v>
      </c>
      <c r="B969" t="s">
        <v>46</v>
      </c>
      <c r="C969">
        <v>7</v>
      </c>
      <c r="D969" s="3">
        <f>in_parking_demand_data_ver1!D969*calibration!$I$31</f>
        <v>287.53258729948993</v>
      </c>
      <c r="E969" s="3">
        <f>in_parking_demand_data_ver1!E969*calibration!$I$31</f>
        <v>15.688927506907369</v>
      </c>
      <c r="F969" s="3">
        <f t="shared" si="15"/>
        <v>303.22151480639729</v>
      </c>
      <c r="G969">
        <v>480</v>
      </c>
    </row>
    <row r="970" spans="1:7" x14ac:dyDescent="0.25">
      <c r="A970">
        <v>18081</v>
      </c>
      <c r="B970" t="s">
        <v>46</v>
      </c>
      <c r="C970">
        <v>8</v>
      </c>
      <c r="D970" s="3">
        <f>in_parking_demand_data_ver1!D970*calibration!$I$31</f>
        <v>247.16170218825846</v>
      </c>
      <c r="E970" s="3">
        <f>in_parking_demand_data_ver1!E970*calibration!$I$31</f>
        <v>13.294044491834324</v>
      </c>
      <c r="F970" s="3">
        <f t="shared" si="15"/>
        <v>260.45574668009277</v>
      </c>
      <c r="G970">
        <v>480</v>
      </c>
    </row>
    <row r="971" spans="1:7" x14ac:dyDescent="0.25">
      <c r="A971">
        <v>18081</v>
      </c>
      <c r="B971" t="s">
        <v>46</v>
      </c>
      <c r="C971">
        <v>9</v>
      </c>
      <c r="D971" s="3">
        <f>in_parking_demand_data_ver1!D971*calibration!$I$31</f>
        <v>218.42310600738057</v>
      </c>
      <c r="E971" s="3">
        <f>in_parking_demand_data_ver1!E971*calibration!$I$31</f>
        <v>10.752535986042425</v>
      </c>
      <c r="F971" s="3">
        <f t="shared" si="15"/>
        <v>229.175641993423</v>
      </c>
      <c r="G971">
        <v>480</v>
      </c>
    </row>
    <row r="972" spans="1:7" x14ac:dyDescent="0.25">
      <c r="A972">
        <v>18081</v>
      </c>
      <c r="B972" t="s">
        <v>46</v>
      </c>
      <c r="C972">
        <v>10</v>
      </c>
      <c r="D972" s="3">
        <f>in_parking_demand_data_ver1!D972*calibration!$I$31</f>
        <v>203.90718242622384</v>
      </c>
      <c r="E972" s="3">
        <f>in_parking_demand_data_ver1!E972*calibration!$I$31</f>
        <v>6.0605202830421252</v>
      </c>
      <c r="F972" s="3">
        <f t="shared" si="15"/>
        <v>209.96770270926598</v>
      </c>
      <c r="G972">
        <v>480</v>
      </c>
    </row>
    <row r="973" spans="1:7" x14ac:dyDescent="0.25">
      <c r="A973">
        <v>18081</v>
      </c>
      <c r="B973" t="s">
        <v>46</v>
      </c>
      <c r="C973">
        <v>11</v>
      </c>
      <c r="D973" s="3">
        <f>in_parking_demand_data_ver1!D973*calibration!$I$31</f>
        <v>199.50841770466073</v>
      </c>
      <c r="E973" s="3">
        <f>in_parking_demand_data_ver1!E973*calibration!$I$31</f>
        <v>3.6656372679690286</v>
      </c>
      <c r="F973" s="3">
        <f t="shared" si="15"/>
        <v>203.17405497262976</v>
      </c>
      <c r="G973">
        <v>480</v>
      </c>
    </row>
    <row r="974" spans="1:7" x14ac:dyDescent="0.25">
      <c r="A974">
        <v>18081</v>
      </c>
      <c r="B974" t="s">
        <v>46</v>
      </c>
      <c r="C974">
        <v>12</v>
      </c>
      <c r="D974" s="3">
        <f>in_parking_demand_data_ver1!D974*calibration!$I$31</f>
        <v>198.04216279747305</v>
      </c>
      <c r="E974" s="3">
        <f>in_parking_demand_data_ver1!E974*calibration!$I$31</f>
        <v>3.4212614501044265</v>
      </c>
      <c r="F974" s="3">
        <f t="shared" si="15"/>
        <v>201.46342424757748</v>
      </c>
      <c r="G974">
        <v>480</v>
      </c>
    </row>
    <row r="975" spans="1:7" x14ac:dyDescent="0.25">
      <c r="A975">
        <v>18081</v>
      </c>
      <c r="B975" t="s">
        <v>46</v>
      </c>
      <c r="C975">
        <v>13</v>
      </c>
      <c r="D975" s="3">
        <f>in_parking_demand_data_ver1!D975*calibration!$I$31</f>
        <v>200.58367130326494</v>
      </c>
      <c r="E975" s="3">
        <f>in_parking_demand_data_ver1!E975*calibration!$I$31</f>
        <v>3.2746359593856651</v>
      </c>
      <c r="F975" s="3">
        <f t="shared" si="15"/>
        <v>203.85830726265061</v>
      </c>
      <c r="G975">
        <v>480</v>
      </c>
    </row>
    <row r="976" spans="1:7" x14ac:dyDescent="0.25">
      <c r="A976">
        <v>18081</v>
      </c>
      <c r="B976" t="s">
        <v>46</v>
      </c>
      <c r="C976">
        <v>14</v>
      </c>
      <c r="D976" s="3">
        <f>in_parking_demand_data_ver1!D976*calibration!$I$31</f>
        <v>207.32844387632821</v>
      </c>
      <c r="E976" s="3">
        <f>in_parking_demand_data_ver1!E976*calibration!$I$31</f>
        <v>2.5903836693647779</v>
      </c>
      <c r="F976" s="3">
        <f t="shared" si="15"/>
        <v>209.91882754569298</v>
      </c>
      <c r="G976">
        <v>480</v>
      </c>
    </row>
    <row r="977" spans="1:7" x14ac:dyDescent="0.25">
      <c r="A977">
        <v>18081</v>
      </c>
      <c r="B977" t="s">
        <v>46</v>
      </c>
      <c r="C977">
        <v>15</v>
      </c>
      <c r="D977" s="3">
        <f>in_parking_demand_data_ver1!D977*calibration!$I$31</f>
        <v>221.79549229391259</v>
      </c>
      <c r="E977" s="3">
        <f>in_parking_demand_data_ver1!E977*calibration!$I$31</f>
        <v>2.3948830150730958</v>
      </c>
      <c r="F977" s="3">
        <f t="shared" si="15"/>
        <v>224.19037530898569</v>
      </c>
      <c r="G977">
        <v>480</v>
      </c>
    </row>
    <row r="978" spans="1:7" x14ac:dyDescent="0.25">
      <c r="A978">
        <v>18081</v>
      </c>
      <c r="B978" t="s">
        <v>46</v>
      </c>
      <c r="C978">
        <v>16</v>
      </c>
      <c r="D978" s="3">
        <f>in_parking_demand_data_ver1!D978*calibration!$I$31</f>
        <v>241.05230674164272</v>
      </c>
      <c r="E978" s="3">
        <f>in_parking_demand_data_ver1!E978*calibration!$I$31</f>
        <v>2.0038817064897319</v>
      </c>
      <c r="F978" s="3">
        <f t="shared" si="15"/>
        <v>243.05618844813245</v>
      </c>
      <c r="G978">
        <v>480</v>
      </c>
    </row>
    <row r="979" spans="1:7" x14ac:dyDescent="0.25">
      <c r="A979">
        <v>18081</v>
      </c>
      <c r="B979" t="s">
        <v>46</v>
      </c>
      <c r="C979">
        <v>17</v>
      </c>
      <c r="D979" s="3">
        <f>in_parking_demand_data_ver1!D979*calibration!$I$31</f>
        <v>270.71953103040539</v>
      </c>
      <c r="E979" s="3">
        <f>in_parking_demand_data_ver1!E979*calibration!$I$31</f>
        <v>1.2707542528959244</v>
      </c>
      <c r="F979" s="3">
        <f t="shared" si="15"/>
        <v>271.99028528330132</v>
      </c>
      <c r="G979">
        <v>480</v>
      </c>
    </row>
    <row r="980" spans="1:7" x14ac:dyDescent="0.25">
      <c r="A980">
        <v>18081</v>
      </c>
      <c r="B980" t="s">
        <v>46</v>
      </c>
      <c r="C980">
        <v>18</v>
      </c>
      <c r="D980" s="3">
        <f>in_parking_demand_data_ver1!D980*calibration!$I$31</f>
        <v>302.92826382495991</v>
      </c>
      <c r="E980" s="3">
        <f>in_parking_demand_data_ver1!E980*calibration!$I$31</f>
        <v>2.0527568700626526</v>
      </c>
      <c r="F980" s="3">
        <f t="shared" si="15"/>
        <v>304.98102069502255</v>
      </c>
      <c r="G980">
        <v>480</v>
      </c>
    </row>
    <row r="981" spans="1:7" x14ac:dyDescent="0.25">
      <c r="A981">
        <v>18081</v>
      </c>
      <c r="B981" t="s">
        <v>46</v>
      </c>
      <c r="C981">
        <v>19</v>
      </c>
      <c r="D981" s="3">
        <f>in_parking_demand_data_ver1!D981*calibration!$I$31</f>
        <v>329.56522797220174</v>
      </c>
      <c r="E981" s="3">
        <f>in_parking_demand_data_ver1!E981*calibration!$I$31</f>
        <v>1.9550065429168113</v>
      </c>
      <c r="F981" s="3">
        <f t="shared" si="15"/>
        <v>331.52023451511855</v>
      </c>
      <c r="G981">
        <v>480</v>
      </c>
    </row>
    <row r="982" spans="1:7" x14ac:dyDescent="0.25">
      <c r="A982">
        <v>18081</v>
      </c>
      <c r="B982" t="s">
        <v>46</v>
      </c>
      <c r="C982">
        <v>20</v>
      </c>
      <c r="D982" s="3">
        <f>in_parking_demand_data_ver1!D982*calibration!$I$31</f>
        <v>350.09279667282868</v>
      </c>
      <c r="E982" s="3">
        <f>in_parking_demand_data_ver1!E982*calibration!$I$31</f>
        <v>3.1280104686669032</v>
      </c>
      <c r="F982" s="3">
        <f t="shared" si="15"/>
        <v>353.22080714149558</v>
      </c>
      <c r="G982">
        <v>480</v>
      </c>
    </row>
    <row r="983" spans="1:7" x14ac:dyDescent="0.25">
      <c r="A983">
        <v>18081</v>
      </c>
      <c r="B983" t="s">
        <v>46</v>
      </c>
      <c r="C983">
        <v>21</v>
      </c>
      <c r="D983" s="3">
        <f>in_parking_demand_data_ver1!D983*calibration!$I$31</f>
        <v>370.37598955559076</v>
      </c>
      <c r="E983" s="3">
        <f>in_parking_demand_data_ver1!E983*calibration!$I$31</f>
        <v>4.2032640672711548</v>
      </c>
      <c r="F983" s="3">
        <f t="shared" si="15"/>
        <v>374.57925362286193</v>
      </c>
      <c r="G983">
        <v>480</v>
      </c>
    </row>
    <row r="984" spans="1:7" x14ac:dyDescent="0.25">
      <c r="A984">
        <v>18081</v>
      </c>
      <c r="B984" t="s">
        <v>46</v>
      </c>
      <c r="C984">
        <v>22</v>
      </c>
      <c r="D984" s="3">
        <f>in_parking_demand_data_ver1!D984*calibration!$I$31</f>
        <v>381.71502750450799</v>
      </c>
      <c r="E984" s="3">
        <f>in_parking_demand_data_ver1!E984*calibration!$I$31</f>
        <v>6.0605202830421252</v>
      </c>
      <c r="F984" s="3">
        <f t="shared" si="15"/>
        <v>387.77554778755012</v>
      </c>
      <c r="G984">
        <v>480</v>
      </c>
    </row>
    <row r="985" spans="1:7" x14ac:dyDescent="0.25">
      <c r="A985">
        <v>18081</v>
      </c>
      <c r="B985" t="s">
        <v>46</v>
      </c>
      <c r="C985">
        <v>23</v>
      </c>
      <c r="D985" s="3">
        <f>in_parking_demand_data_ver1!D985*calibration!$I$31</f>
        <v>390.1215556390498</v>
      </c>
      <c r="E985" s="3">
        <f>in_parking_demand_data_ver1!E985*calibration!$I$31</f>
        <v>9.872783041729889</v>
      </c>
      <c r="F985" s="3">
        <f t="shared" si="15"/>
        <v>399.99433868077972</v>
      </c>
      <c r="G985">
        <v>480</v>
      </c>
    </row>
    <row r="986" spans="1:7" x14ac:dyDescent="0.25">
      <c r="A986">
        <v>18083</v>
      </c>
      <c r="B986" t="s">
        <v>47</v>
      </c>
      <c r="C986">
        <v>0</v>
      </c>
      <c r="D986" s="3">
        <f>in_parking_demand_data_ver1!D986*calibration!$I$31</f>
        <v>8.6967734170098101</v>
      </c>
      <c r="E986" s="3">
        <f>in_parking_demand_data_ver1!E986*calibration!$I$31</f>
        <v>1.8118277952103783</v>
      </c>
      <c r="F986" s="3">
        <f t="shared" si="15"/>
        <v>10.508601212220189</v>
      </c>
      <c r="G986">
        <v>35</v>
      </c>
    </row>
    <row r="987" spans="1:7" x14ac:dyDescent="0.25">
      <c r="A987">
        <v>18083</v>
      </c>
      <c r="B987" t="s">
        <v>47</v>
      </c>
      <c r="C987">
        <v>1</v>
      </c>
      <c r="D987" s="3">
        <f>in_parking_demand_data_ver1!D987*calibration!$I$31</f>
        <v>10.02544713349746</v>
      </c>
      <c r="E987" s="3">
        <f>in_parking_demand_data_ver1!E987*calibration!$I$31</f>
        <v>1.8118277952103783</v>
      </c>
      <c r="F987" s="3">
        <f t="shared" si="15"/>
        <v>11.837274928707838</v>
      </c>
      <c r="G987">
        <v>35</v>
      </c>
    </row>
    <row r="988" spans="1:7" x14ac:dyDescent="0.25">
      <c r="A988">
        <v>18083</v>
      </c>
      <c r="B988" t="s">
        <v>47</v>
      </c>
      <c r="C988">
        <v>2</v>
      </c>
      <c r="D988" s="3">
        <f>in_parking_demand_data_ver1!D988*calibration!$I$31</f>
        <v>10.02544713349746</v>
      </c>
      <c r="E988" s="3">
        <f>in_parking_demand_data_ver1!E988*calibration!$I$31</f>
        <v>1.6306450156893415</v>
      </c>
      <c r="F988" s="3">
        <f t="shared" si="15"/>
        <v>11.656092149186801</v>
      </c>
      <c r="G988">
        <v>35</v>
      </c>
    </row>
    <row r="989" spans="1:7" x14ac:dyDescent="0.25">
      <c r="A989">
        <v>18083</v>
      </c>
      <c r="B989" t="s">
        <v>47</v>
      </c>
      <c r="C989">
        <v>3</v>
      </c>
      <c r="D989" s="3">
        <f>in_parking_demand_data_ver1!D989*calibration!$I$31</f>
        <v>9.6026873146149949</v>
      </c>
      <c r="E989" s="3">
        <f>in_parking_demand_data_ver1!E989*calibration!$I$31</f>
        <v>1.5702507558489931</v>
      </c>
      <c r="F989" s="3">
        <f t="shared" si="15"/>
        <v>11.172938070463989</v>
      </c>
      <c r="G989">
        <v>35</v>
      </c>
    </row>
    <row r="990" spans="1:7" x14ac:dyDescent="0.25">
      <c r="A990">
        <v>18083</v>
      </c>
      <c r="B990" t="s">
        <v>47</v>
      </c>
      <c r="C990">
        <v>4</v>
      </c>
      <c r="D990" s="3">
        <f>in_parking_demand_data_ver1!D990*calibration!$I$31</f>
        <v>9.5422930547746549</v>
      </c>
      <c r="E990" s="3">
        <f>in_parking_demand_data_ver1!E990*calibration!$I$31</f>
        <v>1.5702507558489931</v>
      </c>
      <c r="F990" s="3">
        <f t="shared" si="15"/>
        <v>11.112543810623649</v>
      </c>
      <c r="G990">
        <v>35</v>
      </c>
    </row>
    <row r="991" spans="1:7" x14ac:dyDescent="0.25">
      <c r="A991">
        <v>18083</v>
      </c>
      <c r="B991" t="s">
        <v>47</v>
      </c>
      <c r="C991">
        <v>5</v>
      </c>
      <c r="D991" s="3">
        <f>in_parking_demand_data_ver1!D991*calibration!$I$31</f>
        <v>9.6026873146149949</v>
      </c>
      <c r="E991" s="3">
        <f>in_parking_demand_data_ver1!E991*calibration!$I$31</f>
        <v>1.5702507558489931</v>
      </c>
      <c r="F991" s="3">
        <f t="shared" si="15"/>
        <v>11.172938070463989</v>
      </c>
      <c r="G991">
        <v>35</v>
      </c>
    </row>
    <row r="992" spans="1:7" x14ac:dyDescent="0.25">
      <c r="A992">
        <v>18083</v>
      </c>
      <c r="B992" t="s">
        <v>47</v>
      </c>
      <c r="C992">
        <v>6</v>
      </c>
      <c r="D992" s="3">
        <f>in_parking_demand_data_ver1!D992*calibration!$I$31</f>
        <v>9.6630815744553349</v>
      </c>
      <c r="E992" s="3">
        <f>in_parking_demand_data_ver1!E992*calibration!$I$31</f>
        <v>1.4494622361683045</v>
      </c>
      <c r="F992" s="3">
        <f t="shared" si="15"/>
        <v>11.11254381062364</v>
      </c>
      <c r="G992">
        <v>35</v>
      </c>
    </row>
    <row r="993" spans="1:7" x14ac:dyDescent="0.25">
      <c r="A993">
        <v>18083</v>
      </c>
      <c r="B993" t="s">
        <v>47</v>
      </c>
      <c r="C993">
        <v>7</v>
      </c>
      <c r="D993" s="3">
        <f>in_parking_demand_data_ver1!D993*calibration!$I$31</f>
        <v>8.1532250784467326</v>
      </c>
      <c r="E993" s="3">
        <f>in_parking_demand_data_ver1!E993*calibration!$I$31</f>
        <v>1.7514335353700383</v>
      </c>
      <c r="F993" s="3">
        <f t="shared" si="15"/>
        <v>9.9046586138167712</v>
      </c>
      <c r="G993">
        <v>35</v>
      </c>
    </row>
    <row r="994" spans="1:7" x14ac:dyDescent="0.25">
      <c r="A994">
        <v>18083</v>
      </c>
      <c r="B994" t="s">
        <v>47</v>
      </c>
      <c r="C994">
        <v>8</v>
      </c>
      <c r="D994" s="3">
        <f>in_parking_demand_data_ver1!D994*calibration!$I$31</f>
        <v>7.1869169210011918</v>
      </c>
      <c r="E994" s="3">
        <f>in_parking_demand_data_ver1!E994*calibration!$I$31</f>
        <v>2.4761646534541866</v>
      </c>
      <c r="F994" s="3">
        <f t="shared" si="15"/>
        <v>9.6630815744553793</v>
      </c>
      <c r="G994">
        <v>35</v>
      </c>
    </row>
    <row r="995" spans="1:7" x14ac:dyDescent="0.25">
      <c r="A995">
        <v>18083</v>
      </c>
      <c r="B995" t="s">
        <v>47</v>
      </c>
      <c r="C995">
        <v>9</v>
      </c>
      <c r="D995" s="3">
        <f>in_parking_demand_data_ver1!D995*calibration!$I$31</f>
        <v>5.2543006061101156</v>
      </c>
      <c r="E995" s="3">
        <f>in_parking_demand_data_ver1!E995*calibration!$I$31</f>
        <v>1.7514335353700383</v>
      </c>
      <c r="F995" s="3">
        <f t="shared" si="15"/>
        <v>7.0057341414801542</v>
      </c>
      <c r="G995">
        <v>35</v>
      </c>
    </row>
    <row r="996" spans="1:7" x14ac:dyDescent="0.25">
      <c r="A996">
        <v>18083</v>
      </c>
      <c r="B996" t="s">
        <v>47</v>
      </c>
      <c r="C996">
        <v>10</v>
      </c>
      <c r="D996" s="3">
        <f>in_parking_demand_data_ver1!D996*calibration!$I$31</f>
        <v>5.9186374643539237</v>
      </c>
      <c r="E996" s="3">
        <f>in_parking_demand_data_ver1!E996*calibration!$I$31</f>
        <v>1.8118277952103783</v>
      </c>
      <c r="F996" s="3">
        <f t="shared" si="15"/>
        <v>7.7304652595643022</v>
      </c>
      <c r="G996">
        <v>35</v>
      </c>
    </row>
    <row r="997" spans="1:7" x14ac:dyDescent="0.25">
      <c r="A997">
        <v>18083</v>
      </c>
      <c r="B997" t="s">
        <v>47</v>
      </c>
      <c r="C997">
        <v>11</v>
      </c>
      <c r="D997" s="3">
        <f>in_parking_demand_data_ver1!D997*calibration!$I$31</f>
        <v>7.4888882202029254</v>
      </c>
      <c r="E997" s="3">
        <f>in_parking_demand_data_ver1!E997*calibration!$I$31</f>
        <v>2.1137990944121121</v>
      </c>
      <c r="F997" s="3">
        <f t="shared" si="15"/>
        <v>9.6026873146150376</v>
      </c>
      <c r="G997">
        <v>35</v>
      </c>
    </row>
    <row r="998" spans="1:7" x14ac:dyDescent="0.25">
      <c r="A998">
        <v>18083</v>
      </c>
      <c r="B998" t="s">
        <v>47</v>
      </c>
      <c r="C998">
        <v>12</v>
      </c>
      <c r="D998" s="3">
        <f>in_parking_demand_data_ver1!D998*calibration!$I$31</f>
        <v>6.2810030233959973</v>
      </c>
      <c r="E998" s="3">
        <f>in_parking_demand_data_ver1!E998*calibration!$I$31</f>
        <v>1.2078851968069189</v>
      </c>
      <c r="F998" s="3">
        <f t="shared" si="15"/>
        <v>7.4888882202029166</v>
      </c>
      <c r="G998">
        <v>35</v>
      </c>
    </row>
    <row r="999" spans="1:7" x14ac:dyDescent="0.25">
      <c r="A999">
        <v>18083</v>
      </c>
      <c r="B999" t="s">
        <v>47</v>
      </c>
      <c r="C999">
        <v>13</v>
      </c>
      <c r="D999" s="3">
        <f>in_parking_demand_data_ver1!D999*calibration!$I$31</f>
        <v>4.3483867085049219</v>
      </c>
      <c r="E999" s="3">
        <f>in_parking_demand_data_ver1!E999*calibration!$I$31</f>
        <v>1.1474909369665705</v>
      </c>
      <c r="F999" s="3">
        <f t="shared" si="15"/>
        <v>5.4958776454714924</v>
      </c>
      <c r="G999">
        <v>35</v>
      </c>
    </row>
    <row r="1000" spans="1:7" x14ac:dyDescent="0.25">
      <c r="A1000">
        <v>18083</v>
      </c>
      <c r="B1000" t="s">
        <v>47</v>
      </c>
      <c r="C1000">
        <v>14</v>
      </c>
      <c r="D1000" s="3">
        <f>in_parking_demand_data_ver1!D1000*calibration!$I$31</f>
        <v>3.3216842912190399</v>
      </c>
      <c r="E1000" s="3">
        <f>in_parking_demand_data_ver1!E1000*calibration!$I$31</f>
        <v>0.78512537792449988</v>
      </c>
      <c r="F1000" s="3">
        <f t="shared" si="15"/>
        <v>4.1068096691435398</v>
      </c>
      <c r="G1000">
        <v>35</v>
      </c>
    </row>
    <row r="1001" spans="1:7" x14ac:dyDescent="0.25">
      <c r="A1001">
        <v>18083</v>
      </c>
      <c r="B1001" t="s">
        <v>47</v>
      </c>
      <c r="C1001">
        <v>15</v>
      </c>
      <c r="D1001" s="3">
        <f>in_parking_demand_data_ver1!D1001*calibration!$I$31</f>
        <v>3.1405015116979942</v>
      </c>
      <c r="E1001" s="3">
        <f>in_parking_demand_data_ver1!E1001*calibration!$I$31</f>
        <v>1.2682794566472675</v>
      </c>
      <c r="F1001" s="3">
        <f t="shared" si="15"/>
        <v>4.4087809683452619</v>
      </c>
      <c r="G1001">
        <v>35</v>
      </c>
    </row>
    <row r="1002" spans="1:7" x14ac:dyDescent="0.25">
      <c r="A1002">
        <v>18083</v>
      </c>
      <c r="B1002" t="s">
        <v>47</v>
      </c>
      <c r="C1002">
        <v>16</v>
      </c>
      <c r="D1002" s="3">
        <f>in_parking_demand_data_ver1!D1002*calibration!$I$31</f>
        <v>2.536558913294535</v>
      </c>
      <c r="E1002" s="3">
        <f>in_parking_demand_data_ver1!E1002*calibration!$I$31</f>
        <v>1.2682794566472675</v>
      </c>
      <c r="F1002" s="3">
        <f t="shared" si="15"/>
        <v>3.8048383699418027</v>
      </c>
      <c r="G1002">
        <v>35</v>
      </c>
    </row>
    <row r="1003" spans="1:7" x14ac:dyDescent="0.25">
      <c r="A1003">
        <v>18083</v>
      </c>
      <c r="B1003" t="s">
        <v>47</v>
      </c>
      <c r="C1003">
        <v>17</v>
      </c>
      <c r="D1003" s="3">
        <f>in_parking_demand_data_ver1!D1003*calibration!$I$31</f>
        <v>3.5632613305804259</v>
      </c>
      <c r="E1003" s="3">
        <f>in_parking_demand_data_ver1!E1003*calibration!$I$31</f>
        <v>1.2078851968069189</v>
      </c>
      <c r="F1003" s="3">
        <f t="shared" si="15"/>
        <v>4.7711465273873443</v>
      </c>
      <c r="G1003">
        <v>35</v>
      </c>
    </row>
    <row r="1004" spans="1:7" x14ac:dyDescent="0.25">
      <c r="A1004">
        <v>18083</v>
      </c>
      <c r="B1004" t="s">
        <v>47</v>
      </c>
      <c r="C1004">
        <v>18</v>
      </c>
      <c r="D1004" s="3">
        <f>in_parking_demand_data_ver1!D1004*calibration!$I$31</f>
        <v>4.4087809683452708</v>
      </c>
      <c r="E1004" s="3">
        <f>in_parking_demand_data_ver1!E1004*calibration!$I$31</f>
        <v>1.4494622361683045</v>
      </c>
      <c r="F1004" s="3">
        <f t="shared" si="15"/>
        <v>5.8582432045135757</v>
      </c>
      <c r="G1004">
        <v>35</v>
      </c>
    </row>
    <row r="1005" spans="1:7" x14ac:dyDescent="0.25">
      <c r="A1005">
        <v>18083</v>
      </c>
      <c r="B1005" t="s">
        <v>47</v>
      </c>
      <c r="C1005">
        <v>19</v>
      </c>
      <c r="D1005" s="3">
        <f>in_parking_demand_data_ver1!D1005*calibration!$I$31</f>
        <v>4.5899637478663076</v>
      </c>
      <c r="E1005" s="3">
        <f>in_parking_demand_data_ver1!E1005*calibration!$I$31</f>
        <v>4.7711465273873443</v>
      </c>
      <c r="F1005" s="3">
        <f t="shared" si="15"/>
        <v>9.361110275253651</v>
      </c>
      <c r="G1005">
        <v>35</v>
      </c>
    </row>
    <row r="1006" spans="1:7" x14ac:dyDescent="0.25">
      <c r="A1006">
        <v>18083</v>
      </c>
      <c r="B1006" t="s">
        <v>47</v>
      </c>
      <c r="C1006">
        <v>20</v>
      </c>
      <c r="D1006" s="3">
        <f>in_parking_demand_data_ver1!D1006*calibration!$I$31</f>
        <v>5.01272356674873</v>
      </c>
      <c r="E1006" s="3">
        <f>in_parking_demand_data_ver1!E1006*calibration!$I$31</f>
        <v>4.7711465273873443</v>
      </c>
      <c r="F1006" s="3">
        <f t="shared" si="15"/>
        <v>9.7838700941360734</v>
      </c>
      <c r="G1006">
        <v>35</v>
      </c>
    </row>
    <row r="1007" spans="1:7" x14ac:dyDescent="0.25">
      <c r="A1007">
        <v>18083</v>
      </c>
      <c r="B1007" t="s">
        <v>47</v>
      </c>
      <c r="C1007">
        <v>21</v>
      </c>
      <c r="D1007" s="3">
        <f>in_parking_demand_data_ver1!D1007*calibration!$I$31</f>
        <v>5.4354833856311524</v>
      </c>
      <c r="E1007" s="3">
        <f>in_parking_demand_data_ver1!E1007*calibration!$I$31</f>
        <v>1.6910392755296899</v>
      </c>
      <c r="F1007" s="3">
        <f t="shared" si="15"/>
        <v>7.1265226611608421</v>
      </c>
      <c r="G1007">
        <v>35</v>
      </c>
    </row>
    <row r="1008" spans="1:7" x14ac:dyDescent="0.25">
      <c r="A1008">
        <v>18083</v>
      </c>
      <c r="B1008" t="s">
        <v>47</v>
      </c>
      <c r="C1008">
        <v>22</v>
      </c>
      <c r="D1008" s="3">
        <f>in_parking_demand_data_ver1!D1008*calibration!$I$31</f>
        <v>6.6433685824380797</v>
      </c>
      <c r="E1008" s="3">
        <f>in_parking_demand_data_ver1!E1008*calibration!$I$31</f>
        <v>1.7514335353700383</v>
      </c>
      <c r="F1008" s="3">
        <f t="shared" si="15"/>
        <v>8.3948021178081174</v>
      </c>
      <c r="G1008">
        <v>35</v>
      </c>
    </row>
    <row r="1009" spans="1:7" x14ac:dyDescent="0.25">
      <c r="A1009">
        <v>18083</v>
      </c>
      <c r="B1009" t="s">
        <v>47</v>
      </c>
      <c r="C1009">
        <v>23</v>
      </c>
      <c r="D1009" s="3">
        <f>in_parking_demand_data_ver1!D1009*calibration!$I$31</f>
        <v>7.6700709997239622</v>
      </c>
      <c r="E1009" s="3">
        <f>in_parking_demand_data_ver1!E1009*calibration!$I$31</f>
        <v>1.6910392755296899</v>
      </c>
      <c r="F1009" s="3">
        <f t="shared" si="15"/>
        <v>9.3611102752536528</v>
      </c>
      <c r="G1009">
        <v>35</v>
      </c>
    </row>
    <row r="1010" spans="1:7" x14ac:dyDescent="0.25">
      <c r="A1010">
        <v>18085</v>
      </c>
      <c r="B1010" t="s">
        <v>48</v>
      </c>
      <c r="C1010">
        <v>0</v>
      </c>
      <c r="D1010" s="3">
        <f>in_parking_demand_data_ver1!D1010*calibration!$I$31</f>
        <v>0</v>
      </c>
      <c r="E1010" s="3">
        <f>in_parking_demand_data_ver1!E1010*calibration!$I$31</f>
        <v>2.9419232539599047</v>
      </c>
      <c r="F1010" s="3">
        <f t="shared" si="15"/>
        <v>2.9419232539599047</v>
      </c>
      <c r="G1010">
        <v>0</v>
      </c>
    </row>
    <row r="1011" spans="1:7" x14ac:dyDescent="0.25">
      <c r="A1011">
        <v>18085</v>
      </c>
      <c r="B1011" t="s">
        <v>48</v>
      </c>
      <c r="C1011">
        <v>1</v>
      </c>
      <c r="D1011" s="3">
        <f>in_parking_demand_data_ver1!D1011*calibration!$I$31</f>
        <v>0</v>
      </c>
      <c r="E1011" s="3">
        <f>in_parking_demand_data_ver1!E1011*calibration!$I$31</f>
        <v>2.9909553081925715</v>
      </c>
      <c r="F1011" s="3">
        <f t="shared" si="15"/>
        <v>2.9909553081925715</v>
      </c>
      <c r="G1011">
        <v>0</v>
      </c>
    </row>
    <row r="1012" spans="1:7" x14ac:dyDescent="0.25">
      <c r="A1012">
        <v>18085</v>
      </c>
      <c r="B1012" t="s">
        <v>48</v>
      </c>
      <c r="C1012">
        <v>2</v>
      </c>
      <c r="D1012" s="3">
        <f>in_parking_demand_data_ver1!D1012*calibration!$I$31</f>
        <v>0</v>
      </c>
      <c r="E1012" s="3">
        <f>in_parking_demand_data_ver1!E1012*calibration!$I$31</f>
        <v>3.0399873624252378</v>
      </c>
      <c r="F1012" s="3">
        <f t="shared" si="15"/>
        <v>3.0399873624252378</v>
      </c>
      <c r="G1012">
        <v>0</v>
      </c>
    </row>
    <row r="1013" spans="1:7" x14ac:dyDescent="0.25">
      <c r="A1013">
        <v>18085</v>
      </c>
      <c r="B1013" t="s">
        <v>48</v>
      </c>
      <c r="C1013">
        <v>3</v>
      </c>
      <c r="D1013" s="3">
        <f>in_parking_demand_data_ver1!D1013*calibration!$I$31</f>
        <v>0</v>
      </c>
      <c r="E1013" s="3">
        <f>in_parking_demand_data_ver1!E1013*calibration!$I$31</f>
        <v>3.1380514708905709</v>
      </c>
      <c r="F1013" s="3">
        <f t="shared" si="15"/>
        <v>3.1380514708905709</v>
      </c>
      <c r="G1013">
        <v>0</v>
      </c>
    </row>
    <row r="1014" spans="1:7" x14ac:dyDescent="0.25">
      <c r="A1014">
        <v>18085</v>
      </c>
      <c r="B1014" t="s">
        <v>48</v>
      </c>
      <c r="C1014">
        <v>4</v>
      </c>
      <c r="D1014" s="3">
        <f>in_parking_demand_data_ver1!D1014*calibration!$I$31</f>
        <v>0</v>
      </c>
      <c r="E1014" s="3">
        <f>in_parking_demand_data_ver1!E1014*calibration!$I$31</f>
        <v>3.0890194166579046</v>
      </c>
      <c r="F1014" s="3">
        <f t="shared" si="15"/>
        <v>3.0890194166579046</v>
      </c>
      <c r="G1014">
        <v>0</v>
      </c>
    </row>
    <row r="1015" spans="1:7" x14ac:dyDescent="0.25">
      <c r="A1015">
        <v>18085</v>
      </c>
      <c r="B1015" t="s">
        <v>48</v>
      </c>
      <c r="C1015">
        <v>5</v>
      </c>
      <c r="D1015" s="3">
        <f>in_parking_demand_data_ver1!D1015*calibration!$I$31</f>
        <v>0</v>
      </c>
      <c r="E1015" s="3">
        <f>in_parking_demand_data_ver1!E1015*calibration!$I$31</f>
        <v>3.3341796878212282</v>
      </c>
      <c r="F1015" s="3">
        <f t="shared" si="15"/>
        <v>3.3341796878212282</v>
      </c>
      <c r="G1015">
        <v>0</v>
      </c>
    </row>
    <row r="1016" spans="1:7" x14ac:dyDescent="0.25">
      <c r="A1016">
        <v>18085</v>
      </c>
      <c r="B1016" t="s">
        <v>48</v>
      </c>
      <c r="C1016">
        <v>6</v>
      </c>
      <c r="D1016" s="3">
        <f>in_parking_demand_data_ver1!D1016*calibration!$I$31</f>
        <v>0</v>
      </c>
      <c r="E1016" s="3">
        <f>in_parking_demand_data_ver1!E1016*calibration!$I$31</f>
        <v>5.5896541825238275</v>
      </c>
      <c r="F1016" s="3">
        <f t="shared" si="15"/>
        <v>5.5896541825238275</v>
      </c>
      <c r="G1016">
        <v>0</v>
      </c>
    </row>
    <row r="1017" spans="1:7" x14ac:dyDescent="0.25">
      <c r="A1017">
        <v>18085</v>
      </c>
      <c r="B1017" t="s">
        <v>48</v>
      </c>
      <c r="C1017">
        <v>7</v>
      </c>
      <c r="D1017" s="3">
        <f>in_parking_demand_data_ver1!D1017*calibration!$I$31</f>
        <v>0</v>
      </c>
      <c r="E1017" s="3">
        <f>in_parking_demand_data_ver1!E1017*calibration!$I$31</f>
        <v>12.11091739546826</v>
      </c>
      <c r="F1017" s="3">
        <f t="shared" si="15"/>
        <v>12.11091739546826</v>
      </c>
      <c r="G1017">
        <v>0</v>
      </c>
    </row>
    <row r="1018" spans="1:7" x14ac:dyDescent="0.25">
      <c r="A1018">
        <v>18085</v>
      </c>
      <c r="B1018" t="s">
        <v>48</v>
      </c>
      <c r="C1018">
        <v>8</v>
      </c>
      <c r="D1018" s="3">
        <f>in_parking_demand_data_ver1!D1018*calibration!$I$31</f>
        <v>0</v>
      </c>
      <c r="E1018" s="3">
        <f>in_parking_demand_data_ver1!E1018*calibration!$I$31</f>
        <v>17.21025103566544</v>
      </c>
      <c r="F1018" s="3">
        <f t="shared" si="15"/>
        <v>17.21025103566544</v>
      </c>
      <c r="G1018">
        <v>0</v>
      </c>
    </row>
    <row r="1019" spans="1:7" x14ac:dyDescent="0.25">
      <c r="A1019">
        <v>18085</v>
      </c>
      <c r="B1019" t="s">
        <v>48</v>
      </c>
      <c r="C1019">
        <v>9</v>
      </c>
      <c r="D1019" s="3">
        <f>in_parking_demand_data_ver1!D1019*calibration!$I$31</f>
        <v>0</v>
      </c>
      <c r="E1019" s="3">
        <f>in_parking_demand_data_ver1!E1019*calibration!$I$31</f>
        <v>20.103142235392671</v>
      </c>
      <c r="F1019" s="3">
        <f t="shared" si="15"/>
        <v>20.103142235392671</v>
      </c>
      <c r="G1019">
        <v>0</v>
      </c>
    </row>
    <row r="1020" spans="1:7" x14ac:dyDescent="0.25">
      <c r="A1020">
        <v>18085</v>
      </c>
      <c r="B1020" t="s">
        <v>48</v>
      </c>
      <c r="C1020">
        <v>10</v>
      </c>
      <c r="D1020" s="3">
        <f>in_parking_demand_data_ver1!D1020*calibration!$I$31</f>
        <v>0</v>
      </c>
      <c r="E1020" s="3">
        <f>in_parking_demand_data_ver1!E1020*calibration!$I$31</f>
        <v>21.328943591209288</v>
      </c>
      <c r="F1020" s="3">
        <f t="shared" si="15"/>
        <v>21.328943591209288</v>
      </c>
      <c r="G1020">
        <v>0</v>
      </c>
    </row>
    <row r="1021" spans="1:7" x14ac:dyDescent="0.25">
      <c r="A1021">
        <v>18085</v>
      </c>
      <c r="B1021" t="s">
        <v>48</v>
      </c>
      <c r="C1021">
        <v>11</v>
      </c>
      <c r="D1021" s="3">
        <f>in_parking_demand_data_ver1!D1021*calibration!$I$31</f>
        <v>0</v>
      </c>
      <c r="E1021" s="3">
        <f>in_parking_demand_data_ver1!E1021*calibration!$I$31</f>
        <v>20.936687157347976</v>
      </c>
      <c r="F1021" s="3">
        <f t="shared" si="15"/>
        <v>20.936687157347976</v>
      </c>
      <c r="G1021">
        <v>0</v>
      </c>
    </row>
    <row r="1022" spans="1:7" x14ac:dyDescent="0.25">
      <c r="A1022">
        <v>18085</v>
      </c>
      <c r="B1022" t="s">
        <v>48</v>
      </c>
      <c r="C1022">
        <v>12</v>
      </c>
      <c r="D1022" s="3">
        <f>in_parking_demand_data_ver1!D1022*calibration!$I$31</f>
        <v>0</v>
      </c>
      <c r="E1022" s="3">
        <f>in_parking_demand_data_ver1!E1022*calibration!$I$31</f>
        <v>14.807680378264873</v>
      </c>
      <c r="F1022" s="3">
        <f t="shared" si="15"/>
        <v>14.807680378264873</v>
      </c>
      <c r="G1022">
        <v>0</v>
      </c>
    </row>
    <row r="1023" spans="1:7" x14ac:dyDescent="0.25">
      <c r="A1023">
        <v>18085</v>
      </c>
      <c r="B1023" t="s">
        <v>48</v>
      </c>
      <c r="C1023">
        <v>13</v>
      </c>
      <c r="D1023" s="3">
        <f>in_parking_demand_data_ver1!D1023*calibration!$I$31</f>
        <v>0</v>
      </c>
      <c r="E1023" s="3">
        <f>in_parking_demand_data_ver1!E1023*calibration!$I$31</f>
        <v>14.268327781705533</v>
      </c>
      <c r="F1023" s="3">
        <f t="shared" si="15"/>
        <v>14.268327781705533</v>
      </c>
      <c r="G1023">
        <v>0</v>
      </c>
    </row>
    <row r="1024" spans="1:7" x14ac:dyDescent="0.25">
      <c r="A1024">
        <v>18085</v>
      </c>
      <c r="B1024" t="s">
        <v>48</v>
      </c>
      <c r="C1024">
        <v>14</v>
      </c>
      <c r="D1024" s="3">
        <f>in_parking_demand_data_ver1!D1024*calibration!$I$31</f>
        <v>0</v>
      </c>
      <c r="E1024" s="3">
        <f>in_parking_demand_data_ver1!E1024*calibration!$I$31</f>
        <v>12.159949449700935</v>
      </c>
      <c r="F1024" s="3">
        <f t="shared" si="15"/>
        <v>12.159949449700935</v>
      </c>
      <c r="G1024">
        <v>0</v>
      </c>
    </row>
    <row r="1025" spans="1:7" x14ac:dyDescent="0.25">
      <c r="A1025">
        <v>18085</v>
      </c>
      <c r="B1025" t="s">
        <v>48</v>
      </c>
      <c r="C1025">
        <v>15</v>
      </c>
      <c r="D1025" s="3">
        <f>in_parking_demand_data_ver1!D1025*calibration!$I$31</f>
        <v>0</v>
      </c>
      <c r="E1025" s="3">
        <f>in_parking_demand_data_ver1!E1025*calibration!$I$31</f>
        <v>8.9728659245776541</v>
      </c>
      <c r="F1025" s="3">
        <f t="shared" si="15"/>
        <v>8.9728659245776541</v>
      </c>
      <c r="G1025">
        <v>0</v>
      </c>
    </row>
    <row r="1026" spans="1:7" x14ac:dyDescent="0.25">
      <c r="A1026">
        <v>18085</v>
      </c>
      <c r="B1026" t="s">
        <v>48</v>
      </c>
      <c r="C1026">
        <v>16</v>
      </c>
      <c r="D1026" s="3">
        <f>in_parking_demand_data_ver1!D1026*calibration!$I$31</f>
        <v>0</v>
      </c>
      <c r="E1026" s="3">
        <f>in_parking_demand_data_ver1!E1026*calibration!$I$31</f>
        <v>4.4619169351725327</v>
      </c>
      <c r="F1026" s="3">
        <f t="shared" si="15"/>
        <v>4.4619169351725327</v>
      </c>
      <c r="G1026">
        <v>0</v>
      </c>
    </row>
    <row r="1027" spans="1:7" x14ac:dyDescent="0.25">
      <c r="A1027">
        <v>18085</v>
      </c>
      <c r="B1027" t="s">
        <v>48</v>
      </c>
      <c r="C1027">
        <v>17</v>
      </c>
      <c r="D1027" s="3">
        <f>in_parking_demand_data_ver1!D1027*calibration!$I$31</f>
        <v>0</v>
      </c>
      <c r="E1027" s="3">
        <f>in_parking_demand_data_ver1!E1027*calibration!$I$31</f>
        <v>2.0593462777719336</v>
      </c>
      <c r="F1027" s="3">
        <f t="shared" ref="F1027:F1090" si="16">SUM(D1027:E1027)</f>
        <v>2.0593462777719336</v>
      </c>
      <c r="G1027">
        <v>0</v>
      </c>
    </row>
    <row r="1028" spans="1:7" x14ac:dyDescent="0.25">
      <c r="A1028">
        <v>18085</v>
      </c>
      <c r="B1028" t="s">
        <v>48</v>
      </c>
      <c r="C1028">
        <v>18</v>
      </c>
      <c r="D1028" s="3">
        <f>in_parking_demand_data_ver1!D1028*calibration!$I$31</f>
        <v>0</v>
      </c>
      <c r="E1028" s="3">
        <f>in_parking_demand_data_ver1!E1028*calibration!$I$31</f>
        <v>1.6670898439106101</v>
      </c>
      <c r="F1028" s="3">
        <f t="shared" si="16"/>
        <v>1.6670898439106101</v>
      </c>
      <c r="G1028">
        <v>0</v>
      </c>
    </row>
    <row r="1029" spans="1:7" x14ac:dyDescent="0.25">
      <c r="A1029">
        <v>18085</v>
      </c>
      <c r="B1029" t="s">
        <v>48</v>
      </c>
      <c r="C1029">
        <v>19</v>
      </c>
      <c r="D1029" s="3">
        <f>in_parking_demand_data_ver1!D1029*calibration!$I$31</f>
        <v>0</v>
      </c>
      <c r="E1029" s="3">
        <f>in_parking_demand_data_ver1!E1029*calibration!$I$31</f>
        <v>1.7651539523759432</v>
      </c>
      <c r="F1029" s="3">
        <f t="shared" si="16"/>
        <v>1.7651539523759432</v>
      </c>
      <c r="G1029">
        <v>0</v>
      </c>
    </row>
    <row r="1030" spans="1:7" x14ac:dyDescent="0.25">
      <c r="A1030">
        <v>18085</v>
      </c>
      <c r="B1030" t="s">
        <v>48</v>
      </c>
      <c r="C1030">
        <v>20</v>
      </c>
      <c r="D1030" s="3">
        <f>in_parking_demand_data_ver1!D1030*calibration!$I$31</f>
        <v>0</v>
      </c>
      <c r="E1030" s="3">
        <f>in_parking_demand_data_ver1!E1030*calibration!$I$31</f>
        <v>2.2554744947025993</v>
      </c>
      <c r="F1030" s="3">
        <f t="shared" si="16"/>
        <v>2.2554744947025993</v>
      </c>
      <c r="G1030">
        <v>0</v>
      </c>
    </row>
    <row r="1031" spans="1:7" x14ac:dyDescent="0.25">
      <c r="A1031">
        <v>18085</v>
      </c>
      <c r="B1031" t="s">
        <v>48</v>
      </c>
      <c r="C1031">
        <v>21</v>
      </c>
      <c r="D1031" s="3">
        <f>in_parking_demand_data_ver1!D1031*calibration!$I$31</f>
        <v>0</v>
      </c>
      <c r="E1031" s="3">
        <f>in_parking_demand_data_ver1!E1031*calibration!$I$31</f>
        <v>2.451602711633257</v>
      </c>
      <c r="F1031" s="3">
        <f t="shared" si="16"/>
        <v>2.451602711633257</v>
      </c>
      <c r="G1031">
        <v>0</v>
      </c>
    </row>
    <row r="1032" spans="1:7" x14ac:dyDescent="0.25">
      <c r="A1032">
        <v>18085</v>
      </c>
      <c r="B1032" t="s">
        <v>48</v>
      </c>
      <c r="C1032">
        <v>22</v>
      </c>
      <c r="D1032" s="3">
        <f>in_parking_demand_data_ver1!D1032*calibration!$I$31</f>
        <v>0</v>
      </c>
      <c r="E1032" s="3">
        <f>in_parking_demand_data_ver1!E1032*calibration!$I$31</f>
        <v>2.6967629827965811</v>
      </c>
      <c r="F1032" s="3">
        <f t="shared" si="16"/>
        <v>2.6967629827965811</v>
      </c>
      <c r="G1032">
        <v>0</v>
      </c>
    </row>
    <row r="1033" spans="1:7" x14ac:dyDescent="0.25">
      <c r="A1033">
        <v>18085</v>
      </c>
      <c r="B1033" t="s">
        <v>48</v>
      </c>
      <c r="C1033">
        <v>23</v>
      </c>
      <c r="D1033" s="3">
        <f>in_parking_demand_data_ver1!D1033*calibration!$I$31</f>
        <v>0</v>
      </c>
      <c r="E1033" s="3">
        <f>in_parking_demand_data_ver1!E1033*calibration!$I$31</f>
        <v>2.6967629827965811</v>
      </c>
      <c r="F1033" s="3">
        <f t="shared" si="16"/>
        <v>2.6967629827965811</v>
      </c>
      <c r="G1033">
        <v>0</v>
      </c>
    </row>
    <row r="1034" spans="1:7" x14ac:dyDescent="0.25">
      <c r="A1034">
        <v>18087</v>
      </c>
      <c r="B1034" t="s">
        <v>49</v>
      </c>
      <c r="C1034">
        <v>0</v>
      </c>
      <c r="D1034" s="3">
        <f>in_parking_demand_data_ver1!D1034*calibration!$I$31</f>
        <v>79.483707115869223</v>
      </c>
      <c r="E1034" s="3">
        <f>in_parking_demand_data_ver1!E1034*calibration!$I$31</f>
        <v>3.4463297816430654</v>
      </c>
      <c r="F1034" s="3">
        <f t="shared" si="16"/>
        <v>82.930036897512281</v>
      </c>
      <c r="G1034">
        <v>110</v>
      </c>
    </row>
    <row r="1035" spans="1:7" x14ac:dyDescent="0.25">
      <c r="A1035">
        <v>18087</v>
      </c>
      <c r="B1035" t="s">
        <v>49</v>
      </c>
      <c r="C1035">
        <v>1</v>
      </c>
      <c r="D1035" s="3">
        <f>in_parking_demand_data_ver1!D1035*calibration!$I$31</f>
        <v>79.091087267327609</v>
      </c>
      <c r="E1035" s="3">
        <f>in_parking_demand_data_ver1!E1035*calibration!$I$31</f>
        <v>4.4496916168049703</v>
      </c>
      <c r="F1035" s="3">
        <f t="shared" si="16"/>
        <v>83.540778884132578</v>
      </c>
      <c r="G1035">
        <v>110</v>
      </c>
    </row>
    <row r="1036" spans="1:7" x14ac:dyDescent="0.25">
      <c r="A1036">
        <v>18087</v>
      </c>
      <c r="B1036" t="s">
        <v>49</v>
      </c>
      <c r="C1036">
        <v>2</v>
      </c>
      <c r="D1036" s="3">
        <f>in_parking_demand_data_ver1!D1036*calibration!$I$31</f>
        <v>78.087725432165684</v>
      </c>
      <c r="E1036" s="3">
        <f>in_parking_demand_data_ver1!E1036*calibration!$I$31</f>
        <v>5.2785557415039399</v>
      </c>
      <c r="F1036" s="3">
        <f t="shared" si="16"/>
        <v>83.36628117366962</v>
      </c>
      <c r="G1036">
        <v>110</v>
      </c>
    </row>
    <row r="1037" spans="1:7" x14ac:dyDescent="0.25">
      <c r="A1037">
        <v>18087</v>
      </c>
      <c r="B1037" t="s">
        <v>49</v>
      </c>
      <c r="C1037">
        <v>3</v>
      </c>
      <c r="D1037" s="3">
        <f>in_parking_demand_data_ver1!D1037*calibration!$I$31</f>
        <v>77.825978866471331</v>
      </c>
      <c r="E1037" s="3">
        <f>in_parking_demand_data_ver1!E1037*calibration!$I$31</f>
        <v>5.8456733005084924</v>
      </c>
      <c r="F1037" s="3">
        <f t="shared" si="16"/>
        <v>83.671652166979825</v>
      </c>
      <c r="G1037">
        <v>110</v>
      </c>
    </row>
    <row r="1038" spans="1:7" x14ac:dyDescent="0.25">
      <c r="A1038">
        <v>18087</v>
      </c>
      <c r="B1038" t="s">
        <v>49</v>
      </c>
      <c r="C1038">
        <v>4</v>
      </c>
      <c r="D1038" s="3">
        <f>in_parking_demand_data_ver1!D1038*calibration!$I$31</f>
        <v>77.346110162698196</v>
      </c>
      <c r="E1038" s="3">
        <f>in_parking_demand_data_ver1!E1038*calibration!$I$31</f>
        <v>7.3725282670592165</v>
      </c>
      <c r="F1038" s="3">
        <f t="shared" si="16"/>
        <v>84.718638429757419</v>
      </c>
      <c r="G1038">
        <v>110</v>
      </c>
    </row>
    <row r="1039" spans="1:7" x14ac:dyDescent="0.25">
      <c r="A1039">
        <v>18087</v>
      </c>
      <c r="B1039" t="s">
        <v>49</v>
      </c>
      <c r="C1039">
        <v>5</v>
      </c>
      <c r="D1039" s="3">
        <f>in_parking_demand_data_ver1!D1039*calibration!$I$31</f>
        <v>72.416549842120162</v>
      </c>
      <c r="E1039" s="3">
        <f>in_parking_demand_data_ver1!E1039*calibration!$I$31</f>
        <v>6.9362839909018721</v>
      </c>
      <c r="F1039" s="3">
        <f t="shared" si="16"/>
        <v>79.352833833022032</v>
      </c>
      <c r="G1039">
        <v>110</v>
      </c>
    </row>
    <row r="1040" spans="1:7" x14ac:dyDescent="0.25">
      <c r="A1040">
        <v>18087</v>
      </c>
      <c r="B1040" t="s">
        <v>49</v>
      </c>
      <c r="C1040">
        <v>6</v>
      </c>
      <c r="D1040" s="3">
        <f>in_parking_demand_data_ver1!D1040*calibration!$I$31</f>
        <v>66.614500969227379</v>
      </c>
      <c r="E1040" s="3">
        <f>in_parking_demand_data_ver1!E1040*calibration!$I$31</f>
        <v>6.4127908595130449</v>
      </c>
      <c r="F1040" s="3">
        <f t="shared" si="16"/>
        <v>73.027291828740431</v>
      </c>
      <c r="G1040">
        <v>110</v>
      </c>
    </row>
    <row r="1041" spans="1:7" x14ac:dyDescent="0.25">
      <c r="A1041">
        <v>18087</v>
      </c>
      <c r="B1041" t="s">
        <v>49</v>
      </c>
      <c r="C1041">
        <v>7</v>
      </c>
      <c r="D1041" s="3">
        <f>in_parking_demand_data_ver1!D1041*calibration!$I$31</f>
        <v>58.456733005084928</v>
      </c>
      <c r="E1041" s="3">
        <f>in_parking_demand_data_ver1!E1041*calibration!$I$31</f>
        <v>5.2785557415039399</v>
      </c>
      <c r="F1041" s="3">
        <f t="shared" si="16"/>
        <v>63.735288746588864</v>
      </c>
      <c r="G1041">
        <v>110</v>
      </c>
    </row>
    <row r="1042" spans="1:7" x14ac:dyDescent="0.25">
      <c r="A1042">
        <v>18087</v>
      </c>
      <c r="B1042" t="s">
        <v>49</v>
      </c>
      <c r="C1042">
        <v>8</v>
      </c>
      <c r="D1042" s="3">
        <f>in_parking_demand_data_ver1!D1042*calibration!$I$31</f>
        <v>44.889536016591308</v>
      </c>
      <c r="E1042" s="3">
        <f>in_parking_demand_data_ver1!E1042*calibration!$I$31</f>
        <v>4.798687037730855</v>
      </c>
      <c r="F1042" s="3">
        <f t="shared" si="16"/>
        <v>49.688223054322165</v>
      </c>
      <c r="G1042">
        <v>110</v>
      </c>
    </row>
    <row r="1043" spans="1:7" x14ac:dyDescent="0.25">
      <c r="A1043">
        <v>18087</v>
      </c>
      <c r="B1043" t="s">
        <v>49</v>
      </c>
      <c r="C1043">
        <v>9</v>
      </c>
      <c r="D1043" s="3">
        <f>in_parking_demand_data_ver1!D1043*calibration!$I$31</f>
        <v>36.775392480064589</v>
      </c>
      <c r="E1043" s="3">
        <f>in_parking_demand_data_ver1!E1043*calibration!$I$31</f>
        <v>3.3590809264115986</v>
      </c>
      <c r="F1043" s="3">
        <f t="shared" si="16"/>
        <v>40.134473406476189</v>
      </c>
      <c r="G1043">
        <v>110</v>
      </c>
    </row>
    <row r="1044" spans="1:7" x14ac:dyDescent="0.25">
      <c r="A1044">
        <v>18087</v>
      </c>
      <c r="B1044" t="s">
        <v>49</v>
      </c>
      <c r="C1044">
        <v>10</v>
      </c>
      <c r="D1044" s="3">
        <f>in_parking_demand_data_ver1!D1044*calibration!$I$31</f>
        <v>32.238452008028169</v>
      </c>
      <c r="E1044" s="3">
        <f>in_parking_demand_data_ver1!E1044*calibration!$I$31</f>
        <v>2.96646107786998</v>
      </c>
      <c r="F1044" s="3">
        <f t="shared" si="16"/>
        <v>35.204913085898148</v>
      </c>
      <c r="G1044">
        <v>110</v>
      </c>
    </row>
    <row r="1045" spans="1:7" x14ac:dyDescent="0.25">
      <c r="A1045">
        <v>18087</v>
      </c>
      <c r="B1045" t="s">
        <v>49</v>
      </c>
      <c r="C1045">
        <v>11</v>
      </c>
      <c r="D1045" s="3">
        <f>in_parking_demand_data_ver1!D1045*calibration!$I$31</f>
        <v>36.208274921060081</v>
      </c>
      <c r="E1045" s="3">
        <f>in_parking_demand_data_ver1!E1045*calibration!$I$31</f>
        <v>2.2684702360182185</v>
      </c>
      <c r="F1045" s="3">
        <f t="shared" si="16"/>
        <v>38.476745157078298</v>
      </c>
      <c r="G1045">
        <v>110</v>
      </c>
    </row>
    <row r="1046" spans="1:7" x14ac:dyDescent="0.25">
      <c r="A1046">
        <v>18087</v>
      </c>
      <c r="B1046" t="s">
        <v>49</v>
      </c>
      <c r="C1046">
        <v>12</v>
      </c>
      <c r="D1046" s="3">
        <f>in_parking_demand_data_ver1!D1046*calibration!$I$31</f>
        <v>42.577441352957372</v>
      </c>
      <c r="E1046" s="3">
        <f>in_parking_demand_data_ver1!E1046*calibration!$I$31</f>
        <v>1.570479394166457</v>
      </c>
      <c r="F1046" s="3">
        <f t="shared" si="16"/>
        <v>44.147920747123827</v>
      </c>
      <c r="G1046">
        <v>110</v>
      </c>
    </row>
    <row r="1047" spans="1:7" x14ac:dyDescent="0.25">
      <c r="A1047">
        <v>18087</v>
      </c>
      <c r="B1047" t="s">
        <v>49</v>
      </c>
      <c r="C1047">
        <v>13</v>
      </c>
      <c r="D1047" s="3">
        <f>in_parking_demand_data_ver1!D1047*calibration!$I$31</f>
        <v>44.235169602355263</v>
      </c>
      <c r="E1047" s="3">
        <f>in_parking_demand_data_ver1!E1047*calibration!$I$31</f>
        <v>2.6610900845598371</v>
      </c>
      <c r="F1047" s="3">
        <f t="shared" si="16"/>
        <v>46.896259686915101</v>
      </c>
      <c r="G1047">
        <v>110</v>
      </c>
    </row>
    <row r="1048" spans="1:7" x14ac:dyDescent="0.25">
      <c r="A1048">
        <v>18087</v>
      </c>
      <c r="B1048" t="s">
        <v>49</v>
      </c>
      <c r="C1048">
        <v>14</v>
      </c>
      <c r="D1048" s="3">
        <f>in_parking_demand_data_ver1!D1048*calibration!$I$31</f>
        <v>42.359319214878667</v>
      </c>
      <c r="E1048" s="3">
        <f>in_parking_demand_data_ver1!E1048*calibration!$I$31</f>
        <v>2.4429679464811609</v>
      </c>
      <c r="F1048" s="3">
        <f t="shared" si="16"/>
        <v>44.802287161359828</v>
      </c>
      <c r="G1048">
        <v>110</v>
      </c>
    </row>
    <row r="1049" spans="1:7" x14ac:dyDescent="0.25">
      <c r="A1049">
        <v>18087</v>
      </c>
      <c r="B1049" t="s">
        <v>49</v>
      </c>
      <c r="C1049">
        <v>15</v>
      </c>
      <c r="D1049" s="3">
        <f>in_parking_demand_data_ver1!D1049*calibration!$I$31</f>
        <v>43.84254975381365</v>
      </c>
      <c r="E1049" s="3">
        <f>in_parking_demand_data_ver1!E1049*calibration!$I$31</f>
        <v>1.919474815092342</v>
      </c>
      <c r="F1049" s="3">
        <f t="shared" si="16"/>
        <v>45.762024568905993</v>
      </c>
      <c r="G1049">
        <v>110</v>
      </c>
    </row>
    <row r="1050" spans="1:7" x14ac:dyDescent="0.25">
      <c r="A1050">
        <v>18087</v>
      </c>
      <c r="B1050" t="s">
        <v>49</v>
      </c>
      <c r="C1050">
        <v>16</v>
      </c>
      <c r="D1050" s="3">
        <f>in_parking_demand_data_ver1!D1050*calibration!$I$31</f>
        <v>47.245255107841054</v>
      </c>
      <c r="E1050" s="3">
        <f>in_parking_demand_data_ver1!E1050*calibration!$I$31</f>
        <v>0.39261984854161508</v>
      </c>
      <c r="F1050" s="3">
        <f t="shared" si="16"/>
        <v>47.637874956382667</v>
      </c>
      <c r="G1050">
        <v>110</v>
      </c>
    </row>
    <row r="1051" spans="1:7" x14ac:dyDescent="0.25">
      <c r="A1051">
        <v>18087</v>
      </c>
      <c r="B1051" t="s">
        <v>49</v>
      </c>
      <c r="C1051">
        <v>17</v>
      </c>
      <c r="D1051" s="3">
        <f>in_parking_demand_data_ver1!D1051*calibration!$I$31</f>
        <v>51.564073441798769</v>
      </c>
      <c r="E1051" s="3">
        <f>in_parking_demand_data_ver1!E1051*calibration!$I$31</f>
        <v>0.65436641423602548</v>
      </c>
      <c r="F1051" s="3">
        <f t="shared" si="16"/>
        <v>52.218439856034792</v>
      </c>
      <c r="G1051">
        <v>110</v>
      </c>
    </row>
    <row r="1052" spans="1:7" x14ac:dyDescent="0.25">
      <c r="A1052">
        <v>18087</v>
      </c>
      <c r="B1052" t="s">
        <v>49</v>
      </c>
      <c r="C1052">
        <v>18</v>
      </c>
      <c r="D1052" s="3">
        <f>in_parking_demand_data_ver1!D1052*calibration!$I$31</f>
        <v>57.148000176612918</v>
      </c>
      <c r="E1052" s="3">
        <f>in_parking_demand_data_ver1!E1052*calibration!$I$31</f>
        <v>0.47986870377308549</v>
      </c>
      <c r="F1052" s="3">
        <f t="shared" si="16"/>
        <v>57.627868880386004</v>
      </c>
      <c r="G1052">
        <v>110</v>
      </c>
    </row>
    <row r="1053" spans="1:7" x14ac:dyDescent="0.25">
      <c r="A1053">
        <v>18087</v>
      </c>
      <c r="B1053" t="s">
        <v>49</v>
      </c>
      <c r="C1053">
        <v>19</v>
      </c>
      <c r="D1053" s="3">
        <f>in_parking_demand_data_ver1!D1053*calibration!$I$31</f>
        <v>62.906424621889897</v>
      </c>
      <c r="E1053" s="3">
        <f>in_parking_demand_data_ver1!E1053*calibration!$I$31</f>
        <v>0.21812213807867514</v>
      </c>
      <c r="F1053" s="3">
        <f t="shared" si="16"/>
        <v>63.124546759968574</v>
      </c>
      <c r="G1053">
        <v>110</v>
      </c>
    </row>
    <row r="1054" spans="1:7" x14ac:dyDescent="0.25">
      <c r="A1054">
        <v>18087</v>
      </c>
      <c r="B1054" t="s">
        <v>49</v>
      </c>
      <c r="C1054">
        <v>20</v>
      </c>
      <c r="D1054" s="3">
        <f>in_parking_demand_data_ver1!D1054*calibration!$I$31</f>
        <v>69.144717770940019</v>
      </c>
      <c r="E1054" s="3">
        <f>in_parking_demand_data_ver1!E1054*calibration!$I$31</f>
        <v>0.39261984854161508</v>
      </c>
      <c r="F1054" s="3">
        <f t="shared" si="16"/>
        <v>69.537337619481633</v>
      </c>
      <c r="G1054">
        <v>110</v>
      </c>
    </row>
    <row r="1055" spans="1:7" x14ac:dyDescent="0.25">
      <c r="A1055">
        <v>18087</v>
      </c>
      <c r="B1055" t="s">
        <v>49</v>
      </c>
      <c r="C1055">
        <v>21</v>
      </c>
      <c r="D1055" s="3">
        <f>in_parking_demand_data_ver1!D1055*calibration!$I$31</f>
        <v>73.245413966819115</v>
      </c>
      <c r="E1055" s="3">
        <f>in_parking_demand_data_ver1!E1055*calibration!$I$31</f>
        <v>1.3087328284720474</v>
      </c>
      <c r="F1055" s="3">
        <f t="shared" si="16"/>
        <v>74.55414679529116</v>
      </c>
      <c r="G1055">
        <v>110</v>
      </c>
    </row>
    <row r="1056" spans="1:7" x14ac:dyDescent="0.25">
      <c r="A1056">
        <v>18087</v>
      </c>
      <c r="B1056" t="s">
        <v>49</v>
      </c>
      <c r="C1056">
        <v>22</v>
      </c>
      <c r="D1056" s="3">
        <f>in_parking_demand_data_ver1!D1056*calibration!$I$31</f>
        <v>76.386372755152067</v>
      </c>
      <c r="E1056" s="3">
        <f>in_parking_demand_data_ver1!E1056*calibration!$I$31</f>
        <v>2.0503480979395428</v>
      </c>
      <c r="F1056" s="3">
        <f t="shared" si="16"/>
        <v>78.436720853091614</v>
      </c>
      <c r="G1056">
        <v>110</v>
      </c>
    </row>
    <row r="1057" spans="1:7" x14ac:dyDescent="0.25">
      <c r="A1057">
        <v>18087</v>
      </c>
      <c r="B1057" t="s">
        <v>49</v>
      </c>
      <c r="C1057">
        <v>23</v>
      </c>
      <c r="D1057" s="3">
        <f>in_parking_demand_data_ver1!D1057*calibration!$I$31</f>
        <v>78.480345280707283</v>
      </c>
      <c r="E1057" s="3">
        <f>in_parking_demand_data_ver1!E1057*calibration!$I$31</f>
        <v>2.9228366502542462</v>
      </c>
      <c r="F1057" s="3">
        <f t="shared" si="16"/>
        <v>81.403181930961523</v>
      </c>
      <c r="G1057">
        <v>110</v>
      </c>
    </row>
    <row r="1058" spans="1:7" x14ac:dyDescent="0.25">
      <c r="A1058">
        <v>18089</v>
      </c>
      <c r="B1058" t="s">
        <v>50</v>
      </c>
      <c r="C1058">
        <v>0</v>
      </c>
      <c r="D1058" s="3">
        <f>in_parking_demand_data_ver1!D1058*calibration!$I$31</f>
        <v>1259.1345352852229</v>
      </c>
      <c r="E1058" s="3">
        <f>in_parking_demand_data_ver1!E1058*calibration!$I$31</f>
        <v>30.252928311293374</v>
      </c>
      <c r="F1058" s="3">
        <f t="shared" si="16"/>
        <v>1289.3874635965162</v>
      </c>
      <c r="G1058">
        <v>1826</v>
      </c>
    </row>
    <row r="1059" spans="1:7" x14ac:dyDescent="0.25">
      <c r="A1059">
        <v>18089</v>
      </c>
      <c r="B1059" t="s">
        <v>50</v>
      </c>
      <c r="C1059">
        <v>1</v>
      </c>
      <c r="D1059" s="3">
        <f>in_parking_demand_data_ver1!D1059*calibration!$I$31</f>
        <v>1248.114129613452</v>
      </c>
      <c r="E1059" s="3">
        <f>in_parking_demand_data_ver1!E1059*calibration!$I$31</f>
        <v>30.338027968990364</v>
      </c>
      <c r="F1059" s="3">
        <f t="shared" si="16"/>
        <v>1278.4521575824424</v>
      </c>
      <c r="G1059">
        <v>1826</v>
      </c>
    </row>
    <row r="1060" spans="1:7" x14ac:dyDescent="0.25">
      <c r="A1060">
        <v>18089</v>
      </c>
      <c r="B1060" t="s">
        <v>50</v>
      </c>
      <c r="C1060">
        <v>2</v>
      </c>
      <c r="D1060" s="3">
        <f>in_parking_demand_data_ver1!D1060*calibration!$I$31</f>
        <v>1228.5412083431374</v>
      </c>
      <c r="E1060" s="3">
        <f>in_parking_demand_data_ver1!E1060*calibration!$I$31</f>
        <v>31.784722149839872</v>
      </c>
      <c r="F1060" s="3">
        <f t="shared" si="16"/>
        <v>1260.3259304929772</v>
      </c>
      <c r="G1060">
        <v>1826</v>
      </c>
    </row>
    <row r="1061" spans="1:7" x14ac:dyDescent="0.25">
      <c r="A1061">
        <v>18089</v>
      </c>
      <c r="B1061" t="s">
        <v>50</v>
      </c>
      <c r="C1061">
        <v>3</v>
      </c>
      <c r="D1061" s="3">
        <f>in_parking_demand_data_ver1!D1061*calibration!$I$31</f>
        <v>1195.8203899586315</v>
      </c>
      <c r="E1061" s="3">
        <f>in_parking_demand_data_ver1!E1061*calibration!$I$31</f>
        <v>33.571814961477429</v>
      </c>
      <c r="F1061" s="3">
        <f t="shared" si="16"/>
        <v>1229.392204920109</v>
      </c>
      <c r="G1061">
        <v>1826</v>
      </c>
    </row>
    <row r="1062" spans="1:7" x14ac:dyDescent="0.25">
      <c r="A1062">
        <v>18089</v>
      </c>
      <c r="B1062" t="s">
        <v>50</v>
      </c>
      <c r="C1062">
        <v>4</v>
      </c>
      <c r="D1062" s="3">
        <f>in_parking_demand_data_ver1!D1062*calibration!$I$31</f>
        <v>1138.2504715265914</v>
      </c>
      <c r="E1062" s="3">
        <f>in_parking_demand_data_ver1!E1062*calibration!$I$31</f>
        <v>46.889911391062313</v>
      </c>
      <c r="F1062" s="3">
        <f t="shared" si="16"/>
        <v>1185.1403829176536</v>
      </c>
      <c r="G1062">
        <v>1826</v>
      </c>
    </row>
    <row r="1063" spans="1:7" x14ac:dyDescent="0.25">
      <c r="A1063">
        <v>18089</v>
      </c>
      <c r="B1063" t="s">
        <v>50</v>
      </c>
      <c r="C1063">
        <v>5</v>
      </c>
      <c r="D1063" s="3">
        <f>in_parking_demand_data_ver1!D1063*calibration!$I$31</f>
        <v>1042.258057644347</v>
      </c>
      <c r="E1063" s="3">
        <f>in_parking_demand_data_ver1!E1063*calibration!$I$31</f>
        <v>60.25055764949569</v>
      </c>
      <c r="F1063" s="3">
        <f t="shared" si="16"/>
        <v>1102.5086152938427</v>
      </c>
      <c r="G1063">
        <v>1826</v>
      </c>
    </row>
    <row r="1064" spans="1:7" x14ac:dyDescent="0.25">
      <c r="A1064">
        <v>18089</v>
      </c>
      <c r="B1064" t="s">
        <v>50</v>
      </c>
      <c r="C1064">
        <v>6</v>
      </c>
      <c r="D1064" s="3">
        <f>in_parking_demand_data_ver1!D1064*calibration!$I$31</f>
        <v>892.95070821491197</v>
      </c>
      <c r="E1064" s="3">
        <f>in_parking_demand_data_ver1!E1064*calibration!$I$31</f>
        <v>68.249925473016333</v>
      </c>
      <c r="F1064" s="3">
        <f t="shared" si="16"/>
        <v>961.2006336879283</v>
      </c>
      <c r="G1064">
        <v>1826</v>
      </c>
    </row>
    <row r="1065" spans="1:7" x14ac:dyDescent="0.25">
      <c r="A1065">
        <v>18089</v>
      </c>
      <c r="B1065" t="s">
        <v>50</v>
      </c>
      <c r="C1065">
        <v>7</v>
      </c>
      <c r="D1065" s="3">
        <f>in_parking_demand_data_ver1!D1065*calibration!$I$31</f>
        <v>711.34803868945505</v>
      </c>
      <c r="E1065" s="3">
        <f>in_parking_demand_data_ver1!E1065*calibration!$I$31</f>
        <v>83.014716083450637</v>
      </c>
      <c r="F1065" s="3">
        <f t="shared" si="16"/>
        <v>794.36275477290565</v>
      </c>
      <c r="G1065">
        <v>1826</v>
      </c>
    </row>
    <row r="1066" spans="1:7" x14ac:dyDescent="0.25">
      <c r="A1066">
        <v>18089</v>
      </c>
      <c r="B1066" t="s">
        <v>50</v>
      </c>
      <c r="C1066">
        <v>8</v>
      </c>
      <c r="D1066" s="3">
        <f>in_parking_demand_data_ver1!D1066*calibration!$I$31</f>
        <v>573.31639390487589</v>
      </c>
      <c r="E1066" s="3">
        <f>in_parking_demand_data_ver1!E1066*calibration!$I$31</f>
        <v>96.290262684186601</v>
      </c>
      <c r="F1066" s="3">
        <f t="shared" si="16"/>
        <v>669.60665658906248</v>
      </c>
      <c r="G1066">
        <v>1826</v>
      </c>
    </row>
    <row r="1067" spans="1:7" x14ac:dyDescent="0.25">
      <c r="A1067">
        <v>18089</v>
      </c>
      <c r="B1067" t="s">
        <v>50</v>
      </c>
      <c r="C1067">
        <v>9</v>
      </c>
      <c r="D1067" s="3">
        <f>in_parking_demand_data_ver1!D1067*calibration!$I$31</f>
        <v>488.25928603669729</v>
      </c>
      <c r="E1067" s="3">
        <f>in_parking_demand_data_ver1!E1067*calibration!$I$31</f>
        <v>97.992255838127249</v>
      </c>
      <c r="F1067" s="3">
        <f t="shared" si="16"/>
        <v>586.25154187482451</v>
      </c>
      <c r="G1067">
        <v>1826</v>
      </c>
    </row>
    <row r="1068" spans="1:7" x14ac:dyDescent="0.25">
      <c r="A1068">
        <v>18089</v>
      </c>
      <c r="B1068" t="s">
        <v>50</v>
      </c>
      <c r="C1068">
        <v>10</v>
      </c>
      <c r="D1068" s="3">
        <f>in_parking_demand_data_ver1!D1068*calibration!$I$31</f>
        <v>454.77257073291639</v>
      </c>
      <c r="E1068" s="3">
        <f>in_parking_demand_data_ver1!E1068*calibration!$I$31</f>
        <v>85.440056327815697</v>
      </c>
      <c r="F1068" s="3">
        <f t="shared" si="16"/>
        <v>540.21262706073207</v>
      </c>
      <c r="G1068">
        <v>1826</v>
      </c>
    </row>
    <row r="1069" spans="1:7" x14ac:dyDescent="0.25">
      <c r="A1069">
        <v>18089</v>
      </c>
      <c r="B1069" t="s">
        <v>50</v>
      </c>
      <c r="C1069">
        <v>11</v>
      </c>
      <c r="D1069" s="3">
        <f>in_parking_demand_data_ver1!D1069*calibration!$I$31</f>
        <v>452.3046806597024</v>
      </c>
      <c r="E1069" s="3">
        <f>in_parking_demand_data_ver1!E1069*calibration!$I$31</f>
        <v>75.866344836900325</v>
      </c>
      <c r="F1069" s="3">
        <f t="shared" si="16"/>
        <v>528.17102549660274</v>
      </c>
      <c r="G1069">
        <v>1826</v>
      </c>
    </row>
    <row r="1070" spans="1:7" x14ac:dyDescent="0.25">
      <c r="A1070">
        <v>18089</v>
      </c>
      <c r="B1070" t="s">
        <v>50</v>
      </c>
      <c r="C1070">
        <v>12</v>
      </c>
      <c r="D1070" s="3">
        <f>in_parking_demand_data_ver1!D1070*calibration!$I$31</f>
        <v>468.55871527983487</v>
      </c>
      <c r="E1070" s="3">
        <f>in_parking_demand_data_ver1!E1070*calibration!$I$31</f>
        <v>76.802441071567557</v>
      </c>
      <c r="F1070" s="3">
        <f t="shared" si="16"/>
        <v>545.36115635140243</v>
      </c>
      <c r="G1070">
        <v>1826</v>
      </c>
    </row>
    <row r="1071" spans="1:7" x14ac:dyDescent="0.25">
      <c r="A1071">
        <v>18089</v>
      </c>
      <c r="B1071" t="s">
        <v>50</v>
      </c>
      <c r="C1071">
        <v>13</v>
      </c>
      <c r="D1071" s="3">
        <f>in_parking_demand_data_ver1!D1071*calibration!$I$31</f>
        <v>490.85482559645658</v>
      </c>
      <c r="E1071" s="3">
        <f>in_parking_demand_data_ver1!E1071*calibration!$I$31</f>
        <v>74.07925202526269</v>
      </c>
      <c r="F1071" s="3">
        <f t="shared" si="16"/>
        <v>564.93407762171933</v>
      </c>
      <c r="G1071">
        <v>1826</v>
      </c>
    </row>
    <row r="1072" spans="1:7" x14ac:dyDescent="0.25">
      <c r="A1072">
        <v>18089</v>
      </c>
      <c r="B1072" t="s">
        <v>50</v>
      </c>
      <c r="C1072">
        <v>14</v>
      </c>
      <c r="D1072" s="3">
        <f>in_parking_demand_data_ver1!D1072*calibration!$I$31</f>
        <v>535.23429708545632</v>
      </c>
      <c r="E1072" s="3">
        <f>in_parking_demand_data_ver1!E1072*calibration!$I$31</f>
        <v>59.271911585979879</v>
      </c>
      <c r="F1072" s="3">
        <f t="shared" si="16"/>
        <v>594.50620867143618</v>
      </c>
      <c r="G1072">
        <v>1826</v>
      </c>
    </row>
    <row r="1073" spans="1:7" x14ac:dyDescent="0.25">
      <c r="A1073">
        <v>18089</v>
      </c>
      <c r="B1073" t="s">
        <v>50</v>
      </c>
      <c r="C1073">
        <v>15</v>
      </c>
      <c r="D1073" s="3">
        <f>in_parking_demand_data_ver1!D1073*calibration!$I$31</f>
        <v>616.46192035726949</v>
      </c>
      <c r="E1073" s="3">
        <f>in_parking_demand_data_ver1!E1073*calibration!$I$31</f>
        <v>39.65644048681493</v>
      </c>
      <c r="F1073" s="3">
        <f t="shared" si="16"/>
        <v>656.11836084408446</v>
      </c>
      <c r="G1073">
        <v>1826</v>
      </c>
    </row>
    <row r="1074" spans="1:7" x14ac:dyDescent="0.25">
      <c r="A1074">
        <v>18089</v>
      </c>
      <c r="B1074" t="s">
        <v>50</v>
      </c>
      <c r="C1074">
        <v>16</v>
      </c>
      <c r="D1074" s="3">
        <f>in_parking_demand_data_ver1!D1074*calibration!$I$31</f>
        <v>724.45338597479781</v>
      </c>
      <c r="E1074" s="3">
        <f>in_parking_demand_data_ver1!E1074*calibration!$I$31</f>
        <v>33.912213592265559</v>
      </c>
      <c r="F1074" s="3">
        <f t="shared" si="16"/>
        <v>758.36559956706333</v>
      </c>
      <c r="G1074">
        <v>1826</v>
      </c>
    </row>
    <row r="1075" spans="1:7" x14ac:dyDescent="0.25">
      <c r="A1075">
        <v>18089</v>
      </c>
      <c r="B1075" t="s">
        <v>50</v>
      </c>
      <c r="C1075">
        <v>17</v>
      </c>
      <c r="D1075" s="3">
        <f>in_parking_demand_data_ver1!D1075*calibration!$I$31</f>
        <v>848.06063877973065</v>
      </c>
      <c r="E1075" s="3">
        <f>in_parking_demand_data_ver1!E1075*calibration!$I$31</f>
        <v>31.06137505941512</v>
      </c>
      <c r="F1075" s="3">
        <f t="shared" si="16"/>
        <v>879.12201383914578</v>
      </c>
      <c r="G1075">
        <v>1826</v>
      </c>
    </row>
    <row r="1076" spans="1:7" x14ac:dyDescent="0.25">
      <c r="A1076">
        <v>18089</v>
      </c>
      <c r="B1076" t="s">
        <v>50</v>
      </c>
      <c r="C1076">
        <v>18</v>
      </c>
      <c r="D1076" s="3">
        <f>in_parking_demand_data_ver1!D1076*calibration!$I$31</f>
        <v>969.24255134029158</v>
      </c>
      <c r="E1076" s="3">
        <f>in_parking_demand_data_ver1!E1076*calibration!$I$31</f>
        <v>27.572289093837</v>
      </c>
      <c r="F1076" s="3">
        <f t="shared" si="16"/>
        <v>996.81484043412854</v>
      </c>
      <c r="G1076">
        <v>1826</v>
      </c>
    </row>
    <row r="1077" spans="1:7" x14ac:dyDescent="0.25">
      <c r="A1077">
        <v>18089</v>
      </c>
      <c r="B1077" t="s">
        <v>50</v>
      </c>
      <c r="C1077">
        <v>19</v>
      </c>
      <c r="D1077" s="3">
        <f>in_parking_demand_data_ver1!D1077*calibration!$I$31</f>
        <v>1079.3189585713999</v>
      </c>
      <c r="E1077" s="3">
        <f>in_parking_demand_data_ver1!E1077*calibration!$I$31</f>
        <v>29.869979851656748</v>
      </c>
      <c r="F1077" s="3">
        <f t="shared" si="16"/>
        <v>1109.1889384230567</v>
      </c>
      <c r="G1077">
        <v>1826</v>
      </c>
    </row>
    <row r="1078" spans="1:7" x14ac:dyDescent="0.25">
      <c r="A1078">
        <v>18089</v>
      </c>
      <c r="B1078" t="s">
        <v>50</v>
      </c>
      <c r="C1078">
        <v>20</v>
      </c>
      <c r="D1078" s="3">
        <f>in_parking_demand_data_ver1!D1078*calibration!$I$31</f>
        <v>1155.100203750603</v>
      </c>
      <c r="E1078" s="3">
        <f>in_parking_demand_data_ver1!E1078*calibration!$I$31</f>
        <v>28.295636184261753</v>
      </c>
      <c r="F1078" s="3">
        <f t="shared" si="16"/>
        <v>1183.3958399348649</v>
      </c>
      <c r="G1078">
        <v>1826</v>
      </c>
    </row>
    <row r="1079" spans="1:7" x14ac:dyDescent="0.25">
      <c r="A1079">
        <v>18089</v>
      </c>
      <c r="B1079" t="s">
        <v>50</v>
      </c>
      <c r="C1079">
        <v>21</v>
      </c>
      <c r="D1079" s="3">
        <f>in_parking_demand_data_ver1!D1079*calibration!$I$31</f>
        <v>1208.9682870728229</v>
      </c>
      <c r="E1079" s="3">
        <f>in_parking_demand_data_ver1!E1079*calibration!$I$31</f>
        <v>28.210536526564677</v>
      </c>
      <c r="F1079" s="3">
        <f t="shared" si="16"/>
        <v>1237.1788235993877</v>
      </c>
      <c r="G1079">
        <v>1826</v>
      </c>
    </row>
    <row r="1080" spans="1:7" x14ac:dyDescent="0.25">
      <c r="A1080">
        <v>18089</v>
      </c>
      <c r="B1080" t="s">
        <v>50</v>
      </c>
      <c r="C1080">
        <v>22</v>
      </c>
      <c r="D1080" s="3">
        <f>in_parking_demand_data_ver1!D1080*calibration!$I$31</f>
        <v>1245.8589886844809</v>
      </c>
      <c r="E1080" s="3">
        <f>in_parking_demand_data_ver1!E1080*calibration!$I$31</f>
        <v>29.018983274686423</v>
      </c>
      <c r="F1080" s="3">
        <f t="shared" si="16"/>
        <v>1274.8779719591673</v>
      </c>
      <c r="G1080">
        <v>1826</v>
      </c>
    </row>
    <row r="1081" spans="1:7" x14ac:dyDescent="0.25">
      <c r="A1081">
        <v>18089</v>
      </c>
      <c r="B1081" t="s">
        <v>50</v>
      </c>
      <c r="C1081">
        <v>23</v>
      </c>
      <c r="D1081" s="3">
        <f>in_parking_demand_data_ver1!D1081*calibration!$I$31</f>
        <v>1259.5174837448574</v>
      </c>
      <c r="E1081" s="3">
        <f>in_parking_demand_data_ver1!E1081*calibration!$I$31</f>
        <v>30.167828653596303</v>
      </c>
      <c r="F1081" s="3">
        <f t="shared" si="16"/>
        <v>1289.6853123984538</v>
      </c>
      <c r="G1081">
        <v>1826</v>
      </c>
    </row>
    <row r="1082" spans="1:7" x14ac:dyDescent="0.25">
      <c r="A1082">
        <v>18091</v>
      </c>
      <c r="B1082" t="s">
        <v>51</v>
      </c>
      <c r="C1082">
        <v>0</v>
      </c>
      <c r="D1082" s="3">
        <f>in_parking_demand_data_ver1!D1082*calibration!$I$31</f>
        <v>312.33503381420735</v>
      </c>
      <c r="E1082" s="3">
        <f>in_parking_demand_data_ver1!E1082*calibration!$I$31</f>
        <v>10.277177708096465</v>
      </c>
      <c r="F1082" s="3">
        <f t="shared" si="16"/>
        <v>322.61221152230382</v>
      </c>
      <c r="G1082">
        <v>693</v>
      </c>
    </row>
    <row r="1083" spans="1:7" x14ac:dyDescent="0.25">
      <c r="A1083">
        <v>18091</v>
      </c>
      <c r="B1083" t="s">
        <v>51</v>
      </c>
      <c r="C1083">
        <v>1</v>
      </c>
      <c r="D1083" s="3">
        <f>in_parking_demand_data_ver1!D1083*calibration!$I$31</f>
        <v>316.2304156874373</v>
      </c>
      <c r="E1083" s="3">
        <f>in_parking_demand_data_ver1!E1083*calibration!$I$31</f>
        <v>10.815900733117676</v>
      </c>
      <c r="F1083" s="3">
        <f t="shared" si="16"/>
        <v>327.046316420555</v>
      </c>
      <c r="G1083">
        <v>693</v>
      </c>
    </row>
    <row r="1084" spans="1:7" x14ac:dyDescent="0.25">
      <c r="A1084">
        <v>18091</v>
      </c>
      <c r="B1084" t="s">
        <v>51</v>
      </c>
      <c r="C1084">
        <v>2</v>
      </c>
      <c r="D1084" s="3">
        <f>in_parking_demand_data_ver1!D1084*calibration!$I$31</f>
        <v>319.75283546642225</v>
      </c>
      <c r="E1084" s="3">
        <f>in_parking_demand_data_ver1!E1084*calibration!$I$31</f>
        <v>9.2411718907480296</v>
      </c>
      <c r="F1084" s="3">
        <f t="shared" si="16"/>
        <v>328.99400735717029</v>
      </c>
      <c r="G1084">
        <v>693</v>
      </c>
    </row>
    <row r="1085" spans="1:7" x14ac:dyDescent="0.25">
      <c r="A1085">
        <v>18091</v>
      </c>
      <c r="B1085" t="s">
        <v>51</v>
      </c>
      <c r="C1085">
        <v>3</v>
      </c>
      <c r="D1085" s="3">
        <f>in_parking_demand_data_ver1!D1085*calibration!$I$31</f>
        <v>321.32756430879215</v>
      </c>
      <c r="E1085" s="3">
        <f>in_parking_demand_data_ver1!E1085*calibration!$I$31</f>
        <v>8.7438890984208051</v>
      </c>
      <c r="F1085" s="3">
        <f t="shared" si="16"/>
        <v>330.07145340721297</v>
      </c>
      <c r="G1085">
        <v>693</v>
      </c>
    </row>
    <row r="1086" spans="1:7" x14ac:dyDescent="0.25">
      <c r="A1086">
        <v>18091</v>
      </c>
      <c r="B1086" t="s">
        <v>51</v>
      </c>
      <c r="C1086">
        <v>4</v>
      </c>
      <c r="D1086" s="3">
        <f>in_parking_demand_data_ver1!D1086*calibration!$I$31</f>
        <v>313.90976265657724</v>
      </c>
      <c r="E1086" s="3">
        <f>in_parking_demand_data_ver1!E1086*calibration!$I$31</f>
        <v>8.7438890984208051</v>
      </c>
      <c r="F1086" s="3">
        <f t="shared" si="16"/>
        <v>322.65365175499807</v>
      </c>
      <c r="G1086">
        <v>693</v>
      </c>
    </row>
    <row r="1087" spans="1:7" x14ac:dyDescent="0.25">
      <c r="A1087">
        <v>18091</v>
      </c>
      <c r="B1087" t="s">
        <v>51</v>
      </c>
      <c r="C1087">
        <v>5</v>
      </c>
      <c r="D1087" s="3">
        <f>in_parking_demand_data_ver1!D1087*calibration!$I$31</f>
        <v>295.09589701352962</v>
      </c>
      <c r="E1087" s="3">
        <f>in_parking_demand_data_ver1!E1087*calibration!$I$31</f>
        <v>10.069976544626794</v>
      </c>
      <c r="F1087" s="3">
        <f t="shared" si="16"/>
        <v>305.16587355815642</v>
      </c>
      <c r="G1087">
        <v>693</v>
      </c>
    </row>
    <row r="1088" spans="1:7" x14ac:dyDescent="0.25">
      <c r="A1088">
        <v>18091</v>
      </c>
      <c r="B1088" t="s">
        <v>51</v>
      </c>
      <c r="C1088">
        <v>6</v>
      </c>
      <c r="D1088" s="3">
        <f>in_parking_demand_data_ver1!D1088*calibration!$I$31</f>
        <v>258.71137270825227</v>
      </c>
      <c r="E1088" s="3">
        <f>in_parking_demand_data_ver1!E1088*calibration!$I$31</f>
        <v>7.9979649099299674</v>
      </c>
      <c r="F1088" s="3">
        <f t="shared" si="16"/>
        <v>266.70933761818225</v>
      </c>
      <c r="G1088">
        <v>693</v>
      </c>
    </row>
    <row r="1089" spans="1:7" x14ac:dyDescent="0.25">
      <c r="A1089">
        <v>18091</v>
      </c>
      <c r="B1089" t="s">
        <v>51</v>
      </c>
      <c r="C1089">
        <v>7</v>
      </c>
      <c r="D1089" s="3">
        <f>in_parking_demand_data_ver1!D1089*calibration!$I$31</f>
        <v>207.61556579662687</v>
      </c>
      <c r="E1089" s="3">
        <f>in_parking_demand_data_ver1!E1089*calibration!$I$31</f>
        <v>8.909650029196575</v>
      </c>
      <c r="F1089" s="3">
        <f t="shared" si="16"/>
        <v>216.52521582582344</v>
      </c>
      <c r="G1089">
        <v>693</v>
      </c>
    </row>
    <row r="1090" spans="1:7" x14ac:dyDescent="0.25">
      <c r="A1090">
        <v>18091</v>
      </c>
      <c r="B1090" t="s">
        <v>51</v>
      </c>
      <c r="C1090">
        <v>8</v>
      </c>
      <c r="D1090" s="3">
        <f>in_parking_demand_data_ver1!D1090*calibration!$I$31</f>
        <v>164.39340309685005</v>
      </c>
      <c r="E1090" s="3">
        <f>in_parking_demand_data_ver1!E1090*calibration!$I$31</f>
        <v>10.401498406178334</v>
      </c>
      <c r="F1090" s="3">
        <f t="shared" si="16"/>
        <v>174.79490150302837</v>
      </c>
      <c r="G1090">
        <v>693</v>
      </c>
    </row>
    <row r="1091" spans="1:7" x14ac:dyDescent="0.25">
      <c r="A1091">
        <v>18091</v>
      </c>
      <c r="B1091" t="s">
        <v>51</v>
      </c>
      <c r="C1091">
        <v>9</v>
      </c>
      <c r="D1091" s="3">
        <f>in_parking_demand_data_ver1!D1091*calibration!$I$31</f>
        <v>134.55643555721485</v>
      </c>
      <c r="E1091" s="3">
        <f>in_parking_demand_data_ver1!E1091*calibration!$I$31</f>
        <v>12.266308877405534</v>
      </c>
      <c r="F1091" s="3">
        <f t="shared" ref="F1091:F1154" si="17">SUM(D1091:E1091)</f>
        <v>146.82274443462038</v>
      </c>
      <c r="G1091">
        <v>693</v>
      </c>
    </row>
    <row r="1092" spans="1:7" x14ac:dyDescent="0.25">
      <c r="A1092">
        <v>18091</v>
      </c>
      <c r="B1092" t="s">
        <v>51</v>
      </c>
      <c r="C1092">
        <v>10</v>
      </c>
      <c r="D1092" s="3">
        <f>in_parking_demand_data_ver1!D1092*calibration!$I$31</f>
        <v>122.58020830866755</v>
      </c>
      <c r="E1092" s="3">
        <f>in_parking_demand_data_ver1!E1092*calibration!$I$31</f>
        <v>13.468075625529655</v>
      </c>
      <c r="F1092" s="3">
        <f t="shared" si="17"/>
        <v>136.0482839341972</v>
      </c>
      <c r="G1092">
        <v>693</v>
      </c>
    </row>
    <row r="1093" spans="1:7" x14ac:dyDescent="0.25">
      <c r="A1093">
        <v>18091</v>
      </c>
      <c r="B1093" t="s">
        <v>51</v>
      </c>
      <c r="C1093">
        <v>11</v>
      </c>
      <c r="D1093" s="3">
        <f>in_parking_demand_data_ver1!D1093*calibration!$I$31</f>
        <v>123.49189342793419</v>
      </c>
      <c r="E1093" s="3">
        <f>in_parking_demand_data_ver1!E1093*calibration!$I$31</f>
        <v>13.841037719775093</v>
      </c>
      <c r="F1093" s="3">
        <f t="shared" si="17"/>
        <v>137.33293114770927</v>
      </c>
      <c r="G1093">
        <v>693</v>
      </c>
    </row>
    <row r="1094" spans="1:7" x14ac:dyDescent="0.25">
      <c r="A1094">
        <v>18091</v>
      </c>
      <c r="B1094" t="s">
        <v>51</v>
      </c>
      <c r="C1094">
        <v>12</v>
      </c>
      <c r="D1094" s="3">
        <f>in_parking_demand_data_ver1!D1094*calibration!$I$31</f>
        <v>128.1331994896544</v>
      </c>
      <c r="E1094" s="3">
        <f>in_parking_demand_data_ver1!E1094*calibration!$I$31</f>
        <v>13.50951585822364</v>
      </c>
      <c r="F1094" s="3">
        <f t="shared" si="17"/>
        <v>141.64271534787804</v>
      </c>
      <c r="G1094">
        <v>693</v>
      </c>
    </row>
    <row r="1095" spans="1:7" x14ac:dyDescent="0.25">
      <c r="A1095">
        <v>18091</v>
      </c>
      <c r="B1095" t="s">
        <v>51</v>
      </c>
      <c r="C1095">
        <v>13</v>
      </c>
      <c r="D1095" s="3">
        <f>in_parking_demand_data_ver1!D1095*calibration!$I$31</f>
        <v>125.85398669148819</v>
      </c>
      <c r="E1095" s="3">
        <f>in_parking_demand_data_ver1!E1095*calibration!$I$31</f>
        <v>13.302314694753969</v>
      </c>
      <c r="F1095" s="3">
        <f t="shared" si="17"/>
        <v>139.15630138624215</v>
      </c>
      <c r="G1095">
        <v>693</v>
      </c>
    </row>
    <row r="1096" spans="1:7" x14ac:dyDescent="0.25">
      <c r="A1096">
        <v>18091</v>
      </c>
      <c r="B1096" t="s">
        <v>51</v>
      </c>
      <c r="C1096">
        <v>14</v>
      </c>
      <c r="D1096" s="3">
        <f>in_parking_demand_data_ver1!D1096*calibration!$I$31</f>
        <v>124.3621383145061</v>
      </c>
      <c r="E1096" s="3">
        <f>in_parking_demand_data_ver1!E1096*calibration!$I$31</f>
        <v>13.426635392835754</v>
      </c>
      <c r="F1096" s="3">
        <f t="shared" si="17"/>
        <v>137.78877370734185</v>
      </c>
      <c r="G1096">
        <v>693</v>
      </c>
    </row>
    <row r="1097" spans="1:7" x14ac:dyDescent="0.25">
      <c r="A1097">
        <v>18091</v>
      </c>
      <c r="B1097" t="s">
        <v>51</v>
      </c>
      <c r="C1097">
        <v>15</v>
      </c>
      <c r="D1097" s="3">
        <f>in_parking_demand_data_ver1!D1097*calibration!$I$31</f>
        <v>127.01431320691826</v>
      </c>
      <c r="E1097" s="3">
        <f>in_parking_demand_data_ver1!E1097*calibration!$I$31</f>
        <v>12.224868644711551</v>
      </c>
      <c r="F1097" s="3">
        <f t="shared" si="17"/>
        <v>139.23918185162981</v>
      </c>
      <c r="G1097">
        <v>693</v>
      </c>
    </row>
    <row r="1098" spans="1:7" x14ac:dyDescent="0.25">
      <c r="A1098">
        <v>18091</v>
      </c>
      <c r="B1098" t="s">
        <v>51</v>
      </c>
      <c r="C1098">
        <v>16</v>
      </c>
      <c r="D1098" s="3">
        <f>in_parking_demand_data_ver1!D1098*calibration!$I$31</f>
        <v>140.06798650550863</v>
      </c>
      <c r="E1098" s="3">
        <f>in_parking_demand_data_ver1!E1098*calibration!$I$31</f>
        <v>9.3240523561359154</v>
      </c>
      <c r="F1098" s="3">
        <f t="shared" si="17"/>
        <v>149.39203886164455</v>
      </c>
      <c r="G1098">
        <v>693</v>
      </c>
    </row>
    <row r="1099" spans="1:7" x14ac:dyDescent="0.25">
      <c r="A1099">
        <v>18091</v>
      </c>
      <c r="B1099" t="s">
        <v>51</v>
      </c>
      <c r="C1099">
        <v>17</v>
      </c>
      <c r="D1099" s="3">
        <f>in_parking_demand_data_ver1!D1099*calibration!$I$31</f>
        <v>161.45114657558059</v>
      </c>
      <c r="E1099" s="3">
        <f>in_parking_demand_data_ver1!E1099*calibration!$I$31</f>
        <v>9.2411718907480296</v>
      </c>
      <c r="F1099" s="3">
        <f t="shared" si="17"/>
        <v>170.69231846632863</v>
      </c>
      <c r="G1099">
        <v>693</v>
      </c>
    </row>
    <row r="1100" spans="1:7" x14ac:dyDescent="0.25">
      <c r="A1100">
        <v>18091</v>
      </c>
      <c r="B1100" t="s">
        <v>51</v>
      </c>
      <c r="C1100">
        <v>18</v>
      </c>
      <c r="D1100" s="3">
        <f>in_parking_demand_data_ver1!D1100*calibration!$I$31</f>
        <v>184.57479641879806</v>
      </c>
      <c r="E1100" s="3">
        <f>in_parking_demand_data_ver1!E1100*calibration!$I$31</f>
        <v>8.3709270041753978</v>
      </c>
      <c r="F1100" s="3">
        <f t="shared" si="17"/>
        <v>192.94572342297346</v>
      </c>
      <c r="G1100">
        <v>693</v>
      </c>
    </row>
    <row r="1101" spans="1:7" x14ac:dyDescent="0.25">
      <c r="A1101">
        <v>18091</v>
      </c>
      <c r="B1101" t="s">
        <v>51</v>
      </c>
      <c r="C1101">
        <v>19</v>
      </c>
      <c r="D1101" s="3">
        <f>in_parking_demand_data_ver1!D1101*calibration!$I$31</f>
        <v>213.95592139879949</v>
      </c>
      <c r="E1101" s="3">
        <f>in_parking_demand_data_ver1!E1101*calibration!$I$31</f>
        <v>9.6555742176874553</v>
      </c>
      <c r="F1101" s="3">
        <f t="shared" si="17"/>
        <v>223.61149561648693</v>
      </c>
      <c r="G1101">
        <v>693</v>
      </c>
    </row>
    <row r="1102" spans="1:7" x14ac:dyDescent="0.25">
      <c r="A1102">
        <v>18091</v>
      </c>
      <c r="B1102" t="s">
        <v>51</v>
      </c>
      <c r="C1102">
        <v>20</v>
      </c>
      <c r="D1102" s="3">
        <f>in_parking_demand_data_ver1!D1102*calibration!$I$31</f>
        <v>241.72087730373798</v>
      </c>
      <c r="E1102" s="3">
        <f>in_parking_demand_data_ver1!E1102*calibration!$I$31</f>
        <v>10.733020267729788</v>
      </c>
      <c r="F1102" s="3">
        <f t="shared" si="17"/>
        <v>252.45389757146776</v>
      </c>
      <c r="G1102">
        <v>693</v>
      </c>
    </row>
    <row r="1103" spans="1:7" x14ac:dyDescent="0.25">
      <c r="A1103">
        <v>18091</v>
      </c>
      <c r="B1103" t="s">
        <v>51</v>
      </c>
      <c r="C1103">
        <v>21</v>
      </c>
      <c r="D1103" s="3">
        <f>in_parking_demand_data_ver1!D1103*calibration!$I$31</f>
        <v>261.19778666988884</v>
      </c>
      <c r="E1103" s="3">
        <f>in_parking_demand_data_ver1!E1103*calibration!$I$31</f>
        <v>10.774460500423775</v>
      </c>
      <c r="F1103" s="3">
        <f t="shared" si="17"/>
        <v>271.97224717031264</v>
      </c>
      <c r="G1103">
        <v>693</v>
      </c>
    </row>
    <row r="1104" spans="1:7" x14ac:dyDescent="0.25">
      <c r="A1104">
        <v>18091</v>
      </c>
      <c r="B1104" t="s">
        <v>51</v>
      </c>
      <c r="C1104">
        <v>22</v>
      </c>
      <c r="D1104" s="3">
        <f>in_parking_demand_data_ver1!D1104*calibration!$I$31</f>
        <v>279.5143695206088</v>
      </c>
      <c r="E1104" s="3">
        <f>in_parking_demand_data_ver1!E1104*calibration!$I$31</f>
        <v>11.188862827363115</v>
      </c>
      <c r="F1104" s="3">
        <f t="shared" si="17"/>
        <v>290.70323234797189</v>
      </c>
      <c r="G1104">
        <v>693</v>
      </c>
    </row>
    <row r="1105" spans="1:7" x14ac:dyDescent="0.25">
      <c r="A1105">
        <v>18091</v>
      </c>
      <c r="B1105" t="s">
        <v>51</v>
      </c>
      <c r="C1105">
        <v>23</v>
      </c>
      <c r="D1105" s="3">
        <f>in_parking_demand_data_ver1!D1105*calibration!$I$31</f>
        <v>297.12646841553243</v>
      </c>
      <c r="E1105" s="3">
        <f>in_parking_demand_data_ver1!E1105*calibration!$I$31</f>
        <v>11.85190655046611</v>
      </c>
      <c r="F1105" s="3">
        <f t="shared" si="17"/>
        <v>308.97837496599851</v>
      </c>
      <c r="G1105">
        <v>693</v>
      </c>
    </row>
    <row r="1106" spans="1:7" x14ac:dyDescent="0.25">
      <c r="A1106">
        <v>18093</v>
      </c>
      <c r="B1106" t="s">
        <v>52</v>
      </c>
      <c r="C1106">
        <v>0</v>
      </c>
      <c r="D1106" s="3">
        <f>in_parking_demand_data_ver1!D1106*calibration!$I$31</f>
        <v>1.1895962487005198</v>
      </c>
      <c r="E1106" s="3">
        <f>in_parking_demand_data_ver1!E1106*calibration!$I$31</f>
        <v>0.22658976165724151</v>
      </c>
      <c r="F1106" s="3">
        <f t="shared" si="17"/>
        <v>1.4161860103577613</v>
      </c>
      <c r="G1106">
        <v>20</v>
      </c>
    </row>
    <row r="1107" spans="1:7" x14ac:dyDescent="0.25">
      <c r="A1107">
        <v>18093</v>
      </c>
      <c r="B1107" t="s">
        <v>52</v>
      </c>
      <c r="C1107">
        <v>1</v>
      </c>
      <c r="D1107" s="3">
        <f>in_parking_demand_data_ver1!D1107*calibration!$I$31</f>
        <v>1.1895962487005198</v>
      </c>
      <c r="E1107" s="3">
        <f>in_parking_demand_data_ver1!E1107*calibration!$I$31</f>
        <v>0.19826604145008608</v>
      </c>
      <c r="F1107" s="3">
        <f t="shared" si="17"/>
        <v>1.3878622901506059</v>
      </c>
      <c r="G1107">
        <v>20</v>
      </c>
    </row>
    <row r="1108" spans="1:7" x14ac:dyDescent="0.25">
      <c r="A1108">
        <v>18093</v>
      </c>
      <c r="B1108" t="s">
        <v>52</v>
      </c>
      <c r="C1108">
        <v>2</v>
      </c>
      <c r="D1108" s="3">
        <f>in_parking_demand_data_ver1!D1108*calibration!$I$31</f>
        <v>1.0763013678718949</v>
      </c>
      <c r="E1108" s="3">
        <f>in_parking_demand_data_ver1!E1108*calibration!$I$31</f>
        <v>0.19826604145008608</v>
      </c>
      <c r="F1108" s="3">
        <f t="shared" si="17"/>
        <v>1.274567409321981</v>
      </c>
      <c r="G1108">
        <v>20</v>
      </c>
    </row>
    <row r="1109" spans="1:7" x14ac:dyDescent="0.25">
      <c r="A1109">
        <v>18093</v>
      </c>
      <c r="B1109" t="s">
        <v>52</v>
      </c>
      <c r="C1109">
        <v>3</v>
      </c>
      <c r="D1109" s="3">
        <f>in_parking_demand_data_ver1!D1109*calibration!$I$31</f>
        <v>0.93468276683611806</v>
      </c>
      <c r="E1109" s="3">
        <f>in_parking_demand_data_ver1!E1109*calibration!$I$31</f>
        <v>0.45317952331448386</v>
      </c>
      <c r="F1109" s="3">
        <f t="shared" si="17"/>
        <v>1.3878622901506019</v>
      </c>
      <c r="G1109">
        <v>20</v>
      </c>
    </row>
    <row r="1110" spans="1:7" x14ac:dyDescent="0.25">
      <c r="A1110">
        <v>18093</v>
      </c>
      <c r="B1110" t="s">
        <v>52</v>
      </c>
      <c r="C1110">
        <v>4</v>
      </c>
      <c r="D1110" s="3">
        <f>in_parking_demand_data_ver1!D1110*calibration!$I$31</f>
        <v>0.79306416580034689</v>
      </c>
      <c r="E1110" s="3">
        <f>in_parking_demand_data_ver1!E1110*calibration!$I$31</f>
        <v>0.45317952331448386</v>
      </c>
      <c r="F1110" s="3">
        <f t="shared" si="17"/>
        <v>1.2462436891148307</v>
      </c>
      <c r="G1110">
        <v>20</v>
      </c>
    </row>
    <row r="1111" spans="1:7" x14ac:dyDescent="0.25">
      <c r="A1111">
        <v>18093</v>
      </c>
      <c r="B1111" t="s">
        <v>52</v>
      </c>
      <c r="C1111">
        <v>5</v>
      </c>
      <c r="D1111" s="3">
        <f>in_parking_demand_data_ver1!D1111*calibration!$I$31</f>
        <v>0.67976928497172617</v>
      </c>
      <c r="E1111" s="3">
        <f>in_parking_demand_data_ver1!E1111*calibration!$I$31</f>
        <v>0.4248558031073284</v>
      </c>
      <c r="F1111" s="3">
        <f t="shared" si="17"/>
        <v>1.1046250880790547</v>
      </c>
      <c r="G1111">
        <v>20</v>
      </c>
    </row>
    <row r="1112" spans="1:7" x14ac:dyDescent="0.25">
      <c r="A1112">
        <v>18093</v>
      </c>
      <c r="B1112" t="s">
        <v>52</v>
      </c>
      <c r="C1112">
        <v>6</v>
      </c>
      <c r="D1112" s="3">
        <f>in_parking_demand_data_ver1!D1112*calibration!$I$31</f>
        <v>0.7364167253860362</v>
      </c>
      <c r="E1112" s="3">
        <f>in_parking_demand_data_ver1!E1112*calibration!$I$31</f>
        <v>0.84971160621465769</v>
      </c>
      <c r="F1112" s="3">
        <f t="shared" si="17"/>
        <v>1.586128331600694</v>
      </c>
      <c r="G1112">
        <v>20</v>
      </c>
    </row>
    <row r="1113" spans="1:7" x14ac:dyDescent="0.25">
      <c r="A1113">
        <v>18093</v>
      </c>
      <c r="B1113" t="s">
        <v>52</v>
      </c>
      <c r="C1113">
        <v>7</v>
      </c>
      <c r="D1113" s="3">
        <f>in_parking_demand_data_ver1!D1113*calibration!$I$31</f>
        <v>0.70809300517888163</v>
      </c>
      <c r="E1113" s="3">
        <f>in_parking_demand_data_ver1!E1113*calibration!$I$31</f>
        <v>1.4445097305649135</v>
      </c>
      <c r="F1113" s="3">
        <f t="shared" si="17"/>
        <v>2.1526027357437951</v>
      </c>
      <c r="G1113">
        <v>20</v>
      </c>
    </row>
    <row r="1114" spans="1:7" x14ac:dyDescent="0.25">
      <c r="A1114">
        <v>18093</v>
      </c>
      <c r="B1114" t="s">
        <v>52</v>
      </c>
      <c r="C1114">
        <v>8</v>
      </c>
      <c r="D1114" s="3">
        <f>in_parking_demand_data_ver1!D1114*calibration!$I$31</f>
        <v>0.56647440414310457</v>
      </c>
      <c r="E1114" s="3">
        <f>in_parking_demand_data_ver1!E1114*calibration!$I$31</f>
        <v>1.6994232124293154</v>
      </c>
      <c r="F1114" s="3">
        <f t="shared" si="17"/>
        <v>2.2658976165724201</v>
      </c>
      <c r="G1114">
        <v>20</v>
      </c>
    </row>
    <row r="1115" spans="1:7" x14ac:dyDescent="0.25">
      <c r="A1115">
        <v>18093</v>
      </c>
      <c r="B1115" t="s">
        <v>52</v>
      </c>
      <c r="C1115">
        <v>9</v>
      </c>
      <c r="D1115" s="3">
        <f>in_parking_demand_data_ver1!D1115*calibration!$I$31</f>
        <v>0.39653208290017306</v>
      </c>
      <c r="E1115" s="3">
        <f>in_parking_demand_data_ver1!E1115*calibration!$I$31</f>
        <v>2.9173431813369874</v>
      </c>
      <c r="F1115" s="3">
        <f t="shared" si="17"/>
        <v>3.3138752642371605</v>
      </c>
      <c r="G1115">
        <v>20</v>
      </c>
    </row>
    <row r="1116" spans="1:7" x14ac:dyDescent="0.25">
      <c r="A1116">
        <v>18093</v>
      </c>
      <c r="B1116" t="s">
        <v>52</v>
      </c>
      <c r="C1116">
        <v>10</v>
      </c>
      <c r="D1116" s="3">
        <f>in_parking_demand_data_ver1!D1116*calibration!$I$31</f>
        <v>0.31156092227870769</v>
      </c>
      <c r="E1116" s="3">
        <f>in_parking_demand_data_ver1!E1116*calibration!$I$31</f>
        <v>3.8803496683802656</v>
      </c>
      <c r="F1116" s="3">
        <f t="shared" si="17"/>
        <v>4.1919105906589733</v>
      </c>
      <c r="G1116">
        <v>20</v>
      </c>
    </row>
    <row r="1117" spans="1:7" x14ac:dyDescent="0.25">
      <c r="A1117">
        <v>18093</v>
      </c>
      <c r="B1117" t="s">
        <v>52</v>
      </c>
      <c r="C1117">
        <v>11</v>
      </c>
      <c r="D1117" s="3">
        <f>in_parking_demand_data_ver1!D1117*calibration!$I$31</f>
        <v>0.33988464248586309</v>
      </c>
      <c r="E1117" s="3">
        <f>in_parking_demand_data_ver1!E1117*calibration!$I$31</f>
        <v>3.5121413056872473</v>
      </c>
      <c r="F1117" s="3">
        <f t="shared" si="17"/>
        <v>3.8520259481731105</v>
      </c>
      <c r="G1117">
        <v>20</v>
      </c>
    </row>
    <row r="1118" spans="1:7" x14ac:dyDescent="0.25">
      <c r="A1118">
        <v>18093</v>
      </c>
      <c r="B1118" t="s">
        <v>52</v>
      </c>
      <c r="C1118">
        <v>12</v>
      </c>
      <c r="D1118" s="3">
        <f>in_parking_demand_data_ver1!D1118*calibration!$I$31</f>
        <v>0.39653208290017306</v>
      </c>
      <c r="E1118" s="3">
        <f>in_parking_demand_data_ver1!E1118*calibration!$I$31</f>
        <v>3.3705227046514703</v>
      </c>
      <c r="F1118" s="3">
        <f t="shared" si="17"/>
        <v>3.7670547875516434</v>
      </c>
      <c r="G1118">
        <v>20</v>
      </c>
    </row>
    <row r="1119" spans="1:7" x14ac:dyDescent="0.25">
      <c r="A1119">
        <v>18093</v>
      </c>
      <c r="B1119" t="s">
        <v>52</v>
      </c>
      <c r="C1119">
        <v>13</v>
      </c>
      <c r="D1119" s="3">
        <f>in_parking_demand_data_ver1!D1119*calibration!$I$31</f>
        <v>0.48150324352163926</v>
      </c>
      <c r="E1119" s="3">
        <f>in_parking_demand_data_ver1!E1119*calibration!$I$31</f>
        <v>2.0109841347080213</v>
      </c>
      <c r="F1119" s="3">
        <f t="shared" si="17"/>
        <v>2.4924873782296606</v>
      </c>
      <c r="G1119">
        <v>20</v>
      </c>
    </row>
    <row r="1120" spans="1:7" x14ac:dyDescent="0.25">
      <c r="A1120">
        <v>18093</v>
      </c>
      <c r="B1120" t="s">
        <v>52</v>
      </c>
      <c r="C1120">
        <v>14</v>
      </c>
      <c r="D1120" s="3">
        <f>in_parking_demand_data_ver1!D1120*calibration!$I$31</f>
        <v>0.67976928497172617</v>
      </c>
      <c r="E1120" s="3">
        <f>in_parking_demand_data_ver1!E1120*calibration!$I$31</f>
        <v>1.1895962487005198</v>
      </c>
      <c r="F1120" s="3">
        <f t="shared" si="17"/>
        <v>1.8693655336722461</v>
      </c>
      <c r="G1120">
        <v>20</v>
      </c>
    </row>
    <row r="1121" spans="1:7" x14ac:dyDescent="0.25">
      <c r="A1121">
        <v>18093</v>
      </c>
      <c r="B1121" t="s">
        <v>52</v>
      </c>
      <c r="C1121">
        <v>15</v>
      </c>
      <c r="D1121" s="3">
        <f>in_parking_demand_data_ver1!D1121*calibration!$I$31</f>
        <v>0.84971160621465769</v>
      </c>
      <c r="E1121" s="3">
        <f>in_parking_demand_data_ver1!E1121*calibration!$I$31</f>
        <v>0.48150324352163926</v>
      </c>
      <c r="F1121" s="3">
        <f t="shared" si="17"/>
        <v>1.331214849736297</v>
      </c>
      <c r="G1121">
        <v>20</v>
      </c>
    </row>
    <row r="1122" spans="1:7" x14ac:dyDescent="0.25">
      <c r="A1122">
        <v>18093</v>
      </c>
      <c r="B1122" t="s">
        <v>52</v>
      </c>
      <c r="C1122">
        <v>16</v>
      </c>
      <c r="D1122" s="3">
        <f>in_parking_demand_data_ver1!D1122*calibration!$I$31</f>
        <v>0.84971160621465769</v>
      </c>
      <c r="E1122" s="3">
        <f>in_parking_demand_data_ver1!E1122*calibration!$I$31</f>
        <v>0.14161860103577614</v>
      </c>
      <c r="F1122" s="3">
        <f t="shared" si="17"/>
        <v>0.99133020725043386</v>
      </c>
      <c r="G1122">
        <v>20</v>
      </c>
    </row>
    <row r="1123" spans="1:7" x14ac:dyDescent="0.25">
      <c r="A1123">
        <v>18093</v>
      </c>
      <c r="B1123" t="s">
        <v>52</v>
      </c>
      <c r="C1123">
        <v>17</v>
      </c>
      <c r="D1123" s="3">
        <f>in_parking_demand_data_ver1!D1123*calibration!$I$31</f>
        <v>0.93468276683611806</v>
      </c>
      <c r="E1123" s="3">
        <f>in_parking_demand_data_ver1!E1123*calibration!$I$31</f>
        <v>0.14161860103577614</v>
      </c>
      <c r="F1123" s="3">
        <f t="shared" si="17"/>
        <v>1.0763013678718942</v>
      </c>
      <c r="G1123">
        <v>20</v>
      </c>
    </row>
    <row r="1124" spans="1:7" x14ac:dyDescent="0.25">
      <c r="A1124">
        <v>18093</v>
      </c>
      <c r="B1124" t="s">
        <v>52</v>
      </c>
      <c r="C1124">
        <v>18</v>
      </c>
      <c r="D1124" s="3">
        <f>in_parking_demand_data_ver1!D1124*calibration!$I$31</f>
        <v>0.96300648704327851</v>
      </c>
      <c r="E1124" s="3">
        <f>in_parking_demand_data_ver1!E1124*calibration!$I$31</f>
        <v>0.22658976165724151</v>
      </c>
      <c r="F1124" s="3">
        <f t="shared" si="17"/>
        <v>1.1895962487005201</v>
      </c>
      <c r="G1124">
        <v>20</v>
      </c>
    </row>
    <row r="1125" spans="1:7" x14ac:dyDescent="0.25">
      <c r="A1125">
        <v>18093</v>
      </c>
      <c r="B1125" t="s">
        <v>52</v>
      </c>
      <c r="C1125">
        <v>19</v>
      </c>
      <c r="D1125" s="3">
        <f>in_parking_demand_data_ver1!D1125*calibration!$I$31</f>
        <v>0.93468276683611806</v>
      </c>
      <c r="E1125" s="3">
        <f>in_parking_demand_data_ver1!E1125*calibration!$I$31</f>
        <v>0.19826604145008608</v>
      </c>
      <c r="F1125" s="3">
        <f t="shared" si="17"/>
        <v>1.132948808286204</v>
      </c>
      <c r="G1125">
        <v>20</v>
      </c>
    </row>
    <row r="1126" spans="1:7" x14ac:dyDescent="0.25">
      <c r="A1126">
        <v>18093</v>
      </c>
      <c r="B1126" t="s">
        <v>52</v>
      </c>
      <c r="C1126">
        <v>20</v>
      </c>
      <c r="D1126" s="3">
        <f>in_parking_demand_data_ver1!D1126*calibration!$I$31</f>
        <v>0.99133020725043053</v>
      </c>
      <c r="E1126" s="3">
        <f>in_parking_demand_data_ver1!E1126*calibration!$I$31</f>
        <v>0.22658976165724151</v>
      </c>
      <c r="F1126" s="3">
        <f t="shared" si="17"/>
        <v>1.2179199689076721</v>
      </c>
      <c r="G1126">
        <v>20</v>
      </c>
    </row>
    <row r="1127" spans="1:7" x14ac:dyDescent="0.25">
      <c r="A1127">
        <v>18093</v>
      </c>
      <c r="B1127" t="s">
        <v>52</v>
      </c>
      <c r="C1127">
        <v>21</v>
      </c>
      <c r="D1127" s="3">
        <f>in_parking_demand_data_ver1!D1127*calibration!$I$31</f>
        <v>1.0196539274575824</v>
      </c>
      <c r="E1127" s="3">
        <f>in_parking_demand_data_ver1!E1127*calibration!$I$31</f>
        <v>0.22658976165724151</v>
      </c>
      <c r="F1127" s="3">
        <f t="shared" si="17"/>
        <v>1.2462436891148239</v>
      </c>
      <c r="G1127">
        <v>20</v>
      </c>
    </row>
    <row r="1128" spans="1:7" x14ac:dyDescent="0.25">
      <c r="A1128">
        <v>18093</v>
      </c>
      <c r="B1128" t="s">
        <v>52</v>
      </c>
      <c r="C1128">
        <v>22</v>
      </c>
      <c r="D1128" s="3">
        <f>in_parking_demand_data_ver1!D1128*calibration!$I$31</f>
        <v>1.0763013678718949</v>
      </c>
      <c r="E1128" s="3">
        <f>in_parking_demand_data_ver1!E1128*calibration!$I$31</f>
        <v>0.22658976165724151</v>
      </c>
      <c r="F1128" s="3">
        <f t="shared" si="17"/>
        <v>1.3028911295291363</v>
      </c>
      <c r="G1128">
        <v>20</v>
      </c>
    </row>
    <row r="1129" spans="1:7" x14ac:dyDescent="0.25">
      <c r="A1129">
        <v>18093</v>
      </c>
      <c r="B1129" t="s">
        <v>52</v>
      </c>
      <c r="C1129">
        <v>23</v>
      </c>
      <c r="D1129" s="3">
        <f>in_parking_demand_data_ver1!D1129*calibration!$I$31</f>
        <v>1.1329488082862074</v>
      </c>
      <c r="E1129" s="3">
        <f>in_parking_demand_data_ver1!E1129*calibration!$I$31</f>
        <v>0.22658976165724151</v>
      </c>
      <c r="F1129" s="3">
        <f t="shared" si="17"/>
        <v>1.3595385699434488</v>
      </c>
      <c r="G1129">
        <v>20</v>
      </c>
    </row>
    <row r="1130" spans="1:7" x14ac:dyDescent="0.25">
      <c r="A1130">
        <v>18095</v>
      </c>
      <c r="B1130" t="s">
        <v>53</v>
      </c>
      <c r="C1130">
        <v>0</v>
      </c>
      <c r="D1130" s="3">
        <f>in_parking_demand_data_ver1!D1130*calibration!$I$31</f>
        <v>63.289143864741426</v>
      </c>
      <c r="E1130" s="3">
        <f>in_parking_demand_data_ver1!E1130*calibration!$I$31</f>
        <v>7.6776994196571557</v>
      </c>
      <c r="F1130" s="3">
        <f t="shared" si="17"/>
        <v>70.966843284398578</v>
      </c>
      <c r="G1130">
        <v>160</v>
      </c>
    </row>
    <row r="1131" spans="1:7" x14ac:dyDescent="0.25">
      <c r="A1131">
        <v>18095</v>
      </c>
      <c r="B1131" t="s">
        <v>53</v>
      </c>
      <c r="C1131">
        <v>1</v>
      </c>
      <c r="D1131" s="3">
        <f>in_parking_demand_data_ver1!D1131*calibration!$I$31</f>
        <v>64.395839276583885</v>
      </c>
      <c r="E1131" s="3">
        <f>in_parking_demand_data_ver1!E1131*calibration!$I$31</f>
        <v>8.5307771329523945</v>
      </c>
      <c r="F1131" s="3">
        <f t="shared" si="17"/>
        <v>72.92661640953628</v>
      </c>
      <c r="G1131">
        <v>160</v>
      </c>
    </row>
    <row r="1132" spans="1:7" x14ac:dyDescent="0.25">
      <c r="A1132">
        <v>18095</v>
      </c>
      <c r="B1132" t="s">
        <v>53</v>
      </c>
      <c r="C1132">
        <v>2</v>
      </c>
      <c r="D1132" s="3">
        <f>in_parking_demand_data_ver1!D1132*calibration!$I$31</f>
        <v>65.15669237222555</v>
      </c>
      <c r="E1132" s="3">
        <f>in_parking_demand_data_ver1!E1132*calibration!$I$31</f>
        <v>9.2916302285940642</v>
      </c>
      <c r="F1132" s="3">
        <f t="shared" si="17"/>
        <v>74.448322600819608</v>
      </c>
      <c r="G1132">
        <v>160</v>
      </c>
    </row>
    <row r="1133" spans="1:7" x14ac:dyDescent="0.25">
      <c r="A1133">
        <v>18095</v>
      </c>
      <c r="B1133" t="s">
        <v>53</v>
      </c>
      <c r="C1133">
        <v>3</v>
      </c>
      <c r="D1133" s="3">
        <f>in_parking_demand_data_ver1!D1133*calibration!$I$31</f>
        <v>64.441951585410635</v>
      </c>
      <c r="E1133" s="3">
        <f>in_parking_demand_data_ver1!E1133*calibration!$I$31</f>
        <v>9.3838548462475746</v>
      </c>
      <c r="F1133" s="3">
        <f t="shared" si="17"/>
        <v>73.825806431658208</v>
      </c>
      <c r="G1133">
        <v>160</v>
      </c>
    </row>
    <row r="1134" spans="1:7" x14ac:dyDescent="0.25">
      <c r="A1134">
        <v>18095</v>
      </c>
      <c r="B1134" t="s">
        <v>53</v>
      </c>
      <c r="C1134">
        <v>4</v>
      </c>
      <c r="D1134" s="3">
        <f>in_parking_demand_data_ver1!D1134*calibration!$I$31</f>
        <v>58.447351437930529</v>
      </c>
      <c r="E1134" s="3">
        <f>in_parking_demand_data_ver1!E1134*calibration!$I$31</f>
        <v>8.8305071403263451</v>
      </c>
      <c r="F1134" s="3">
        <f t="shared" si="17"/>
        <v>67.277858578256868</v>
      </c>
      <c r="G1134">
        <v>160</v>
      </c>
    </row>
    <row r="1135" spans="1:7" x14ac:dyDescent="0.25">
      <c r="A1135">
        <v>18095</v>
      </c>
      <c r="B1135" t="s">
        <v>53</v>
      </c>
      <c r="C1135">
        <v>5</v>
      </c>
      <c r="D1135" s="3">
        <f>in_parking_demand_data_ver1!D1135*calibration!$I$31</f>
        <v>53.905289018493761</v>
      </c>
      <c r="E1135" s="3">
        <f>in_parking_demand_data_ver1!E1135*calibration!$I$31</f>
        <v>9.1302371477003792</v>
      </c>
      <c r="F1135" s="3">
        <f t="shared" si="17"/>
        <v>63.035526166194138</v>
      </c>
      <c r="G1135">
        <v>160</v>
      </c>
    </row>
    <row r="1136" spans="1:7" x14ac:dyDescent="0.25">
      <c r="A1136">
        <v>18095</v>
      </c>
      <c r="B1136" t="s">
        <v>53</v>
      </c>
      <c r="C1136">
        <v>6</v>
      </c>
      <c r="D1136" s="3">
        <f>in_parking_demand_data_ver1!D1136*calibration!$I$31</f>
        <v>50.05491123145849</v>
      </c>
      <c r="E1136" s="3">
        <f>in_parking_demand_data_ver1!E1136*calibration!$I$31</f>
        <v>10.075539478649155</v>
      </c>
      <c r="F1136" s="3">
        <f t="shared" si="17"/>
        <v>60.130450710107645</v>
      </c>
      <c r="G1136">
        <v>160</v>
      </c>
    </row>
    <row r="1137" spans="1:7" x14ac:dyDescent="0.25">
      <c r="A1137">
        <v>18095</v>
      </c>
      <c r="B1137" t="s">
        <v>53</v>
      </c>
      <c r="C1137">
        <v>7</v>
      </c>
      <c r="D1137" s="3">
        <f>in_parking_demand_data_ver1!D1137*calibration!$I$31</f>
        <v>46.665656532690932</v>
      </c>
      <c r="E1137" s="3">
        <f>in_parking_demand_data_ver1!E1137*calibration!$I$31</f>
        <v>11.505021052278984</v>
      </c>
      <c r="F1137" s="3">
        <f t="shared" si="17"/>
        <v>58.170677584969916</v>
      </c>
      <c r="G1137">
        <v>160</v>
      </c>
    </row>
    <row r="1138" spans="1:7" x14ac:dyDescent="0.25">
      <c r="A1138">
        <v>18095</v>
      </c>
      <c r="B1138" t="s">
        <v>53</v>
      </c>
      <c r="C1138">
        <v>8</v>
      </c>
      <c r="D1138" s="3">
        <f>in_parking_demand_data_ver1!D1138*calibration!$I$31</f>
        <v>37.350970149683448</v>
      </c>
      <c r="E1138" s="3">
        <f>in_parking_demand_data_ver1!E1138*calibration!$I$31</f>
        <v>11.850863368479773</v>
      </c>
      <c r="F1138" s="3">
        <f t="shared" si="17"/>
        <v>49.20183351816322</v>
      </c>
      <c r="G1138">
        <v>160</v>
      </c>
    </row>
    <row r="1139" spans="1:7" x14ac:dyDescent="0.25">
      <c r="A1139">
        <v>18095</v>
      </c>
      <c r="B1139" t="s">
        <v>53</v>
      </c>
      <c r="C1139">
        <v>9</v>
      </c>
      <c r="D1139" s="3">
        <f>in_parking_demand_data_ver1!D1139*calibration!$I$31</f>
        <v>36.313443201081078</v>
      </c>
      <c r="E1139" s="3">
        <f>in_parking_demand_data_ver1!E1139*calibration!$I$31</f>
        <v>10.974729500771176</v>
      </c>
      <c r="F1139" s="3">
        <f t="shared" si="17"/>
        <v>47.288172701852254</v>
      </c>
      <c r="G1139">
        <v>160</v>
      </c>
    </row>
    <row r="1140" spans="1:7" x14ac:dyDescent="0.25">
      <c r="A1140">
        <v>18095</v>
      </c>
      <c r="B1140" t="s">
        <v>53</v>
      </c>
      <c r="C1140">
        <v>10</v>
      </c>
      <c r="D1140" s="3">
        <f>in_parking_demand_data_ver1!D1140*calibration!$I$31</f>
        <v>36.082881656947222</v>
      </c>
      <c r="E1140" s="3">
        <f>in_parking_demand_data_ver1!E1140*calibration!$I$31</f>
        <v>11.57418951551916</v>
      </c>
      <c r="F1140" s="3">
        <f t="shared" si="17"/>
        <v>47.657071172466381</v>
      </c>
      <c r="G1140">
        <v>160</v>
      </c>
    </row>
    <row r="1141" spans="1:7" x14ac:dyDescent="0.25">
      <c r="A1141">
        <v>18095</v>
      </c>
      <c r="B1141" t="s">
        <v>53</v>
      </c>
      <c r="C1141">
        <v>11</v>
      </c>
      <c r="D1141" s="3">
        <f>in_parking_demand_data_ver1!D1141*calibration!$I$31</f>
        <v>37.489307076163712</v>
      </c>
      <c r="E1141" s="3">
        <f>in_parking_demand_data_ver1!E1141*calibration!$I$31</f>
        <v>10.605831030156965</v>
      </c>
      <c r="F1141" s="3">
        <f t="shared" si="17"/>
        <v>48.095138106320675</v>
      </c>
      <c r="G1141">
        <v>160</v>
      </c>
    </row>
    <row r="1142" spans="1:7" x14ac:dyDescent="0.25">
      <c r="A1142">
        <v>18095</v>
      </c>
      <c r="B1142" t="s">
        <v>53</v>
      </c>
      <c r="C1142">
        <v>12</v>
      </c>
      <c r="D1142" s="3">
        <f>in_parking_demand_data_ver1!D1142*calibration!$I$31</f>
        <v>37.443194767336962</v>
      </c>
      <c r="E1142" s="3">
        <f>in_parking_demand_data_ver1!E1142*calibration!$I$31</f>
        <v>9.0380125300467853</v>
      </c>
      <c r="F1142" s="3">
        <f t="shared" si="17"/>
        <v>46.481207297383747</v>
      </c>
      <c r="G1142">
        <v>160</v>
      </c>
    </row>
    <row r="1143" spans="1:7" x14ac:dyDescent="0.25">
      <c r="A1143">
        <v>18095</v>
      </c>
      <c r="B1143" t="s">
        <v>53</v>
      </c>
      <c r="C1143">
        <v>13</v>
      </c>
      <c r="D1143" s="3">
        <f>in_parking_demand_data_ver1!D1143*calibration!$I$31</f>
        <v>38.503777870352664</v>
      </c>
      <c r="E1143" s="3">
        <f>in_parking_demand_data_ver1!E1143*calibration!$I$31</f>
        <v>7.3779694122831465</v>
      </c>
      <c r="F1143" s="3">
        <f t="shared" si="17"/>
        <v>45.881747282635814</v>
      </c>
      <c r="G1143">
        <v>160</v>
      </c>
    </row>
    <row r="1144" spans="1:7" x14ac:dyDescent="0.25">
      <c r="A1144">
        <v>18095</v>
      </c>
      <c r="B1144" t="s">
        <v>53</v>
      </c>
      <c r="C1144">
        <v>14</v>
      </c>
      <c r="D1144" s="3">
        <f>in_parking_demand_data_ver1!D1144*calibration!$I$31</f>
        <v>41.846920260293466</v>
      </c>
      <c r="E1144" s="3">
        <f>in_parking_demand_data_ver1!E1144*calibration!$I$31</f>
        <v>5.1184662797714369</v>
      </c>
      <c r="F1144" s="3">
        <f t="shared" si="17"/>
        <v>46.965386540064905</v>
      </c>
      <c r="G1144">
        <v>160</v>
      </c>
    </row>
    <row r="1145" spans="1:7" x14ac:dyDescent="0.25">
      <c r="A1145">
        <v>18095</v>
      </c>
      <c r="B1145" t="s">
        <v>53</v>
      </c>
      <c r="C1145">
        <v>15</v>
      </c>
      <c r="D1145" s="3">
        <f>in_parking_demand_data_ver1!D1145*calibration!$I$31</f>
        <v>43.530019532470575</v>
      </c>
      <c r="E1145" s="3">
        <f>in_parking_demand_data_ver1!E1145*calibration!$I$31</f>
        <v>3.6428723973148007</v>
      </c>
      <c r="F1145" s="3">
        <f t="shared" si="17"/>
        <v>47.172891929785379</v>
      </c>
      <c r="G1145">
        <v>160</v>
      </c>
    </row>
    <row r="1146" spans="1:7" x14ac:dyDescent="0.25">
      <c r="A1146">
        <v>18095</v>
      </c>
      <c r="B1146" t="s">
        <v>53</v>
      </c>
      <c r="C1146">
        <v>16</v>
      </c>
      <c r="D1146" s="3">
        <f>in_parking_demand_data_ver1!D1146*calibration!$I$31</f>
        <v>43.668356458950839</v>
      </c>
      <c r="E1146" s="3">
        <f>in_parking_demand_data_ver1!E1146*calibration!$I$31</f>
        <v>3.0895246913935623</v>
      </c>
      <c r="F1146" s="3">
        <f t="shared" si="17"/>
        <v>46.757881150344403</v>
      </c>
      <c r="G1146">
        <v>160</v>
      </c>
    </row>
    <row r="1147" spans="1:7" x14ac:dyDescent="0.25">
      <c r="A1147">
        <v>18095</v>
      </c>
      <c r="B1147" t="s">
        <v>53</v>
      </c>
      <c r="C1147">
        <v>17</v>
      </c>
      <c r="D1147" s="3">
        <f>in_parking_demand_data_ver1!D1147*calibration!$I$31</f>
        <v>53.190548231678854</v>
      </c>
      <c r="E1147" s="3">
        <f>in_parking_demand_data_ver1!E1147*calibration!$I$31</f>
        <v>3.3200862355274139</v>
      </c>
      <c r="F1147" s="3">
        <f t="shared" si="17"/>
        <v>56.510634467206266</v>
      </c>
      <c r="G1147">
        <v>160</v>
      </c>
    </row>
    <row r="1148" spans="1:7" x14ac:dyDescent="0.25">
      <c r="A1148">
        <v>18095</v>
      </c>
      <c r="B1148" t="s">
        <v>53</v>
      </c>
      <c r="C1148">
        <v>18</v>
      </c>
      <c r="D1148" s="3">
        <f>in_parking_demand_data_ver1!D1148*calibration!$I$31</f>
        <v>55.035040584749638</v>
      </c>
      <c r="E1148" s="3">
        <f>in_parking_demand_data_ver1!E1148*calibration!$I$31</f>
        <v>3.366198544354186</v>
      </c>
      <c r="F1148" s="3">
        <f t="shared" si="17"/>
        <v>58.401239129103821</v>
      </c>
      <c r="G1148">
        <v>160</v>
      </c>
    </row>
    <row r="1149" spans="1:7" x14ac:dyDescent="0.25">
      <c r="A1149">
        <v>18095</v>
      </c>
      <c r="B1149" t="s">
        <v>53</v>
      </c>
      <c r="C1149">
        <v>19</v>
      </c>
      <c r="D1149" s="3">
        <f>in_parking_demand_data_ver1!D1149*calibration!$I$31</f>
        <v>56.718139856926662</v>
      </c>
      <c r="E1149" s="3">
        <f>in_parking_demand_data_ver1!E1149*calibration!$I$31</f>
        <v>3.0895246913935623</v>
      </c>
      <c r="F1149" s="3">
        <f t="shared" si="17"/>
        <v>59.807664548320226</v>
      </c>
      <c r="G1149">
        <v>160</v>
      </c>
    </row>
    <row r="1150" spans="1:7" x14ac:dyDescent="0.25">
      <c r="A1150">
        <v>18095</v>
      </c>
      <c r="B1150" t="s">
        <v>53</v>
      </c>
      <c r="C1150">
        <v>20</v>
      </c>
      <c r="D1150" s="3">
        <f>in_parking_demand_data_ver1!D1150*calibration!$I$31</f>
        <v>58.539576055584135</v>
      </c>
      <c r="E1150" s="3">
        <f>in_parking_demand_data_ver1!E1150*calibration!$I$31</f>
        <v>3.8503777870352662</v>
      </c>
      <c r="F1150" s="3">
        <f t="shared" si="17"/>
        <v>62.389953842619398</v>
      </c>
      <c r="G1150">
        <v>160</v>
      </c>
    </row>
    <row r="1151" spans="1:7" x14ac:dyDescent="0.25">
      <c r="A1151">
        <v>18095</v>
      </c>
      <c r="B1151" t="s">
        <v>53</v>
      </c>
      <c r="C1151">
        <v>21</v>
      </c>
      <c r="D1151" s="3">
        <f>in_parking_demand_data_ver1!D1151*calibration!$I$31</f>
        <v>60.337956099828084</v>
      </c>
      <c r="E1151" s="3">
        <f>in_parking_demand_data_ver1!E1151*calibration!$I$31</f>
        <v>4.7265116547438915</v>
      </c>
      <c r="F1151" s="3">
        <f t="shared" si="17"/>
        <v>65.064467754571979</v>
      </c>
      <c r="G1151">
        <v>160</v>
      </c>
    </row>
    <row r="1152" spans="1:7" x14ac:dyDescent="0.25">
      <c r="A1152">
        <v>18095</v>
      </c>
      <c r="B1152" t="s">
        <v>53</v>
      </c>
      <c r="C1152">
        <v>22</v>
      </c>
      <c r="D1152" s="3">
        <f>in_parking_demand_data_ver1!D1152*calibration!$I$31</f>
        <v>61.006584577816326</v>
      </c>
      <c r="E1152" s="3">
        <f>in_parking_demand_data_ver1!E1152*calibration!$I$31</f>
        <v>5.6948701401060529</v>
      </c>
      <c r="F1152" s="3">
        <f t="shared" si="17"/>
        <v>66.701454717922374</v>
      </c>
      <c r="G1152">
        <v>160</v>
      </c>
    </row>
    <row r="1153" spans="1:7" x14ac:dyDescent="0.25">
      <c r="A1153">
        <v>18095</v>
      </c>
      <c r="B1153" t="s">
        <v>53</v>
      </c>
      <c r="C1153">
        <v>23</v>
      </c>
      <c r="D1153" s="3">
        <f>in_parking_demand_data_ver1!D1153*calibration!$I$31</f>
        <v>61.121865349883173</v>
      </c>
      <c r="E1153" s="3">
        <f>in_parking_demand_data_ver1!E1153*calibration!$I$31</f>
        <v>6.2712740004406777</v>
      </c>
      <c r="F1153" s="3">
        <f t="shared" si="17"/>
        <v>67.39313935032385</v>
      </c>
      <c r="G1153">
        <v>160</v>
      </c>
    </row>
    <row r="1154" spans="1:7" x14ac:dyDescent="0.25">
      <c r="A1154">
        <v>18097</v>
      </c>
      <c r="B1154" t="s">
        <v>54</v>
      </c>
      <c r="C1154">
        <v>0</v>
      </c>
      <c r="D1154" s="3">
        <f>in_parking_demand_data_ver1!D1154*calibration!$I$31</f>
        <v>219.29602567653728</v>
      </c>
      <c r="E1154" s="3">
        <f>in_parking_demand_data_ver1!E1154*calibration!$I$31</f>
        <v>36.442194079996213</v>
      </c>
      <c r="F1154" s="3">
        <f t="shared" si="17"/>
        <v>255.73821975653351</v>
      </c>
      <c r="G1154">
        <v>305</v>
      </c>
    </row>
    <row r="1155" spans="1:7" x14ac:dyDescent="0.25">
      <c r="A1155">
        <v>18097</v>
      </c>
      <c r="B1155" t="s">
        <v>54</v>
      </c>
      <c r="C1155">
        <v>1</v>
      </c>
      <c r="D1155" s="3">
        <f>in_parking_demand_data_ver1!D1155*calibration!$I$31</f>
        <v>218.05048210820206</v>
      </c>
      <c r="E1155" s="3">
        <f>in_parking_demand_data_ver1!E1155*calibration!$I$31</f>
        <v>39.977930661076357</v>
      </c>
      <c r="F1155" s="3">
        <f t="shared" ref="F1155:F1218" si="18">SUM(D1155:E1155)</f>
        <v>258.02841276927842</v>
      </c>
      <c r="G1155">
        <v>305</v>
      </c>
    </row>
    <row r="1156" spans="1:7" x14ac:dyDescent="0.25">
      <c r="A1156">
        <v>18097</v>
      </c>
      <c r="B1156" t="s">
        <v>54</v>
      </c>
      <c r="C1156">
        <v>2</v>
      </c>
      <c r="D1156" s="3">
        <f>in_parking_demand_data_ver1!D1156*calibration!$I$31</f>
        <v>217.92994563384727</v>
      </c>
      <c r="E1156" s="3">
        <f>in_parking_demand_data_ver1!E1156*calibration!$I$31</f>
        <v>36.723445853491235</v>
      </c>
      <c r="F1156" s="3">
        <f t="shared" si="18"/>
        <v>254.6533914873385</v>
      </c>
      <c r="G1156">
        <v>305</v>
      </c>
    </row>
    <row r="1157" spans="1:7" x14ac:dyDescent="0.25">
      <c r="A1157">
        <v>18097</v>
      </c>
      <c r="B1157" t="s">
        <v>54</v>
      </c>
      <c r="C1157">
        <v>3</v>
      </c>
      <c r="D1157" s="3">
        <f>in_parking_demand_data_ver1!D1157*calibration!$I$31</f>
        <v>216.24243499287755</v>
      </c>
      <c r="E1157" s="3">
        <f>in_parking_demand_data_ver1!E1157*calibration!$I$31</f>
        <v>36.522551729566281</v>
      </c>
      <c r="F1157" s="3">
        <f t="shared" si="18"/>
        <v>252.76498672244384</v>
      </c>
      <c r="G1157">
        <v>305</v>
      </c>
    </row>
    <row r="1158" spans="1:7" x14ac:dyDescent="0.25">
      <c r="A1158">
        <v>18097</v>
      </c>
      <c r="B1158" t="s">
        <v>54</v>
      </c>
      <c r="C1158">
        <v>4</v>
      </c>
      <c r="D1158" s="3">
        <f>in_parking_demand_data_ver1!D1158*calibration!$I$31</f>
        <v>210.89865129647234</v>
      </c>
      <c r="E1158" s="3">
        <f>in_parking_demand_data_ver1!E1158*calibration!$I$31</f>
        <v>37.125234101341299</v>
      </c>
      <c r="F1158" s="3">
        <f t="shared" si="18"/>
        <v>248.02388539781364</v>
      </c>
      <c r="G1158">
        <v>305</v>
      </c>
    </row>
    <row r="1159" spans="1:7" x14ac:dyDescent="0.25">
      <c r="A1159">
        <v>18097</v>
      </c>
      <c r="B1159" t="s">
        <v>54</v>
      </c>
      <c r="C1159">
        <v>5</v>
      </c>
      <c r="D1159" s="3">
        <f>in_parking_demand_data_ver1!D1159*calibration!$I$31</f>
        <v>206.07719232227183</v>
      </c>
      <c r="E1159" s="3">
        <f>in_parking_demand_data_ver1!E1159*calibration!$I$31</f>
        <v>38.852923567096376</v>
      </c>
      <c r="F1159" s="3">
        <f t="shared" si="18"/>
        <v>244.93011588936821</v>
      </c>
      <c r="G1159">
        <v>305</v>
      </c>
    </row>
    <row r="1160" spans="1:7" x14ac:dyDescent="0.25">
      <c r="A1160">
        <v>18097</v>
      </c>
      <c r="B1160" t="s">
        <v>54</v>
      </c>
      <c r="C1160">
        <v>6</v>
      </c>
      <c r="D1160" s="3">
        <f>in_parking_demand_data_ver1!D1160*calibration!$I$31</f>
        <v>218.77370095433258</v>
      </c>
      <c r="E1160" s="3">
        <f>in_parking_demand_data_ver1!E1160*calibration!$I$31</f>
        <v>43.91545549000648</v>
      </c>
      <c r="F1160" s="3">
        <f t="shared" si="18"/>
        <v>262.68915644433906</v>
      </c>
      <c r="G1160">
        <v>305</v>
      </c>
    </row>
    <row r="1161" spans="1:7" x14ac:dyDescent="0.25">
      <c r="A1161">
        <v>18097</v>
      </c>
      <c r="B1161" t="s">
        <v>54</v>
      </c>
      <c r="C1161">
        <v>7</v>
      </c>
      <c r="D1161" s="3">
        <f>in_parking_demand_data_ver1!D1161*calibration!$I$31</f>
        <v>229.13983774886239</v>
      </c>
      <c r="E1161" s="3">
        <f>in_parking_demand_data_ver1!E1161*calibration!$I$31</f>
        <v>59.504839506587111</v>
      </c>
      <c r="F1161" s="3">
        <f t="shared" si="18"/>
        <v>288.64467725544949</v>
      </c>
      <c r="G1161">
        <v>305</v>
      </c>
    </row>
    <row r="1162" spans="1:7" x14ac:dyDescent="0.25">
      <c r="A1162">
        <v>18097</v>
      </c>
      <c r="B1162" t="s">
        <v>54</v>
      </c>
      <c r="C1162">
        <v>8</v>
      </c>
      <c r="D1162" s="3">
        <f>in_parking_demand_data_ver1!D1162*calibration!$I$31</f>
        <v>136.6883619185744</v>
      </c>
      <c r="E1162" s="3">
        <f>in_parking_demand_data_ver1!E1162*calibration!$I$31</f>
        <v>81.321941364842885</v>
      </c>
      <c r="F1162" s="3">
        <f t="shared" si="18"/>
        <v>218.01030328341727</v>
      </c>
      <c r="G1162">
        <v>305</v>
      </c>
    </row>
    <row r="1163" spans="1:7" x14ac:dyDescent="0.25">
      <c r="A1163">
        <v>18097</v>
      </c>
      <c r="B1163" t="s">
        <v>54</v>
      </c>
      <c r="C1163">
        <v>9</v>
      </c>
      <c r="D1163" s="3">
        <f>in_parking_demand_data_ver1!D1163*calibration!$I$31</f>
        <v>111.85784820144396</v>
      </c>
      <c r="E1163" s="3">
        <f>in_parking_demand_data_ver1!E1163*calibration!$I$31</f>
        <v>94.701490018247952</v>
      </c>
      <c r="F1163" s="3">
        <f t="shared" si="18"/>
        <v>206.55933821969191</v>
      </c>
      <c r="G1163">
        <v>305</v>
      </c>
    </row>
    <row r="1164" spans="1:7" x14ac:dyDescent="0.25">
      <c r="A1164">
        <v>18097</v>
      </c>
      <c r="B1164" t="s">
        <v>54</v>
      </c>
      <c r="C1164">
        <v>10</v>
      </c>
      <c r="D1164" s="3">
        <f>in_parking_demand_data_ver1!D1164*calibration!$I$31</f>
        <v>109.76854931262345</v>
      </c>
      <c r="E1164" s="3">
        <f>in_parking_demand_data_ver1!E1164*calibration!$I$31</f>
        <v>93.697019398623198</v>
      </c>
      <c r="F1164" s="3">
        <f t="shared" si="18"/>
        <v>203.46556871124665</v>
      </c>
      <c r="G1164">
        <v>305</v>
      </c>
    </row>
    <row r="1165" spans="1:7" x14ac:dyDescent="0.25">
      <c r="A1165">
        <v>18097</v>
      </c>
      <c r="B1165" t="s">
        <v>54</v>
      </c>
      <c r="C1165">
        <v>11</v>
      </c>
      <c r="D1165" s="3">
        <f>in_parking_demand_data_ver1!D1165*calibration!$I$31</f>
        <v>117.00073777392335</v>
      </c>
      <c r="E1165" s="3">
        <f>in_parking_demand_data_ver1!E1165*calibration!$I$31</f>
        <v>94.621132368677792</v>
      </c>
      <c r="F1165" s="3">
        <f t="shared" si="18"/>
        <v>211.62187014260115</v>
      </c>
      <c r="G1165">
        <v>305</v>
      </c>
    </row>
    <row r="1166" spans="1:7" x14ac:dyDescent="0.25">
      <c r="A1166">
        <v>18097</v>
      </c>
      <c r="B1166" t="s">
        <v>54</v>
      </c>
      <c r="C1166">
        <v>12</v>
      </c>
      <c r="D1166" s="3">
        <f>in_parking_demand_data_ver1!D1166*calibration!$I$31</f>
        <v>122.90702501731874</v>
      </c>
      <c r="E1166" s="3">
        <f>in_parking_demand_data_ver1!E1166*calibration!$I$31</f>
        <v>82.607663757962897</v>
      </c>
      <c r="F1166" s="3">
        <f t="shared" si="18"/>
        <v>205.51468877528163</v>
      </c>
      <c r="G1166">
        <v>305</v>
      </c>
    </row>
    <row r="1167" spans="1:7" x14ac:dyDescent="0.25">
      <c r="A1167">
        <v>18097</v>
      </c>
      <c r="B1167" t="s">
        <v>54</v>
      </c>
      <c r="C1167">
        <v>13</v>
      </c>
      <c r="D1167" s="3">
        <f>in_parking_demand_data_ver1!D1167*calibration!$I$31</f>
        <v>132.831194739214</v>
      </c>
      <c r="E1167" s="3">
        <f>in_parking_demand_data_ver1!E1167*calibration!$I$31</f>
        <v>70.473658672892441</v>
      </c>
      <c r="F1167" s="3">
        <f t="shared" si="18"/>
        <v>203.30485341210644</v>
      </c>
      <c r="G1167">
        <v>305</v>
      </c>
    </row>
    <row r="1168" spans="1:7" x14ac:dyDescent="0.25">
      <c r="A1168">
        <v>18097</v>
      </c>
      <c r="B1168" t="s">
        <v>54</v>
      </c>
      <c r="C1168">
        <v>14</v>
      </c>
      <c r="D1168" s="3">
        <f>in_parking_demand_data_ver1!D1168*calibration!$I$31</f>
        <v>150.87148706767996</v>
      </c>
      <c r="E1168" s="3">
        <f>in_parking_demand_data_ver1!E1168*calibration!$I$31</f>
        <v>57.616434741691975</v>
      </c>
      <c r="F1168" s="3">
        <f t="shared" si="18"/>
        <v>208.48792180937193</v>
      </c>
      <c r="G1168">
        <v>305</v>
      </c>
    </row>
    <row r="1169" spans="1:7" x14ac:dyDescent="0.25">
      <c r="A1169">
        <v>18097</v>
      </c>
      <c r="B1169" t="s">
        <v>54</v>
      </c>
      <c r="C1169">
        <v>15</v>
      </c>
      <c r="D1169" s="3">
        <f>in_parking_demand_data_ver1!D1169*calibration!$I$31</f>
        <v>174.29574191733576</v>
      </c>
      <c r="E1169" s="3">
        <f>in_parking_demand_data_ver1!E1169*calibration!$I$31</f>
        <v>47.169940297591602</v>
      </c>
      <c r="F1169" s="3">
        <f t="shared" si="18"/>
        <v>221.46568221492737</v>
      </c>
      <c r="G1169">
        <v>305</v>
      </c>
    </row>
    <row r="1170" spans="1:7" x14ac:dyDescent="0.25">
      <c r="A1170">
        <v>18097</v>
      </c>
      <c r="B1170" t="s">
        <v>54</v>
      </c>
      <c r="C1170">
        <v>16</v>
      </c>
      <c r="D1170" s="3">
        <f>in_parking_demand_data_ver1!D1170*calibration!$I$31</f>
        <v>183.33597749396105</v>
      </c>
      <c r="E1170" s="3">
        <f>in_parking_demand_data_ver1!E1170*calibration!$I$31</f>
        <v>40.982401280701446</v>
      </c>
      <c r="F1170" s="3">
        <f t="shared" si="18"/>
        <v>224.31837877466251</v>
      </c>
      <c r="G1170">
        <v>305</v>
      </c>
    </row>
    <row r="1171" spans="1:7" x14ac:dyDescent="0.25">
      <c r="A1171">
        <v>18097</v>
      </c>
      <c r="B1171" t="s">
        <v>54</v>
      </c>
      <c r="C1171">
        <v>17</v>
      </c>
      <c r="D1171" s="3">
        <f>in_parking_demand_data_ver1!D1171*calibration!$I$31</f>
        <v>188.55922471601144</v>
      </c>
      <c r="E1171" s="3">
        <f>in_parking_demand_data_ver1!E1171*calibration!$I$31</f>
        <v>34.835041088596192</v>
      </c>
      <c r="F1171" s="3">
        <f t="shared" si="18"/>
        <v>223.39426580460764</v>
      </c>
      <c r="G1171">
        <v>305</v>
      </c>
    </row>
    <row r="1172" spans="1:7" x14ac:dyDescent="0.25">
      <c r="A1172">
        <v>18097</v>
      </c>
      <c r="B1172" t="s">
        <v>54</v>
      </c>
      <c r="C1172">
        <v>18</v>
      </c>
      <c r="D1172" s="3">
        <f>in_parking_demand_data_ver1!D1172*calibration!$I$31</f>
        <v>197.19767204478686</v>
      </c>
      <c r="E1172" s="3">
        <f>in_parking_demand_data_ver1!E1172*calibration!$I$31</f>
        <v>34.634146964671153</v>
      </c>
      <c r="F1172" s="3">
        <f t="shared" si="18"/>
        <v>231.831819009458</v>
      </c>
      <c r="G1172">
        <v>305</v>
      </c>
    </row>
    <row r="1173" spans="1:7" x14ac:dyDescent="0.25">
      <c r="A1173">
        <v>18097</v>
      </c>
      <c r="B1173" t="s">
        <v>54</v>
      </c>
      <c r="C1173">
        <v>19</v>
      </c>
      <c r="D1173" s="3">
        <f>in_parking_demand_data_ver1!D1173*calibration!$I$31</f>
        <v>204.38968168130211</v>
      </c>
      <c r="E1173" s="3">
        <f>in_parking_demand_data_ver1!E1173*calibration!$I$31</f>
        <v>32.906457498916154</v>
      </c>
      <c r="F1173" s="3">
        <f t="shared" si="18"/>
        <v>237.29613918021826</v>
      </c>
      <c r="G1173">
        <v>305</v>
      </c>
    </row>
    <row r="1174" spans="1:7" x14ac:dyDescent="0.25">
      <c r="A1174">
        <v>18097</v>
      </c>
      <c r="B1174" t="s">
        <v>54</v>
      </c>
      <c r="C1174">
        <v>20</v>
      </c>
      <c r="D1174" s="3">
        <f>in_parking_demand_data_ver1!D1174*calibration!$I$31</f>
        <v>211.01918777082713</v>
      </c>
      <c r="E1174" s="3">
        <f>in_parking_demand_data_ver1!E1174*calibration!$I$31</f>
        <v>34.111822242466197</v>
      </c>
      <c r="F1174" s="3">
        <f t="shared" si="18"/>
        <v>245.13101001329332</v>
      </c>
      <c r="G1174">
        <v>305</v>
      </c>
    </row>
    <row r="1175" spans="1:7" x14ac:dyDescent="0.25">
      <c r="A1175">
        <v>18097</v>
      </c>
      <c r="B1175" t="s">
        <v>54</v>
      </c>
      <c r="C1175">
        <v>21</v>
      </c>
      <c r="D1175" s="3">
        <f>in_parking_demand_data_ver1!D1175*calibration!$I$31</f>
        <v>218.3719127064827</v>
      </c>
      <c r="E1175" s="3">
        <f>in_parking_demand_data_ver1!E1175*calibration!$I$31</f>
        <v>36.884161152631279</v>
      </c>
      <c r="F1175" s="3">
        <f t="shared" si="18"/>
        <v>255.256073859114</v>
      </c>
      <c r="G1175">
        <v>305</v>
      </c>
    </row>
    <row r="1176" spans="1:7" x14ac:dyDescent="0.25">
      <c r="A1176">
        <v>18097</v>
      </c>
      <c r="B1176" t="s">
        <v>54</v>
      </c>
      <c r="C1176">
        <v>22</v>
      </c>
      <c r="D1176" s="3">
        <f>in_parking_demand_data_ver1!D1176*calibration!$I$31</f>
        <v>220.1397809970226</v>
      </c>
      <c r="E1176" s="3">
        <f>in_parking_demand_data_ver1!E1176*calibration!$I$31</f>
        <v>33.669855169831138</v>
      </c>
      <c r="F1176" s="3">
        <f t="shared" si="18"/>
        <v>253.80963616685375</v>
      </c>
      <c r="G1176">
        <v>305</v>
      </c>
    </row>
    <row r="1177" spans="1:7" x14ac:dyDescent="0.25">
      <c r="A1177">
        <v>18097</v>
      </c>
      <c r="B1177" t="s">
        <v>54</v>
      </c>
      <c r="C1177">
        <v>23</v>
      </c>
      <c r="D1177" s="3">
        <f>in_parking_demand_data_ver1!D1177*calibration!$I$31</f>
        <v>219.33620450132281</v>
      </c>
      <c r="E1177" s="3">
        <f>in_parking_demand_data_ver1!E1177*calibration!$I$31</f>
        <v>32.343953951926125</v>
      </c>
      <c r="F1177" s="3">
        <f t="shared" si="18"/>
        <v>251.68015845324894</v>
      </c>
      <c r="G1177">
        <v>305</v>
      </c>
    </row>
    <row r="1178" spans="1:7" x14ac:dyDescent="0.25">
      <c r="A1178">
        <v>18099</v>
      </c>
      <c r="B1178" t="s">
        <v>55</v>
      </c>
      <c r="C1178">
        <v>0</v>
      </c>
      <c r="D1178" s="3">
        <f>in_parking_demand_data_ver1!D1178*calibration!$I$31</f>
        <v>128.15796397492872</v>
      </c>
      <c r="E1178" s="3">
        <f>in_parking_demand_data_ver1!E1178*calibration!$I$31</f>
        <v>12.083900826904335</v>
      </c>
      <c r="F1178" s="3">
        <f t="shared" si="18"/>
        <v>140.24186480183306</v>
      </c>
      <c r="G1178">
        <v>199</v>
      </c>
    </row>
    <row r="1179" spans="1:7" x14ac:dyDescent="0.25">
      <c r="A1179">
        <v>18099</v>
      </c>
      <c r="B1179" t="s">
        <v>55</v>
      </c>
      <c r="C1179">
        <v>1</v>
      </c>
      <c r="D1179" s="3">
        <f>in_parking_demand_data_ver1!D1179*calibration!$I$31</f>
        <v>127.77676836524695</v>
      </c>
      <c r="E1179" s="3">
        <f>in_parking_demand_data_ver1!E1179*calibration!$I$31</f>
        <v>13.189368094980816</v>
      </c>
      <c r="F1179" s="3">
        <f t="shared" si="18"/>
        <v>140.96613646022777</v>
      </c>
      <c r="G1179">
        <v>199</v>
      </c>
    </row>
    <row r="1180" spans="1:7" x14ac:dyDescent="0.25">
      <c r="A1180">
        <v>18099</v>
      </c>
      <c r="B1180" t="s">
        <v>55</v>
      </c>
      <c r="C1180">
        <v>2</v>
      </c>
      <c r="D1180" s="3">
        <f>in_parking_demand_data_ver1!D1180*calibration!$I$31</f>
        <v>128.27232265783363</v>
      </c>
      <c r="E1180" s="3">
        <f>in_parking_demand_data_ver1!E1180*calibration!$I$31</f>
        <v>13.379965899821519</v>
      </c>
      <c r="F1180" s="3">
        <f t="shared" si="18"/>
        <v>141.65228855765514</v>
      </c>
      <c r="G1180">
        <v>199</v>
      </c>
    </row>
    <row r="1181" spans="1:7" x14ac:dyDescent="0.25">
      <c r="A1181">
        <v>18099</v>
      </c>
      <c r="B1181" t="s">
        <v>55</v>
      </c>
      <c r="C1181">
        <v>3</v>
      </c>
      <c r="D1181" s="3">
        <f>in_parking_demand_data_ver1!D1181*calibration!$I$31</f>
        <v>125.22275778038136</v>
      </c>
      <c r="E1181" s="3">
        <f>in_parking_demand_data_ver1!E1181*calibration!$I$31</f>
        <v>13.113128973044464</v>
      </c>
      <c r="F1181" s="3">
        <f t="shared" si="18"/>
        <v>138.33588675342583</v>
      </c>
      <c r="G1181">
        <v>199</v>
      </c>
    </row>
    <row r="1182" spans="1:7" x14ac:dyDescent="0.25">
      <c r="A1182">
        <v>18099</v>
      </c>
      <c r="B1182" t="s">
        <v>55</v>
      </c>
      <c r="C1182">
        <v>4</v>
      </c>
      <c r="D1182" s="3">
        <f>in_parking_demand_data_ver1!D1182*calibration!$I$31</f>
        <v>119.73354100096671</v>
      </c>
      <c r="E1182" s="3">
        <f>in_parking_demand_data_ver1!E1182*calibration!$I$31</f>
        <v>13.875520192407539</v>
      </c>
      <c r="F1182" s="3">
        <f t="shared" si="18"/>
        <v>133.60906119337426</v>
      </c>
      <c r="G1182">
        <v>199</v>
      </c>
    </row>
    <row r="1183" spans="1:7" x14ac:dyDescent="0.25">
      <c r="A1183">
        <v>18099</v>
      </c>
      <c r="B1183" t="s">
        <v>55</v>
      </c>
      <c r="C1183">
        <v>5</v>
      </c>
      <c r="D1183" s="3">
        <f>in_parking_demand_data_ver1!D1183*calibration!$I$31</f>
        <v>111.8046723195914</v>
      </c>
      <c r="E1183" s="3">
        <f>in_parking_demand_data_ver1!E1183*calibration!$I$31</f>
        <v>16.734487265018963</v>
      </c>
      <c r="F1183" s="3">
        <f t="shared" si="18"/>
        <v>128.53915958461036</v>
      </c>
      <c r="G1183">
        <v>199</v>
      </c>
    </row>
    <row r="1184" spans="1:7" x14ac:dyDescent="0.25">
      <c r="A1184">
        <v>18099</v>
      </c>
      <c r="B1184" t="s">
        <v>55</v>
      </c>
      <c r="C1184">
        <v>6</v>
      </c>
      <c r="D1184" s="3">
        <f>in_parking_demand_data_ver1!D1184*calibration!$I$31</f>
        <v>102.8084559311072</v>
      </c>
      <c r="E1184" s="3">
        <f>in_parking_demand_data_ver1!E1184*calibration!$I$31</f>
        <v>13.151248534012639</v>
      </c>
      <c r="F1184" s="3">
        <f t="shared" si="18"/>
        <v>115.95970446511984</v>
      </c>
      <c r="G1184">
        <v>199</v>
      </c>
    </row>
    <row r="1185" spans="1:7" x14ac:dyDescent="0.25">
      <c r="A1185">
        <v>18099</v>
      </c>
      <c r="B1185" t="s">
        <v>55</v>
      </c>
      <c r="C1185">
        <v>7</v>
      </c>
      <c r="D1185" s="3">
        <f>in_parking_demand_data_ver1!D1185*calibration!$I$31</f>
        <v>89.657207397094894</v>
      </c>
      <c r="E1185" s="3">
        <f>in_parking_demand_data_ver1!E1185*calibration!$I$31</f>
        <v>5.8704123890955078</v>
      </c>
      <c r="F1185" s="3">
        <f t="shared" si="18"/>
        <v>95.5276197861904</v>
      </c>
      <c r="G1185">
        <v>199</v>
      </c>
    </row>
    <row r="1186" spans="1:7" x14ac:dyDescent="0.25">
      <c r="A1186">
        <v>18099</v>
      </c>
      <c r="B1186" t="s">
        <v>55</v>
      </c>
      <c r="C1186">
        <v>8</v>
      </c>
      <c r="D1186" s="3">
        <f>in_parking_demand_data_ver1!D1186*calibration!$I$31</f>
        <v>69.415720523005959</v>
      </c>
      <c r="E1186" s="3">
        <f>in_parking_demand_data_ver1!E1186*calibration!$I$31</f>
        <v>5.0699016087643001</v>
      </c>
      <c r="F1186" s="3">
        <f t="shared" si="18"/>
        <v>74.485622131770256</v>
      </c>
      <c r="G1186">
        <v>199</v>
      </c>
    </row>
    <row r="1187" spans="1:7" x14ac:dyDescent="0.25">
      <c r="A1187">
        <v>18099</v>
      </c>
      <c r="B1187" t="s">
        <v>55</v>
      </c>
      <c r="C1187">
        <v>9</v>
      </c>
      <c r="D1187" s="3">
        <f>in_parking_demand_data_ver1!D1187*calibration!$I$31</f>
        <v>58.513526086114275</v>
      </c>
      <c r="E1187" s="3">
        <f>in_parking_demand_data_ver1!E1187*calibration!$I$31</f>
        <v>5.7941732671592003</v>
      </c>
      <c r="F1187" s="3">
        <f t="shared" si="18"/>
        <v>64.307699353273478</v>
      </c>
      <c r="G1187">
        <v>199</v>
      </c>
    </row>
    <row r="1188" spans="1:7" x14ac:dyDescent="0.25">
      <c r="A1188">
        <v>18099</v>
      </c>
      <c r="B1188" t="s">
        <v>55</v>
      </c>
      <c r="C1188">
        <v>10</v>
      </c>
      <c r="D1188" s="3">
        <f>in_parking_demand_data_ver1!D1188*calibration!$I$31</f>
        <v>56.912504525451865</v>
      </c>
      <c r="E1188" s="3">
        <f>in_parking_demand_data_ver1!E1188*calibration!$I$31</f>
        <v>8.3481838520254286</v>
      </c>
      <c r="F1188" s="3">
        <f t="shared" si="18"/>
        <v>65.260688377477294</v>
      </c>
      <c r="G1188">
        <v>199</v>
      </c>
    </row>
    <row r="1189" spans="1:7" x14ac:dyDescent="0.25">
      <c r="A1189">
        <v>18099</v>
      </c>
      <c r="B1189" t="s">
        <v>55</v>
      </c>
      <c r="C1189">
        <v>11</v>
      </c>
      <c r="D1189" s="3">
        <f>in_parking_demand_data_ver1!D1189*calibration!$I$31</f>
        <v>57.979852232560177</v>
      </c>
      <c r="E1189" s="3">
        <f>in_parking_demand_data_ver1!E1189*calibration!$I$31</f>
        <v>8.5006620958980097</v>
      </c>
      <c r="F1189" s="3">
        <f t="shared" si="18"/>
        <v>66.480514328458185</v>
      </c>
      <c r="G1189">
        <v>199</v>
      </c>
    </row>
    <row r="1190" spans="1:7" x14ac:dyDescent="0.25">
      <c r="A1190">
        <v>18099</v>
      </c>
      <c r="B1190" t="s">
        <v>55</v>
      </c>
      <c r="C1190">
        <v>12</v>
      </c>
      <c r="D1190" s="3">
        <f>in_parking_demand_data_ver1!D1190*calibration!$I$31</f>
        <v>57.63677618384677</v>
      </c>
      <c r="E1190" s="3">
        <f>in_parking_demand_data_ver1!E1190*calibration!$I$31</f>
        <v>7.5857926326623799</v>
      </c>
      <c r="F1190" s="3">
        <f t="shared" si="18"/>
        <v>65.222568816509153</v>
      </c>
      <c r="G1190">
        <v>199</v>
      </c>
    </row>
    <row r="1191" spans="1:7" x14ac:dyDescent="0.25">
      <c r="A1191">
        <v>18099</v>
      </c>
      <c r="B1191" t="s">
        <v>55</v>
      </c>
      <c r="C1191">
        <v>13</v>
      </c>
      <c r="D1191" s="3">
        <f>in_parking_demand_data_ver1!D1191*calibration!$I$31</f>
        <v>61.563090963566502</v>
      </c>
      <c r="E1191" s="3">
        <f>in_parking_demand_data_ver1!E1191*calibration!$I$31</f>
        <v>6.8234014132993215</v>
      </c>
      <c r="F1191" s="3">
        <f t="shared" si="18"/>
        <v>68.386492376865817</v>
      </c>
      <c r="G1191">
        <v>199</v>
      </c>
    </row>
    <row r="1192" spans="1:7" x14ac:dyDescent="0.25">
      <c r="A1192">
        <v>18099</v>
      </c>
      <c r="B1192" t="s">
        <v>55</v>
      </c>
      <c r="C1192">
        <v>14</v>
      </c>
      <c r="D1192" s="3">
        <f>in_parking_demand_data_ver1!D1192*calibration!$I$31</f>
        <v>62.249243060993301</v>
      </c>
      <c r="E1192" s="3">
        <f>in_parking_demand_data_ver1!E1192*calibration!$I$31</f>
        <v>8.0432273642802077</v>
      </c>
      <c r="F1192" s="3">
        <f t="shared" si="18"/>
        <v>70.292470425273507</v>
      </c>
      <c r="G1192">
        <v>199</v>
      </c>
    </row>
    <row r="1193" spans="1:7" x14ac:dyDescent="0.25">
      <c r="A1193">
        <v>18099</v>
      </c>
      <c r="B1193" t="s">
        <v>55</v>
      </c>
      <c r="C1193">
        <v>15</v>
      </c>
      <c r="D1193" s="3">
        <f>in_parking_demand_data_ver1!D1193*calibration!$I$31</f>
        <v>69.034524913324461</v>
      </c>
      <c r="E1193" s="3">
        <f>in_parking_demand_data_ver1!E1193*calibration!$I$31</f>
        <v>10.25416190043304</v>
      </c>
      <c r="F1193" s="3">
        <f t="shared" si="18"/>
        <v>79.288686813757494</v>
      </c>
      <c r="G1193">
        <v>199</v>
      </c>
    </row>
    <row r="1194" spans="1:7" x14ac:dyDescent="0.25">
      <c r="A1194">
        <v>18099</v>
      </c>
      <c r="B1194" t="s">
        <v>55</v>
      </c>
      <c r="C1194">
        <v>16</v>
      </c>
      <c r="D1194" s="3">
        <f>in_parking_demand_data_ver1!D1194*calibration!$I$31</f>
        <v>78.526295594394426</v>
      </c>
      <c r="E1194" s="3">
        <f>in_parking_demand_data_ver1!E1194*calibration!$I$31</f>
        <v>11.435868290445784</v>
      </c>
      <c r="F1194" s="3">
        <f t="shared" si="18"/>
        <v>89.962163884840209</v>
      </c>
      <c r="G1194">
        <v>199</v>
      </c>
    </row>
    <row r="1195" spans="1:7" x14ac:dyDescent="0.25">
      <c r="A1195">
        <v>18099</v>
      </c>
      <c r="B1195" t="s">
        <v>55</v>
      </c>
      <c r="C1195">
        <v>17</v>
      </c>
      <c r="D1195" s="3">
        <f>in_parking_demand_data_ver1!D1195*calibration!$I$31</f>
        <v>89.1997726654768</v>
      </c>
      <c r="E1195" s="3">
        <f>in_parking_demand_data_ver1!E1195*calibration!$I$31</f>
        <v>11.931422583031718</v>
      </c>
      <c r="F1195" s="3">
        <f t="shared" si="18"/>
        <v>101.13119524850852</v>
      </c>
      <c r="G1195">
        <v>199</v>
      </c>
    </row>
    <row r="1196" spans="1:7" x14ac:dyDescent="0.25">
      <c r="A1196">
        <v>18099</v>
      </c>
      <c r="B1196" t="s">
        <v>55</v>
      </c>
      <c r="C1196">
        <v>18</v>
      </c>
      <c r="D1196" s="3">
        <f>in_parking_demand_data_ver1!D1196*calibration!$I$31</f>
        <v>97.547956517502442</v>
      </c>
      <c r="E1196" s="3">
        <f>in_parking_demand_data_ver1!E1196*calibration!$I$31</f>
        <v>11.588346534318401</v>
      </c>
      <c r="F1196" s="3">
        <f t="shared" si="18"/>
        <v>109.13630305182085</v>
      </c>
      <c r="G1196">
        <v>199</v>
      </c>
    </row>
    <row r="1197" spans="1:7" x14ac:dyDescent="0.25">
      <c r="A1197">
        <v>18099</v>
      </c>
      <c r="B1197" t="s">
        <v>55</v>
      </c>
      <c r="C1197">
        <v>19</v>
      </c>
      <c r="D1197" s="3">
        <f>in_parking_demand_data_ver1!D1197*calibration!$I$31</f>
        <v>108.67886832020274</v>
      </c>
      <c r="E1197" s="3">
        <f>in_parking_demand_data_ver1!E1197*calibration!$I$31</f>
        <v>10.940313997859764</v>
      </c>
      <c r="F1197" s="3">
        <f t="shared" si="18"/>
        <v>119.6191823180625</v>
      </c>
      <c r="G1197">
        <v>199</v>
      </c>
    </row>
    <row r="1198" spans="1:7" x14ac:dyDescent="0.25">
      <c r="A1198">
        <v>18099</v>
      </c>
      <c r="B1198" t="s">
        <v>55</v>
      </c>
      <c r="C1198">
        <v>20</v>
      </c>
      <c r="D1198" s="3">
        <f>in_parking_demand_data_ver1!D1198*calibration!$I$31</f>
        <v>117.67508470868695</v>
      </c>
      <c r="E1198" s="3">
        <f>in_parking_demand_data_ver1!E1198*calibration!$I$31</f>
        <v>10.635357510114535</v>
      </c>
      <c r="F1198" s="3">
        <f t="shared" si="18"/>
        <v>128.31044221880148</v>
      </c>
      <c r="G1198">
        <v>199</v>
      </c>
    </row>
    <row r="1199" spans="1:7" x14ac:dyDescent="0.25">
      <c r="A1199">
        <v>18099</v>
      </c>
      <c r="B1199" t="s">
        <v>55</v>
      </c>
      <c r="C1199">
        <v>21</v>
      </c>
      <c r="D1199" s="3">
        <f>in_parking_demand_data_ver1!D1199*calibration!$I$31</f>
        <v>121.8301168542159</v>
      </c>
      <c r="E1199" s="3">
        <f>in_parking_demand_data_ver1!E1199*calibration!$I$31</f>
        <v>10.635357510114535</v>
      </c>
      <c r="F1199" s="3">
        <f t="shared" si="18"/>
        <v>132.46547436433045</v>
      </c>
      <c r="G1199">
        <v>199</v>
      </c>
    </row>
    <row r="1200" spans="1:7" x14ac:dyDescent="0.25">
      <c r="A1200">
        <v>18099</v>
      </c>
      <c r="B1200" t="s">
        <v>55</v>
      </c>
      <c r="C1200">
        <v>22</v>
      </c>
      <c r="D1200" s="3">
        <f>in_parking_demand_data_ver1!D1200*calibration!$I$31</f>
        <v>125.22275778038136</v>
      </c>
      <c r="E1200" s="3">
        <f>in_parking_demand_data_ver1!E1200*calibration!$I$31</f>
        <v>10.940313997859764</v>
      </c>
      <c r="F1200" s="3">
        <f t="shared" si="18"/>
        <v>136.16307177824112</v>
      </c>
      <c r="G1200">
        <v>199</v>
      </c>
    </row>
    <row r="1201" spans="1:7" x14ac:dyDescent="0.25">
      <c r="A1201">
        <v>18099</v>
      </c>
      <c r="B1201" t="s">
        <v>55</v>
      </c>
      <c r="C1201">
        <v>23</v>
      </c>
      <c r="D1201" s="3">
        <f>in_parking_demand_data_ver1!D1201*calibration!$I$31</f>
        <v>127.77676836524695</v>
      </c>
      <c r="E1201" s="3">
        <f>in_parking_demand_data_ver1!E1201*calibration!$I$31</f>
        <v>11.435868290445784</v>
      </c>
      <c r="F1201" s="3">
        <f t="shared" si="18"/>
        <v>139.21263665569273</v>
      </c>
      <c r="G1201">
        <v>199</v>
      </c>
    </row>
    <row r="1202" spans="1:7" x14ac:dyDescent="0.25">
      <c r="A1202">
        <v>18101</v>
      </c>
      <c r="B1202" t="s">
        <v>56</v>
      </c>
      <c r="C1202">
        <v>0</v>
      </c>
      <c r="D1202" s="3">
        <f>in_parking_demand_data_ver1!D1202*calibration!$I$31</f>
        <v>0.9010677598645791</v>
      </c>
      <c r="E1202" s="3">
        <f>in_parking_demand_data_ver1!E1202*calibration!$I$31</f>
        <v>0.1638305017935609</v>
      </c>
      <c r="F1202" s="3">
        <f t="shared" si="18"/>
        <v>1.0648982616581399</v>
      </c>
      <c r="G1202">
        <v>6</v>
      </c>
    </row>
    <row r="1203" spans="1:7" x14ac:dyDescent="0.25">
      <c r="A1203">
        <v>18101</v>
      </c>
      <c r="B1203" t="s">
        <v>56</v>
      </c>
      <c r="C1203">
        <v>1</v>
      </c>
      <c r="D1203" s="3">
        <f>in_parking_demand_data_ver1!D1203*calibration!$I$31</f>
        <v>0.9010677598645791</v>
      </c>
      <c r="E1203" s="3">
        <f>in_parking_demand_data_ver1!E1203*calibration!$I$31</f>
        <v>0.1638305017935609</v>
      </c>
      <c r="F1203" s="3">
        <f t="shared" si="18"/>
        <v>1.0648982616581399</v>
      </c>
      <c r="G1203">
        <v>6</v>
      </c>
    </row>
    <row r="1204" spans="1:7" x14ac:dyDescent="0.25">
      <c r="A1204">
        <v>18101</v>
      </c>
      <c r="B1204" t="s">
        <v>56</v>
      </c>
      <c r="C1204">
        <v>2</v>
      </c>
      <c r="D1204" s="3">
        <f>in_parking_demand_data_ver1!D1204*calibration!$I$31</f>
        <v>0.9010677598645791</v>
      </c>
      <c r="E1204" s="3">
        <f>in_parking_demand_data_ver1!E1204*calibration!$I$31</f>
        <v>0.1638305017935609</v>
      </c>
      <c r="F1204" s="3">
        <f t="shared" si="18"/>
        <v>1.0648982616581399</v>
      </c>
      <c r="G1204">
        <v>6</v>
      </c>
    </row>
    <row r="1205" spans="1:7" x14ac:dyDescent="0.25">
      <c r="A1205">
        <v>18101</v>
      </c>
      <c r="B1205" t="s">
        <v>56</v>
      </c>
      <c r="C1205">
        <v>3</v>
      </c>
      <c r="D1205" s="3">
        <f>in_parking_demand_data_ver1!D1205*calibration!$I$31</f>
        <v>0.9010677598645791</v>
      </c>
      <c r="E1205" s="3">
        <f>in_parking_demand_data_ver1!E1205*calibration!$I$31</f>
        <v>0.1638305017935609</v>
      </c>
      <c r="F1205" s="3">
        <f t="shared" si="18"/>
        <v>1.0648982616581399</v>
      </c>
      <c r="G1205">
        <v>6</v>
      </c>
    </row>
    <row r="1206" spans="1:7" x14ac:dyDescent="0.25">
      <c r="A1206">
        <v>18101</v>
      </c>
      <c r="B1206" t="s">
        <v>56</v>
      </c>
      <c r="C1206">
        <v>4</v>
      </c>
      <c r="D1206" s="3">
        <f>in_parking_demand_data_ver1!D1206*calibration!$I$31</f>
        <v>1.1468135125549195</v>
      </c>
      <c r="E1206" s="3">
        <f>in_parking_demand_data_ver1!E1206*calibration!$I$31</f>
        <v>0.1638305017935609</v>
      </c>
      <c r="F1206" s="3">
        <f t="shared" si="18"/>
        <v>1.3106440143484803</v>
      </c>
      <c r="G1206">
        <v>6</v>
      </c>
    </row>
    <row r="1207" spans="1:7" x14ac:dyDescent="0.25">
      <c r="A1207">
        <v>18101</v>
      </c>
      <c r="B1207" t="s">
        <v>56</v>
      </c>
      <c r="C1207">
        <v>5</v>
      </c>
      <c r="D1207" s="3">
        <f>in_parking_demand_data_ver1!D1207*calibration!$I$31</f>
        <v>3.0308642831808776</v>
      </c>
      <c r="E1207" s="3">
        <f>in_parking_demand_data_ver1!E1207*calibration!$I$31</f>
        <v>0.1638305017935609</v>
      </c>
      <c r="F1207" s="3">
        <f t="shared" si="18"/>
        <v>3.1946947849744385</v>
      </c>
      <c r="G1207">
        <v>6</v>
      </c>
    </row>
    <row r="1208" spans="1:7" x14ac:dyDescent="0.25">
      <c r="A1208">
        <v>18101</v>
      </c>
      <c r="B1208" t="s">
        <v>56</v>
      </c>
      <c r="C1208">
        <v>6</v>
      </c>
      <c r="D1208" s="3">
        <f>in_parking_demand_data_ver1!D1208*calibration!$I$31</f>
        <v>3.4404405376647751</v>
      </c>
      <c r="E1208" s="3">
        <f>in_parking_demand_data_ver1!E1208*calibration!$I$31</f>
        <v>0.24574575269034135</v>
      </c>
      <c r="F1208" s="3">
        <f t="shared" si="18"/>
        <v>3.6861862903551166</v>
      </c>
      <c r="G1208">
        <v>6</v>
      </c>
    </row>
    <row r="1209" spans="1:7" x14ac:dyDescent="0.25">
      <c r="A1209">
        <v>18101</v>
      </c>
      <c r="B1209" t="s">
        <v>56</v>
      </c>
      <c r="C1209">
        <v>7</v>
      </c>
      <c r="D1209" s="3">
        <f>in_parking_demand_data_ver1!D1209*calibration!$I$31</f>
        <v>3.1946947849744349</v>
      </c>
      <c r="E1209" s="3">
        <f>in_parking_demand_data_ver1!E1209*calibration!$I$31</f>
        <v>0.24574575269034135</v>
      </c>
      <c r="F1209" s="3">
        <f t="shared" si="18"/>
        <v>3.4404405376647764</v>
      </c>
      <c r="G1209">
        <v>6</v>
      </c>
    </row>
    <row r="1210" spans="1:7" x14ac:dyDescent="0.25">
      <c r="A1210">
        <v>18101</v>
      </c>
      <c r="B1210" t="s">
        <v>56</v>
      </c>
      <c r="C1210">
        <v>8</v>
      </c>
      <c r="D1210" s="3">
        <f>in_parking_demand_data_ver1!D1210*calibration!$I$31</f>
        <v>3.3585252867680011</v>
      </c>
      <c r="E1210" s="3">
        <f>in_parking_demand_data_ver1!E1210*calibration!$I$31</f>
        <v>1.8021355197291664</v>
      </c>
      <c r="F1210" s="3">
        <f t="shared" si="18"/>
        <v>5.1606608064971677</v>
      </c>
      <c r="G1210">
        <v>6</v>
      </c>
    </row>
    <row r="1211" spans="1:7" x14ac:dyDescent="0.25">
      <c r="A1211">
        <v>18101</v>
      </c>
      <c r="B1211" t="s">
        <v>56</v>
      </c>
      <c r="C1211">
        <v>9</v>
      </c>
      <c r="D1211" s="3">
        <f>in_parking_demand_data_ver1!D1211*calibration!$I$31</f>
        <v>3.1946947849744349</v>
      </c>
      <c r="E1211" s="3">
        <f>in_parking_demand_data_ver1!E1211*calibration!$I$31</f>
        <v>1.4744745161420429</v>
      </c>
      <c r="F1211" s="3">
        <f t="shared" si="18"/>
        <v>4.6691693011164777</v>
      </c>
      <c r="G1211">
        <v>6</v>
      </c>
    </row>
    <row r="1212" spans="1:7" x14ac:dyDescent="0.25">
      <c r="A1212">
        <v>18101</v>
      </c>
      <c r="B1212" t="s">
        <v>56</v>
      </c>
      <c r="C1212">
        <v>10</v>
      </c>
      <c r="D1212" s="3">
        <f>in_parking_demand_data_ver1!D1212*calibration!$I$31</f>
        <v>2.8670337813873115</v>
      </c>
      <c r="E1212" s="3">
        <f>in_parking_demand_data_ver1!E1212*calibration!$I$31</f>
        <v>3.0308642831808776</v>
      </c>
      <c r="F1212" s="3">
        <f t="shared" si="18"/>
        <v>5.8978980645681887</v>
      </c>
      <c r="G1212">
        <v>6</v>
      </c>
    </row>
    <row r="1213" spans="1:7" x14ac:dyDescent="0.25">
      <c r="A1213">
        <v>18101</v>
      </c>
      <c r="B1213" t="s">
        <v>56</v>
      </c>
      <c r="C1213">
        <v>11</v>
      </c>
      <c r="D1213" s="3">
        <f>in_parking_demand_data_ver1!D1213*calibration!$I$31</f>
        <v>3.6042710394583413</v>
      </c>
      <c r="E1213" s="3">
        <f>in_parking_demand_data_ver1!E1213*calibration!$I$31</f>
        <v>4.3415082975293631</v>
      </c>
      <c r="F1213" s="3">
        <f t="shared" si="18"/>
        <v>7.9457793369877043</v>
      </c>
      <c r="G1213">
        <v>6</v>
      </c>
    </row>
    <row r="1214" spans="1:7" x14ac:dyDescent="0.25">
      <c r="A1214">
        <v>18101</v>
      </c>
      <c r="B1214" t="s">
        <v>56</v>
      </c>
      <c r="C1214">
        <v>12</v>
      </c>
      <c r="D1214" s="3">
        <f>in_parking_demand_data_ver1!D1214*calibration!$I$31</f>
        <v>3.6861862903551241</v>
      </c>
      <c r="E1214" s="3">
        <f>in_parking_demand_data_ver1!E1214*calibration!$I$31</f>
        <v>4.0957625448390225</v>
      </c>
      <c r="F1214" s="3">
        <f t="shared" si="18"/>
        <v>7.7819488351941466</v>
      </c>
      <c r="G1214">
        <v>6</v>
      </c>
    </row>
    <row r="1215" spans="1:7" x14ac:dyDescent="0.25">
      <c r="A1215">
        <v>18101</v>
      </c>
      <c r="B1215" t="s">
        <v>56</v>
      </c>
      <c r="C1215">
        <v>13</v>
      </c>
      <c r="D1215" s="3">
        <f>in_parking_demand_data_ver1!D1215*calibration!$I$31</f>
        <v>4.3415082975293631</v>
      </c>
      <c r="E1215" s="3">
        <f>in_parking_demand_data_ver1!E1215*calibration!$I$31</f>
        <v>2.8670337813873115</v>
      </c>
      <c r="F1215" s="3">
        <f t="shared" si="18"/>
        <v>7.2085420789166745</v>
      </c>
      <c r="G1215">
        <v>6</v>
      </c>
    </row>
    <row r="1216" spans="1:7" x14ac:dyDescent="0.25">
      <c r="A1216">
        <v>18101</v>
      </c>
      <c r="B1216" t="s">
        <v>56</v>
      </c>
      <c r="C1216">
        <v>14</v>
      </c>
      <c r="D1216" s="3">
        <f>in_parking_demand_data_ver1!D1216*calibration!$I$31</f>
        <v>4.4234235484261459</v>
      </c>
      <c r="E1216" s="3">
        <f>in_parking_demand_data_ver1!E1216*calibration!$I$31</f>
        <v>2.1297965233162901</v>
      </c>
      <c r="F1216" s="3">
        <f t="shared" si="18"/>
        <v>6.5532200717424356</v>
      </c>
      <c r="G1216">
        <v>6</v>
      </c>
    </row>
    <row r="1217" spans="1:7" x14ac:dyDescent="0.25">
      <c r="A1217">
        <v>18101</v>
      </c>
      <c r="B1217" t="s">
        <v>56</v>
      </c>
      <c r="C1217">
        <v>15</v>
      </c>
      <c r="D1217" s="3">
        <f>in_parking_demand_data_ver1!D1217*calibration!$I$31</f>
        <v>3.3585252867680011</v>
      </c>
      <c r="E1217" s="3">
        <f>in_parking_demand_data_ver1!E1217*calibration!$I$31</f>
        <v>0.57340675627746307</v>
      </c>
      <c r="F1217" s="3">
        <f t="shared" si="18"/>
        <v>3.9319320430454643</v>
      </c>
      <c r="G1217">
        <v>6</v>
      </c>
    </row>
    <row r="1218" spans="1:7" x14ac:dyDescent="0.25">
      <c r="A1218">
        <v>18101</v>
      </c>
      <c r="B1218" t="s">
        <v>56</v>
      </c>
      <c r="C1218">
        <v>16</v>
      </c>
      <c r="D1218" s="3">
        <f>in_parking_demand_data_ver1!D1218*calibration!$I$31</f>
        <v>1.9659660215227324</v>
      </c>
      <c r="E1218" s="3">
        <f>in_parking_demand_data_ver1!E1218*calibration!$I$31</f>
        <v>0</v>
      </c>
      <c r="F1218" s="3">
        <f t="shared" si="18"/>
        <v>1.9659660215227324</v>
      </c>
      <c r="G1218">
        <v>6</v>
      </c>
    </row>
    <row r="1219" spans="1:7" x14ac:dyDescent="0.25">
      <c r="A1219">
        <v>18101</v>
      </c>
      <c r="B1219" t="s">
        <v>56</v>
      </c>
      <c r="C1219">
        <v>17</v>
      </c>
      <c r="D1219" s="3">
        <f>in_parking_demand_data_ver1!D1219*calibration!$I$31</f>
        <v>0.81915250896780534</v>
      </c>
      <c r="E1219" s="3">
        <f>in_parking_demand_data_ver1!E1219*calibration!$I$31</f>
        <v>0.40957625448390228</v>
      </c>
      <c r="F1219" s="3">
        <f t="shared" ref="F1219:F1282" si="19">SUM(D1219:E1219)</f>
        <v>1.2287287634517077</v>
      </c>
      <c r="G1219">
        <v>6</v>
      </c>
    </row>
    <row r="1220" spans="1:7" x14ac:dyDescent="0.25">
      <c r="A1220">
        <v>18101</v>
      </c>
      <c r="B1220" t="s">
        <v>56</v>
      </c>
      <c r="C1220">
        <v>18</v>
      </c>
      <c r="D1220" s="3">
        <f>in_parking_demand_data_ver1!D1220*calibration!$I$31</f>
        <v>0.9010677598645791</v>
      </c>
      <c r="E1220" s="3">
        <f>in_parking_demand_data_ver1!E1220*calibration!$I$31</f>
        <v>0.3276610035871218</v>
      </c>
      <c r="F1220" s="3">
        <f t="shared" si="19"/>
        <v>1.2287287634517008</v>
      </c>
      <c r="G1220">
        <v>6</v>
      </c>
    </row>
    <row r="1221" spans="1:7" x14ac:dyDescent="0.25">
      <c r="A1221">
        <v>18101</v>
      </c>
      <c r="B1221" t="s">
        <v>56</v>
      </c>
      <c r="C1221">
        <v>19</v>
      </c>
      <c r="D1221" s="3">
        <f>in_parking_demand_data_ver1!D1221*calibration!$I$31</f>
        <v>0.6553220071742436</v>
      </c>
      <c r="E1221" s="3">
        <f>in_parking_demand_data_ver1!E1221*calibration!$I$31</f>
        <v>0</v>
      </c>
      <c r="F1221" s="3">
        <f t="shared" si="19"/>
        <v>0.6553220071742436</v>
      </c>
      <c r="G1221">
        <v>6</v>
      </c>
    </row>
    <row r="1222" spans="1:7" x14ac:dyDescent="0.25">
      <c r="A1222">
        <v>18101</v>
      </c>
      <c r="B1222" t="s">
        <v>56</v>
      </c>
      <c r="C1222">
        <v>20</v>
      </c>
      <c r="D1222" s="3">
        <f>in_parking_demand_data_ver1!D1222*calibration!$I$31</f>
        <v>0.6553220071742436</v>
      </c>
      <c r="E1222" s="3">
        <f>in_parking_demand_data_ver1!E1222*calibration!$I$31</f>
        <v>0</v>
      </c>
      <c r="F1222" s="3">
        <f t="shared" si="19"/>
        <v>0.6553220071742436</v>
      </c>
      <c r="G1222">
        <v>6</v>
      </c>
    </row>
    <row r="1223" spans="1:7" x14ac:dyDescent="0.25">
      <c r="A1223">
        <v>18101</v>
      </c>
      <c r="B1223" t="s">
        <v>56</v>
      </c>
      <c r="C1223">
        <v>21</v>
      </c>
      <c r="D1223" s="3">
        <f>in_parking_demand_data_ver1!D1223*calibration!$I$31</f>
        <v>0.73723725807102491</v>
      </c>
      <c r="E1223" s="3">
        <f>in_parking_demand_data_ver1!E1223*calibration!$I$31</f>
        <v>0</v>
      </c>
      <c r="F1223" s="3">
        <f t="shared" si="19"/>
        <v>0.73723725807102491</v>
      </c>
      <c r="G1223">
        <v>6</v>
      </c>
    </row>
    <row r="1224" spans="1:7" x14ac:dyDescent="0.25">
      <c r="A1224">
        <v>18101</v>
      </c>
      <c r="B1224" t="s">
        <v>56</v>
      </c>
      <c r="C1224">
        <v>22</v>
      </c>
      <c r="D1224" s="3">
        <f>in_parking_demand_data_ver1!D1224*calibration!$I$31</f>
        <v>0.73723725807102491</v>
      </c>
      <c r="E1224" s="3">
        <f>in_parking_demand_data_ver1!E1224*calibration!$I$31</f>
        <v>0</v>
      </c>
      <c r="F1224" s="3">
        <f t="shared" si="19"/>
        <v>0.73723725807102491</v>
      </c>
      <c r="G1224">
        <v>6</v>
      </c>
    </row>
    <row r="1225" spans="1:7" x14ac:dyDescent="0.25">
      <c r="A1225">
        <v>18101</v>
      </c>
      <c r="B1225" t="s">
        <v>56</v>
      </c>
      <c r="C1225">
        <v>23</v>
      </c>
      <c r="D1225" s="3">
        <f>in_parking_demand_data_ver1!D1225*calibration!$I$31</f>
        <v>0.73723725807102491</v>
      </c>
      <c r="E1225" s="3">
        <f>in_parking_demand_data_ver1!E1225*calibration!$I$31</f>
        <v>0.1638305017935609</v>
      </c>
      <c r="F1225" s="3">
        <f t="shared" si="19"/>
        <v>0.90106775986458576</v>
      </c>
      <c r="G1225">
        <v>6</v>
      </c>
    </row>
    <row r="1226" spans="1:7" x14ac:dyDescent="0.25">
      <c r="A1226">
        <v>18103</v>
      </c>
      <c r="B1226" t="s">
        <v>57</v>
      </c>
      <c r="C1226">
        <v>0</v>
      </c>
      <c r="D1226" s="3">
        <f>in_parking_demand_data_ver1!D1226*calibration!$I$31</f>
        <v>62.358415866731576</v>
      </c>
      <c r="E1226" s="3">
        <f>in_parking_demand_data_ver1!E1226*calibration!$I$31</f>
        <v>0</v>
      </c>
      <c r="F1226" s="3">
        <f t="shared" si="19"/>
        <v>62.358415866731576</v>
      </c>
      <c r="G1226">
        <v>117</v>
      </c>
    </row>
    <row r="1227" spans="1:7" x14ac:dyDescent="0.25">
      <c r="A1227">
        <v>18103</v>
      </c>
      <c r="B1227" t="s">
        <v>57</v>
      </c>
      <c r="C1227">
        <v>1</v>
      </c>
      <c r="D1227" s="3">
        <f>in_parking_demand_data_ver1!D1227*calibration!$I$31</f>
        <v>63.588668214287352</v>
      </c>
      <c r="E1227" s="3">
        <f>in_parking_demand_data_ver1!E1227*calibration!$I$31</f>
        <v>0</v>
      </c>
      <c r="F1227" s="3">
        <f t="shared" si="19"/>
        <v>63.588668214287352</v>
      </c>
      <c r="G1227">
        <v>117</v>
      </c>
    </row>
    <row r="1228" spans="1:7" x14ac:dyDescent="0.25">
      <c r="A1228">
        <v>18103</v>
      </c>
      <c r="B1228" t="s">
        <v>57</v>
      </c>
      <c r="C1228">
        <v>2</v>
      </c>
      <c r="D1228" s="3">
        <f>in_parking_demand_data_ver1!D1228*calibration!$I$31</f>
        <v>63.511777442565062</v>
      </c>
      <c r="E1228" s="3">
        <f>in_parking_demand_data_ver1!E1228*calibration!$I$31</f>
        <v>0</v>
      </c>
      <c r="F1228" s="3">
        <f t="shared" si="19"/>
        <v>63.511777442565062</v>
      </c>
      <c r="G1228">
        <v>117</v>
      </c>
    </row>
    <row r="1229" spans="1:7" x14ac:dyDescent="0.25">
      <c r="A1229">
        <v>18103</v>
      </c>
      <c r="B1229" t="s">
        <v>57</v>
      </c>
      <c r="C1229">
        <v>3</v>
      </c>
      <c r="D1229" s="3">
        <f>in_parking_demand_data_ver1!D1229*calibration!$I$31</f>
        <v>64.050012844620738</v>
      </c>
      <c r="E1229" s="3">
        <f>in_parking_demand_data_ver1!E1229*calibration!$I$31</f>
        <v>0</v>
      </c>
      <c r="F1229" s="3">
        <f t="shared" si="19"/>
        <v>64.050012844620738</v>
      </c>
      <c r="G1229">
        <v>117</v>
      </c>
    </row>
    <row r="1230" spans="1:7" x14ac:dyDescent="0.25">
      <c r="A1230">
        <v>18103</v>
      </c>
      <c r="B1230" t="s">
        <v>57</v>
      </c>
      <c r="C1230">
        <v>4</v>
      </c>
      <c r="D1230" s="3">
        <f>in_parking_demand_data_ver1!D1230*calibration!$I$31</f>
        <v>61.281945062620316</v>
      </c>
      <c r="E1230" s="3">
        <f>in_parking_demand_data_ver1!E1230*calibration!$I$31</f>
        <v>0</v>
      </c>
      <c r="F1230" s="3">
        <f t="shared" si="19"/>
        <v>61.281945062620316</v>
      </c>
      <c r="G1230">
        <v>117</v>
      </c>
    </row>
    <row r="1231" spans="1:7" x14ac:dyDescent="0.25">
      <c r="A1231">
        <v>18103</v>
      </c>
      <c r="B1231" t="s">
        <v>57</v>
      </c>
      <c r="C1231">
        <v>5</v>
      </c>
      <c r="D1231" s="3">
        <f>in_parking_demand_data_ver1!D1231*calibration!$I$31</f>
        <v>62.127743551564855</v>
      </c>
      <c r="E1231" s="3">
        <f>in_parking_demand_data_ver1!E1231*calibration!$I$31</f>
        <v>0.53823540205563669</v>
      </c>
      <c r="F1231" s="3">
        <f t="shared" si="19"/>
        <v>62.665978953620488</v>
      </c>
      <c r="G1231">
        <v>117</v>
      </c>
    </row>
    <row r="1232" spans="1:7" x14ac:dyDescent="0.25">
      <c r="A1232">
        <v>18103</v>
      </c>
      <c r="B1232" t="s">
        <v>57</v>
      </c>
      <c r="C1232">
        <v>6</v>
      </c>
      <c r="D1232" s="3">
        <f>in_parking_demand_data_ver1!D1232*calibration!$I$31</f>
        <v>66.433626768009987</v>
      </c>
      <c r="E1232" s="3">
        <f>in_parking_demand_data_ver1!E1232*calibration!$I$31</f>
        <v>1.5378154344446739</v>
      </c>
      <c r="F1232" s="3">
        <f t="shared" si="19"/>
        <v>67.971442202454654</v>
      </c>
      <c r="G1232">
        <v>117</v>
      </c>
    </row>
    <row r="1233" spans="1:7" x14ac:dyDescent="0.25">
      <c r="A1233">
        <v>18103</v>
      </c>
      <c r="B1233" t="s">
        <v>57</v>
      </c>
      <c r="C1233">
        <v>7</v>
      </c>
      <c r="D1233" s="3">
        <f>in_parking_demand_data_ver1!D1233*calibration!$I$31</f>
        <v>56.130263357230625</v>
      </c>
      <c r="E1233" s="3">
        <f>in_parking_demand_data_ver1!E1233*calibration!$I$31</f>
        <v>0.46134463033340217</v>
      </c>
      <c r="F1233" s="3">
        <f t="shared" si="19"/>
        <v>56.591607987564025</v>
      </c>
      <c r="G1233">
        <v>117</v>
      </c>
    </row>
    <row r="1234" spans="1:7" x14ac:dyDescent="0.25">
      <c r="A1234">
        <v>18103</v>
      </c>
      <c r="B1234" t="s">
        <v>57</v>
      </c>
      <c r="C1234">
        <v>8</v>
      </c>
      <c r="D1234" s="3">
        <f>in_parking_demand_data_ver1!D1234*calibration!$I$31</f>
        <v>45.826899946451356</v>
      </c>
      <c r="E1234" s="3">
        <f>in_parking_demand_data_ver1!E1234*calibration!$I$31</f>
        <v>0.46134463033340217</v>
      </c>
      <c r="F1234" s="3">
        <f t="shared" si="19"/>
        <v>46.288244576784756</v>
      </c>
      <c r="G1234">
        <v>117</v>
      </c>
    </row>
    <row r="1235" spans="1:7" x14ac:dyDescent="0.25">
      <c r="A1235">
        <v>18103</v>
      </c>
      <c r="B1235" t="s">
        <v>57</v>
      </c>
      <c r="C1235">
        <v>9</v>
      </c>
      <c r="D1235" s="3">
        <f>in_parking_demand_data_ver1!D1235*calibration!$I$31</f>
        <v>37.599587372172316</v>
      </c>
      <c r="E1235" s="3">
        <f>in_parking_demand_data_ver1!E1235*calibration!$I$31</f>
        <v>0.53823540205563669</v>
      </c>
      <c r="F1235" s="3">
        <f t="shared" si="19"/>
        <v>38.137822774227949</v>
      </c>
      <c r="G1235">
        <v>117</v>
      </c>
    </row>
    <row r="1236" spans="1:7" x14ac:dyDescent="0.25">
      <c r="A1236">
        <v>18103</v>
      </c>
      <c r="B1236" t="s">
        <v>57</v>
      </c>
      <c r="C1236">
        <v>10</v>
      </c>
      <c r="D1236" s="3">
        <f>in_parking_demand_data_ver1!D1236*calibration!$I$31</f>
        <v>31.217653319226855</v>
      </c>
      <c r="E1236" s="3">
        <f>in_parking_demand_data_ver1!E1236*calibration!$I$31</f>
        <v>1.3071431192779694</v>
      </c>
      <c r="F1236" s="3">
        <f t="shared" si="19"/>
        <v>32.524796438504822</v>
      </c>
      <c r="G1236">
        <v>117</v>
      </c>
    </row>
    <row r="1237" spans="1:7" x14ac:dyDescent="0.25">
      <c r="A1237">
        <v>18103</v>
      </c>
      <c r="B1237" t="s">
        <v>57</v>
      </c>
      <c r="C1237">
        <v>11</v>
      </c>
      <c r="D1237" s="3">
        <f>in_parking_demand_data_ver1!D1237*calibration!$I$31</f>
        <v>25.297063896614855</v>
      </c>
      <c r="E1237" s="3">
        <f>in_parking_demand_data_ver1!E1237*calibration!$I$31</f>
        <v>1.5378154344446739</v>
      </c>
      <c r="F1237" s="3">
        <f t="shared" si="19"/>
        <v>26.834879331059529</v>
      </c>
      <c r="G1237">
        <v>117</v>
      </c>
    </row>
    <row r="1238" spans="1:7" x14ac:dyDescent="0.25">
      <c r="A1238">
        <v>18103</v>
      </c>
      <c r="B1238" t="s">
        <v>57</v>
      </c>
      <c r="C1238">
        <v>12</v>
      </c>
      <c r="D1238" s="3">
        <f>in_parking_demand_data_ver1!D1238*calibration!$I$31</f>
        <v>23.913030005614644</v>
      </c>
      <c r="E1238" s="3">
        <f>in_parking_demand_data_ver1!E1238*calibration!$I$31</f>
        <v>0.69201694550010417</v>
      </c>
      <c r="F1238" s="3">
        <f t="shared" si="19"/>
        <v>24.605046951114748</v>
      </c>
      <c r="G1238">
        <v>117</v>
      </c>
    </row>
    <row r="1239" spans="1:7" x14ac:dyDescent="0.25">
      <c r="A1239">
        <v>18103</v>
      </c>
      <c r="B1239" t="s">
        <v>57</v>
      </c>
      <c r="C1239">
        <v>13</v>
      </c>
      <c r="D1239" s="3">
        <f>in_parking_demand_data_ver1!D1239*calibration!$I$31</f>
        <v>29.910510199948945</v>
      </c>
      <c r="E1239" s="3">
        <f>in_parking_demand_data_ver1!E1239*calibration!$I$31</f>
        <v>0.61512617377787049</v>
      </c>
      <c r="F1239" s="3">
        <f t="shared" si="19"/>
        <v>30.525636373726815</v>
      </c>
      <c r="G1239">
        <v>117</v>
      </c>
    </row>
    <row r="1240" spans="1:7" x14ac:dyDescent="0.25">
      <c r="A1240">
        <v>18103</v>
      </c>
      <c r="B1240" t="s">
        <v>57</v>
      </c>
      <c r="C1240">
        <v>14</v>
      </c>
      <c r="D1240" s="3">
        <f>in_parking_demand_data_ver1!D1240*calibration!$I$31</f>
        <v>30.679417917171264</v>
      </c>
      <c r="E1240" s="3">
        <f>in_parking_demand_data_ver1!E1240*calibration!$I$31</f>
        <v>0.61512617377787049</v>
      </c>
      <c r="F1240" s="3">
        <f t="shared" si="19"/>
        <v>31.294544090949135</v>
      </c>
      <c r="G1240">
        <v>117</v>
      </c>
    </row>
    <row r="1241" spans="1:7" x14ac:dyDescent="0.25">
      <c r="A1241">
        <v>18103</v>
      </c>
      <c r="B1241" t="s">
        <v>57</v>
      </c>
      <c r="C1241">
        <v>15</v>
      </c>
      <c r="D1241" s="3">
        <f>in_parking_demand_data_ver1!D1241*calibration!$I$31</f>
        <v>28.06513167861527</v>
      </c>
      <c r="E1241" s="3">
        <f>in_parking_demand_data_ver1!E1241*calibration!$I$31</f>
        <v>0.3075630868889348</v>
      </c>
      <c r="F1241" s="3">
        <f t="shared" si="19"/>
        <v>28.372694765504203</v>
      </c>
      <c r="G1241">
        <v>117</v>
      </c>
    </row>
    <row r="1242" spans="1:7" x14ac:dyDescent="0.25">
      <c r="A1242">
        <v>18103</v>
      </c>
      <c r="B1242" t="s">
        <v>57</v>
      </c>
      <c r="C1242">
        <v>16</v>
      </c>
      <c r="D1242" s="3">
        <f>in_parking_demand_data_ver1!D1242*calibration!$I$31</f>
        <v>31.678997949560312</v>
      </c>
      <c r="E1242" s="3">
        <f>in_parking_demand_data_ver1!E1242*calibration!$I$31</f>
        <v>0.1537815434444674</v>
      </c>
      <c r="F1242" s="3">
        <f t="shared" si="19"/>
        <v>31.832779493004779</v>
      </c>
      <c r="G1242">
        <v>117</v>
      </c>
    </row>
    <row r="1243" spans="1:7" x14ac:dyDescent="0.25">
      <c r="A1243">
        <v>18103</v>
      </c>
      <c r="B1243" t="s">
        <v>57</v>
      </c>
      <c r="C1243">
        <v>17</v>
      </c>
      <c r="D1243" s="3">
        <f>in_parking_demand_data_ver1!D1243*calibration!$I$31</f>
        <v>36.215553481172101</v>
      </c>
      <c r="E1243" s="3">
        <f>in_parking_demand_data_ver1!E1243*calibration!$I$31</f>
        <v>0</v>
      </c>
      <c r="F1243" s="3">
        <f t="shared" si="19"/>
        <v>36.215553481172101</v>
      </c>
      <c r="G1243">
        <v>117</v>
      </c>
    </row>
    <row r="1244" spans="1:7" x14ac:dyDescent="0.25">
      <c r="A1244">
        <v>18103</v>
      </c>
      <c r="B1244" t="s">
        <v>57</v>
      </c>
      <c r="C1244">
        <v>18</v>
      </c>
      <c r="D1244" s="3">
        <f>in_parking_demand_data_ver1!D1244*calibration!$I$31</f>
        <v>39.060512034894735</v>
      </c>
      <c r="E1244" s="3">
        <f>in_parking_demand_data_ver1!E1244*calibration!$I$31</f>
        <v>0</v>
      </c>
      <c r="F1244" s="3">
        <f t="shared" si="19"/>
        <v>39.060512034894735</v>
      </c>
      <c r="G1244">
        <v>117</v>
      </c>
    </row>
    <row r="1245" spans="1:7" x14ac:dyDescent="0.25">
      <c r="A1245">
        <v>18103</v>
      </c>
      <c r="B1245" t="s">
        <v>57</v>
      </c>
      <c r="C1245">
        <v>19</v>
      </c>
      <c r="D1245" s="3">
        <f>in_parking_demand_data_ver1!D1245*calibration!$I$31</f>
        <v>46.211353805062515</v>
      </c>
      <c r="E1245" s="3">
        <f>in_parking_demand_data_ver1!E1245*calibration!$I$31</f>
        <v>0</v>
      </c>
      <c r="F1245" s="3">
        <f t="shared" si="19"/>
        <v>46.211353805062515</v>
      </c>
      <c r="G1245">
        <v>117</v>
      </c>
    </row>
    <row r="1246" spans="1:7" x14ac:dyDescent="0.25">
      <c r="A1246">
        <v>18103</v>
      </c>
      <c r="B1246" t="s">
        <v>57</v>
      </c>
      <c r="C1246">
        <v>20</v>
      </c>
      <c r="D1246" s="3">
        <f>in_parking_demand_data_ver1!D1246*calibration!$I$31</f>
        <v>51.055472423563259</v>
      </c>
      <c r="E1246" s="3">
        <f>in_parking_demand_data_ver1!E1246*calibration!$I$31</f>
        <v>0</v>
      </c>
      <c r="F1246" s="3">
        <f t="shared" si="19"/>
        <v>51.055472423563259</v>
      </c>
      <c r="G1246">
        <v>117</v>
      </c>
    </row>
    <row r="1247" spans="1:7" x14ac:dyDescent="0.25">
      <c r="A1247">
        <v>18103</v>
      </c>
      <c r="B1247" t="s">
        <v>57</v>
      </c>
      <c r="C1247">
        <v>21</v>
      </c>
      <c r="D1247" s="3">
        <f>in_parking_demand_data_ver1!D1247*calibration!$I$31</f>
        <v>57.898751106841999</v>
      </c>
      <c r="E1247" s="3">
        <f>in_parking_demand_data_ver1!E1247*calibration!$I$31</f>
        <v>0</v>
      </c>
      <c r="F1247" s="3">
        <f t="shared" si="19"/>
        <v>57.898751106841999</v>
      </c>
      <c r="G1247">
        <v>117</v>
      </c>
    </row>
    <row r="1248" spans="1:7" x14ac:dyDescent="0.25">
      <c r="A1248">
        <v>18103</v>
      </c>
      <c r="B1248" t="s">
        <v>57</v>
      </c>
      <c r="C1248">
        <v>22</v>
      </c>
      <c r="D1248" s="3">
        <f>in_parking_demand_data_ver1!D1248*calibration!$I$31</f>
        <v>59.205894226120002</v>
      </c>
      <c r="E1248" s="3">
        <f>in_parking_demand_data_ver1!E1248*calibration!$I$31</f>
        <v>0</v>
      </c>
      <c r="F1248" s="3">
        <f t="shared" si="19"/>
        <v>59.205894226120002</v>
      </c>
      <c r="G1248">
        <v>117</v>
      </c>
    </row>
    <row r="1249" spans="1:7" x14ac:dyDescent="0.25">
      <c r="A1249">
        <v>18103</v>
      </c>
      <c r="B1249" t="s">
        <v>57</v>
      </c>
      <c r="C1249">
        <v>23</v>
      </c>
      <c r="D1249" s="3">
        <f>in_parking_demand_data_ver1!D1249*calibration!$I$31</f>
        <v>60.666818888842428</v>
      </c>
      <c r="E1249" s="3">
        <f>in_parking_demand_data_ver1!E1249*calibration!$I$31</f>
        <v>0</v>
      </c>
      <c r="F1249" s="3">
        <f t="shared" si="19"/>
        <v>60.666818888842428</v>
      </c>
      <c r="G1249">
        <v>117</v>
      </c>
    </row>
    <row r="1250" spans="1:7" x14ac:dyDescent="0.25">
      <c r="A1250">
        <v>18105</v>
      </c>
      <c r="B1250" t="s">
        <v>58</v>
      </c>
      <c r="C1250">
        <v>0</v>
      </c>
      <c r="D1250" s="3">
        <f>in_parking_demand_data_ver1!D1250*calibration!$I$31</f>
        <v>8.5135707990885248</v>
      </c>
      <c r="E1250" s="3">
        <f>in_parking_demand_data_ver1!E1250*calibration!$I$31</f>
        <v>0.57138059054285473</v>
      </c>
      <c r="F1250" s="3">
        <f t="shared" si="19"/>
        <v>9.0849513896313798</v>
      </c>
      <c r="G1250">
        <v>40</v>
      </c>
    </row>
    <row r="1251" spans="1:7" x14ac:dyDescent="0.25">
      <c r="A1251">
        <v>18105</v>
      </c>
      <c r="B1251" t="s">
        <v>58</v>
      </c>
      <c r="C1251">
        <v>1</v>
      </c>
      <c r="D1251" s="3">
        <f>in_parking_demand_data_ver1!D1251*calibration!$I$31</f>
        <v>8.5707088581427939</v>
      </c>
      <c r="E1251" s="3">
        <f>in_parking_demand_data_ver1!E1251*calibration!$I$31</f>
        <v>0.79993282675999755</v>
      </c>
      <c r="F1251" s="3">
        <f t="shared" si="19"/>
        <v>9.3706416849027914</v>
      </c>
      <c r="G1251">
        <v>40</v>
      </c>
    </row>
    <row r="1252" spans="1:7" x14ac:dyDescent="0.25">
      <c r="A1252">
        <v>18105</v>
      </c>
      <c r="B1252" t="s">
        <v>58</v>
      </c>
      <c r="C1252">
        <v>2</v>
      </c>
      <c r="D1252" s="3">
        <f>in_parking_demand_data_ver1!D1252*calibration!$I$31</f>
        <v>8.7992610943599594</v>
      </c>
      <c r="E1252" s="3">
        <f>in_parking_demand_data_ver1!E1252*calibration!$I$31</f>
        <v>0.91420894486856652</v>
      </c>
      <c r="F1252" s="3">
        <f t="shared" si="19"/>
        <v>9.7134700392285254</v>
      </c>
      <c r="G1252">
        <v>40</v>
      </c>
    </row>
    <row r="1253" spans="1:7" x14ac:dyDescent="0.25">
      <c r="A1253">
        <v>18105</v>
      </c>
      <c r="B1253" t="s">
        <v>58</v>
      </c>
      <c r="C1253">
        <v>3</v>
      </c>
      <c r="D1253" s="3">
        <f>in_parking_demand_data_ver1!D1253*calibration!$I$31</f>
        <v>9.142089448685665</v>
      </c>
      <c r="E1253" s="3">
        <f>in_parking_demand_data_ver1!E1253*calibration!$I$31</f>
        <v>0.62851864959714088</v>
      </c>
      <c r="F1253" s="3">
        <f t="shared" si="19"/>
        <v>9.7706080982828052</v>
      </c>
      <c r="G1253">
        <v>40</v>
      </c>
    </row>
    <row r="1254" spans="1:7" x14ac:dyDescent="0.25">
      <c r="A1254">
        <v>18105</v>
      </c>
      <c r="B1254" t="s">
        <v>58</v>
      </c>
      <c r="C1254">
        <v>4</v>
      </c>
      <c r="D1254" s="3">
        <f>in_parking_demand_data_ver1!D1254*calibration!$I$31</f>
        <v>8.6849849762513358</v>
      </c>
      <c r="E1254" s="3">
        <f>in_parking_demand_data_ver1!E1254*calibration!$I$31</f>
        <v>1.085623122031419</v>
      </c>
      <c r="F1254" s="3">
        <f t="shared" si="19"/>
        <v>9.7706080982827554</v>
      </c>
      <c r="G1254">
        <v>40</v>
      </c>
    </row>
    <row r="1255" spans="1:7" x14ac:dyDescent="0.25">
      <c r="A1255">
        <v>18105</v>
      </c>
      <c r="B1255" t="s">
        <v>58</v>
      </c>
      <c r="C1255">
        <v>5</v>
      </c>
      <c r="D1255" s="3">
        <f>in_parking_demand_data_ver1!D1255*calibration!$I$31</f>
        <v>9.4277797439570996</v>
      </c>
      <c r="E1255" s="3">
        <f>in_parking_demand_data_ver1!E1255*calibration!$I$31</f>
        <v>1.3713134173028454</v>
      </c>
      <c r="F1255" s="3">
        <f t="shared" si="19"/>
        <v>10.799093161259945</v>
      </c>
      <c r="G1255">
        <v>40</v>
      </c>
    </row>
    <row r="1256" spans="1:7" x14ac:dyDescent="0.25">
      <c r="A1256">
        <v>18105</v>
      </c>
      <c r="B1256" t="s">
        <v>58</v>
      </c>
      <c r="C1256">
        <v>6</v>
      </c>
      <c r="D1256" s="3">
        <f>in_parking_demand_data_ver1!D1256*calibration!$I$31</f>
        <v>9.7134700392285342</v>
      </c>
      <c r="E1256" s="3">
        <f>in_parking_demand_data_ver1!E1256*calibration!$I$31</f>
        <v>5.0281491967771199</v>
      </c>
      <c r="F1256" s="3">
        <f t="shared" si="19"/>
        <v>14.741619236005654</v>
      </c>
      <c r="G1256">
        <v>40</v>
      </c>
    </row>
    <row r="1257" spans="1:7" x14ac:dyDescent="0.25">
      <c r="A1257">
        <v>18105</v>
      </c>
      <c r="B1257" t="s">
        <v>58</v>
      </c>
      <c r="C1257">
        <v>7</v>
      </c>
      <c r="D1257" s="3">
        <f>in_parking_demand_data_ver1!D1257*calibration!$I$31</f>
        <v>9.2563655667942051</v>
      </c>
      <c r="E1257" s="3">
        <f>in_parking_demand_data_ver1!E1257*calibration!$I$31</f>
        <v>11.199059574639895</v>
      </c>
      <c r="F1257" s="3">
        <f t="shared" si="19"/>
        <v>20.455425141434098</v>
      </c>
      <c r="G1257">
        <v>40</v>
      </c>
    </row>
    <row r="1258" spans="1:7" x14ac:dyDescent="0.25">
      <c r="A1258">
        <v>18105</v>
      </c>
      <c r="B1258" t="s">
        <v>58</v>
      </c>
      <c r="C1258">
        <v>8</v>
      </c>
      <c r="D1258" s="3">
        <f>in_parking_demand_data_ver1!D1258*calibration!$I$31</f>
        <v>8.9706752715227687</v>
      </c>
      <c r="E1258" s="3">
        <f>in_parking_demand_data_ver1!E1258*calibration!$I$31</f>
        <v>13.484581936811376</v>
      </c>
      <c r="F1258" s="3">
        <f t="shared" si="19"/>
        <v>22.455257208334146</v>
      </c>
      <c r="G1258">
        <v>40</v>
      </c>
    </row>
    <row r="1259" spans="1:7" x14ac:dyDescent="0.25">
      <c r="A1259">
        <v>18105</v>
      </c>
      <c r="B1259" t="s">
        <v>58</v>
      </c>
      <c r="C1259">
        <v>9</v>
      </c>
      <c r="D1259" s="3">
        <f>in_parking_demand_data_ver1!D1259*calibration!$I$31</f>
        <v>8.1707424447628281</v>
      </c>
      <c r="E1259" s="3">
        <f>in_parking_demand_data_ver1!E1259*calibration!$I$31</f>
        <v>13.541719995865645</v>
      </c>
      <c r="F1259" s="3">
        <f t="shared" si="19"/>
        <v>21.712462440628471</v>
      </c>
      <c r="G1259">
        <v>40</v>
      </c>
    </row>
    <row r="1260" spans="1:7" x14ac:dyDescent="0.25">
      <c r="A1260">
        <v>18105</v>
      </c>
      <c r="B1260" t="s">
        <v>58</v>
      </c>
      <c r="C1260">
        <v>10</v>
      </c>
      <c r="D1260" s="3">
        <f>in_parking_demand_data_ver1!D1260*calibration!$I$31</f>
        <v>5.8852200825914078</v>
      </c>
      <c r="E1260" s="3">
        <f>in_parking_demand_data_ver1!E1260*calibration!$I$31</f>
        <v>11.941854342345659</v>
      </c>
      <c r="F1260" s="3">
        <f t="shared" si="19"/>
        <v>17.827074424937067</v>
      </c>
      <c r="G1260">
        <v>40</v>
      </c>
    </row>
    <row r="1261" spans="1:7" x14ac:dyDescent="0.25">
      <c r="A1261">
        <v>18105</v>
      </c>
      <c r="B1261" t="s">
        <v>58</v>
      </c>
      <c r="C1261">
        <v>11</v>
      </c>
      <c r="D1261" s="3">
        <f>in_parking_demand_data_ver1!D1261*calibration!$I$31</f>
        <v>5.4281156101571204</v>
      </c>
      <c r="E1261" s="3">
        <f>in_parking_demand_data_ver1!E1261*calibration!$I$31</f>
        <v>11.31333569274852</v>
      </c>
      <c r="F1261" s="3">
        <f t="shared" si="19"/>
        <v>16.741451302905642</v>
      </c>
      <c r="G1261">
        <v>40</v>
      </c>
    </row>
    <row r="1262" spans="1:7" x14ac:dyDescent="0.25">
      <c r="A1262">
        <v>18105</v>
      </c>
      <c r="B1262" t="s">
        <v>58</v>
      </c>
      <c r="C1262">
        <v>12</v>
      </c>
      <c r="D1262" s="3">
        <f>in_parking_demand_data_ver1!D1262*calibration!$I$31</f>
        <v>5.0852872558314068</v>
      </c>
      <c r="E1262" s="3">
        <f>in_parking_demand_data_ver1!E1262*calibration!$I$31</f>
        <v>8.3421566219256889</v>
      </c>
      <c r="F1262" s="3">
        <f t="shared" si="19"/>
        <v>13.427443877757096</v>
      </c>
      <c r="G1262">
        <v>40</v>
      </c>
    </row>
    <row r="1263" spans="1:7" x14ac:dyDescent="0.25">
      <c r="A1263">
        <v>18105</v>
      </c>
      <c r="B1263" t="s">
        <v>58</v>
      </c>
      <c r="C1263">
        <v>13</v>
      </c>
      <c r="D1263" s="3">
        <f>in_parking_demand_data_ver1!D1263*calibration!$I$31</f>
        <v>5.0281491967771199</v>
      </c>
      <c r="E1263" s="3">
        <f>in_parking_demand_data_ver1!E1263*calibration!$I$31</f>
        <v>7.6564999132742626</v>
      </c>
      <c r="F1263" s="3">
        <f t="shared" si="19"/>
        <v>12.684649110051382</v>
      </c>
      <c r="G1263">
        <v>40</v>
      </c>
    </row>
    <row r="1264" spans="1:7" x14ac:dyDescent="0.25">
      <c r="A1264">
        <v>18105</v>
      </c>
      <c r="B1264" t="s">
        <v>58</v>
      </c>
      <c r="C1264">
        <v>14</v>
      </c>
      <c r="D1264" s="3">
        <f>in_parking_demand_data_ver1!D1264*calibration!$I$31</f>
        <v>4.7424589015056933</v>
      </c>
      <c r="E1264" s="3">
        <f>in_parking_demand_data_ver1!E1264*calibration!$I$31</f>
        <v>5.5423917282656943</v>
      </c>
      <c r="F1264" s="3">
        <f t="shared" si="19"/>
        <v>10.284850629771388</v>
      </c>
      <c r="G1264">
        <v>40</v>
      </c>
    </row>
    <row r="1265" spans="1:7" x14ac:dyDescent="0.25">
      <c r="A1265">
        <v>18105</v>
      </c>
      <c r="B1265" t="s">
        <v>58</v>
      </c>
      <c r="C1265">
        <v>15</v>
      </c>
      <c r="D1265" s="3">
        <f>in_parking_demand_data_ver1!D1265*calibration!$I$31</f>
        <v>4.5710447243428414</v>
      </c>
      <c r="E1265" s="3">
        <f>in_parking_demand_data_ver1!E1265*calibration!$I$31</f>
        <v>2.5712126574428469</v>
      </c>
      <c r="F1265" s="3">
        <f t="shared" si="19"/>
        <v>7.1422573817856883</v>
      </c>
      <c r="G1265">
        <v>40</v>
      </c>
    </row>
    <row r="1266" spans="1:7" x14ac:dyDescent="0.25">
      <c r="A1266">
        <v>18105</v>
      </c>
      <c r="B1266" t="s">
        <v>58</v>
      </c>
      <c r="C1266">
        <v>16</v>
      </c>
      <c r="D1266" s="3">
        <f>in_parking_demand_data_ver1!D1266*calibration!$I$31</f>
        <v>4.5710447243428414</v>
      </c>
      <c r="E1266" s="3">
        <f>in_parking_demand_data_ver1!E1266*calibration!$I$31</f>
        <v>0.85707088581427948</v>
      </c>
      <c r="F1266" s="3">
        <f t="shared" si="19"/>
        <v>5.4281156101571213</v>
      </c>
      <c r="G1266">
        <v>40</v>
      </c>
    </row>
    <row r="1267" spans="1:7" x14ac:dyDescent="0.25">
      <c r="A1267">
        <v>18105</v>
      </c>
      <c r="B1267" t="s">
        <v>58</v>
      </c>
      <c r="C1267">
        <v>17</v>
      </c>
      <c r="D1267" s="3">
        <f>in_parking_demand_data_ver1!D1267*calibration!$I$31</f>
        <v>5.2567014329942685</v>
      </c>
      <c r="E1267" s="3">
        <f>in_parking_demand_data_ver1!E1267*calibration!$I$31</f>
        <v>0.57138059054285473</v>
      </c>
      <c r="F1267" s="3">
        <f t="shared" si="19"/>
        <v>5.8280820235371236</v>
      </c>
      <c r="G1267">
        <v>40</v>
      </c>
    </row>
    <row r="1268" spans="1:7" x14ac:dyDescent="0.25">
      <c r="A1268">
        <v>18105</v>
      </c>
      <c r="B1268" t="s">
        <v>58</v>
      </c>
      <c r="C1268">
        <v>18</v>
      </c>
      <c r="D1268" s="3">
        <f>in_parking_demand_data_ver1!D1268*calibration!$I$31</f>
        <v>6.6280148502971219</v>
      </c>
      <c r="E1268" s="3">
        <f>in_parking_demand_data_ver1!E1268*calibration!$I$31</f>
        <v>0.34282835432571263</v>
      </c>
      <c r="F1268" s="3">
        <f t="shared" si="19"/>
        <v>6.9708432046228346</v>
      </c>
      <c r="G1268">
        <v>40</v>
      </c>
    </row>
    <row r="1269" spans="1:7" x14ac:dyDescent="0.25">
      <c r="A1269">
        <v>18105</v>
      </c>
      <c r="B1269" t="s">
        <v>58</v>
      </c>
      <c r="C1269">
        <v>19</v>
      </c>
      <c r="D1269" s="3">
        <f>in_parking_demand_data_ver1!D1269*calibration!$I$31</f>
        <v>7.1993954408399752</v>
      </c>
      <c r="E1269" s="3">
        <f>in_parking_demand_data_ver1!E1269*calibration!$I$31</f>
        <v>1.3141753582485671</v>
      </c>
      <c r="F1269" s="3">
        <f t="shared" si="19"/>
        <v>8.5135707990885425</v>
      </c>
      <c r="G1269">
        <v>40</v>
      </c>
    </row>
    <row r="1270" spans="1:7" x14ac:dyDescent="0.25">
      <c r="A1270">
        <v>18105</v>
      </c>
      <c r="B1270" t="s">
        <v>58</v>
      </c>
      <c r="C1270">
        <v>20</v>
      </c>
      <c r="D1270" s="3">
        <f>in_parking_demand_data_ver1!D1270*calibration!$I$31</f>
        <v>7.5422237951656887</v>
      </c>
      <c r="E1270" s="3">
        <f>in_parking_demand_data_ver1!E1270*calibration!$I$31</f>
        <v>1.4855895354114195</v>
      </c>
      <c r="F1270" s="3">
        <f t="shared" si="19"/>
        <v>9.0278133305771089</v>
      </c>
      <c r="G1270">
        <v>40</v>
      </c>
    </row>
    <row r="1271" spans="1:7" x14ac:dyDescent="0.25">
      <c r="A1271">
        <v>18105</v>
      </c>
      <c r="B1271" t="s">
        <v>58</v>
      </c>
      <c r="C1271">
        <v>21</v>
      </c>
      <c r="D1271" s="3">
        <f>in_parking_demand_data_ver1!D1271*calibration!$I$31</f>
        <v>7.8850521494914023</v>
      </c>
      <c r="E1271" s="3">
        <f>in_parking_demand_data_ver1!E1271*calibration!$I$31</f>
        <v>0.79993282675999755</v>
      </c>
      <c r="F1271" s="3">
        <f t="shared" si="19"/>
        <v>8.6849849762513998</v>
      </c>
      <c r="G1271">
        <v>40</v>
      </c>
    </row>
    <row r="1272" spans="1:7" x14ac:dyDescent="0.25">
      <c r="A1272">
        <v>18105</v>
      </c>
      <c r="B1272" t="s">
        <v>58</v>
      </c>
      <c r="C1272">
        <v>22</v>
      </c>
      <c r="D1272" s="3">
        <f>in_parking_demand_data_ver1!D1272*calibration!$I$31</f>
        <v>7.9421902085456892</v>
      </c>
      <c r="E1272" s="3">
        <f>in_parking_demand_data_ver1!E1272*calibration!$I$31</f>
        <v>0.57138059054285473</v>
      </c>
      <c r="F1272" s="3">
        <f t="shared" si="19"/>
        <v>8.5135707990885443</v>
      </c>
      <c r="G1272">
        <v>40</v>
      </c>
    </row>
    <row r="1273" spans="1:7" x14ac:dyDescent="0.25">
      <c r="A1273">
        <v>18105</v>
      </c>
      <c r="B1273" t="s">
        <v>58</v>
      </c>
      <c r="C1273">
        <v>23</v>
      </c>
      <c r="D1273" s="3">
        <f>in_parking_demand_data_ver1!D1273*calibration!$I$31</f>
        <v>7.9993282675999762</v>
      </c>
      <c r="E1273" s="3">
        <f>in_parking_demand_data_ver1!E1273*calibration!$I$31</f>
        <v>0.62851864959714088</v>
      </c>
      <c r="F1273" s="3">
        <f t="shared" si="19"/>
        <v>8.6278469171971164</v>
      </c>
      <c r="G1273">
        <v>40</v>
      </c>
    </row>
    <row r="1274" spans="1:7" x14ac:dyDescent="0.25">
      <c r="A1274">
        <v>18107</v>
      </c>
      <c r="B1274" t="s">
        <v>59</v>
      </c>
      <c r="C1274">
        <v>0</v>
      </c>
      <c r="D1274" s="3">
        <f>in_parking_demand_data_ver1!D1274*calibration!$I$31</f>
        <v>193.63290521578455</v>
      </c>
      <c r="E1274" s="3">
        <f>in_parking_demand_data_ver1!E1274*calibration!$I$31</f>
        <v>4.2081747389039874</v>
      </c>
      <c r="F1274" s="3">
        <f t="shared" si="19"/>
        <v>197.84107995468852</v>
      </c>
      <c r="G1274">
        <v>165</v>
      </c>
    </row>
    <row r="1275" spans="1:7" x14ac:dyDescent="0.25">
      <c r="A1275">
        <v>18107</v>
      </c>
      <c r="B1275" t="s">
        <v>59</v>
      </c>
      <c r="C1275">
        <v>1</v>
      </c>
      <c r="D1275" s="3">
        <f>in_parking_demand_data_ver1!D1275*calibration!$I$31</f>
        <v>193.57603798958272</v>
      </c>
      <c r="E1275" s="3">
        <f>in_parking_demand_data_ver1!E1275*calibration!$I$31</f>
        <v>4.8905814533208494</v>
      </c>
      <c r="F1275" s="3">
        <f t="shared" si="19"/>
        <v>198.46661944290358</v>
      </c>
      <c r="G1275">
        <v>165</v>
      </c>
    </row>
    <row r="1276" spans="1:7" x14ac:dyDescent="0.25">
      <c r="A1276">
        <v>18107</v>
      </c>
      <c r="B1276" t="s">
        <v>59</v>
      </c>
      <c r="C1276">
        <v>2</v>
      </c>
      <c r="D1276" s="3">
        <f>in_parking_demand_data_ver1!D1276*calibration!$I$31</f>
        <v>195.28205477562545</v>
      </c>
      <c r="E1276" s="3">
        <f>in_parking_demand_data_ver1!E1276*calibration!$I$31</f>
        <v>6.02792597734895</v>
      </c>
      <c r="F1276" s="3">
        <f t="shared" si="19"/>
        <v>201.30998075297441</v>
      </c>
      <c r="G1276">
        <v>165</v>
      </c>
    </row>
    <row r="1277" spans="1:7" x14ac:dyDescent="0.25">
      <c r="A1277">
        <v>18107</v>
      </c>
      <c r="B1277" t="s">
        <v>59</v>
      </c>
      <c r="C1277">
        <v>3</v>
      </c>
      <c r="D1277" s="3">
        <f>in_parking_demand_data_ver1!D1277*calibration!$I$31</f>
        <v>195.96446149004169</v>
      </c>
      <c r="E1277" s="3">
        <f>in_parking_demand_data_ver1!E1277*calibration!$I$31</f>
        <v>6.5965982393630043</v>
      </c>
      <c r="F1277" s="3">
        <f t="shared" si="19"/>
        <v>202.56105972940469</v>
      </c>
      <c r="G1277">
        <v>165</v>
      </c>
    </row>
    <row r="1278" spans="1:7" x14ac:dyDescent="0.25">
      <c r="A1278">
        <v>18107</v>
      </c>
      <c r="B1278" t="s">
        <v>59</v>
      </c>
      <c r="C1278">
        <v>4</v>
      </c>
      <c r="D1278" s="3">
        <f>in_parking_demand_data_ver1!D1278*calibration!$I$31</f>
        <v>189.19726157207509</v>
      </c>
      <c r="E1278" s="3">
        <f>in_parking_demand_data_ver1!E1278*calibration!$I$31</f>
        <v>7.6202083109882981</v>
      </c>
      <c r="F1278" s="3">
        <f t="shared" si="19"/>
        <v>196.81746988306338</v>
      </c>
      <c r="G1278">
        <v>165</v>
      </c>
    </row>
    <row r="1279" spans="1:7" x14ac:dyDescent="0.25">
      <c r="A1279">
        <v>18107</v>
      </c>
      <c r="B1279" t="s">
        <v>59</v>
      </c>
      <c r="C1279">
        <v>5</v>
      </c>
      <c r="D1279" s="3">
        <f>in_parking_demand_data_ver1!D1279*calibration!$I$31</f>
        <v>176.00406509334874</v>
      </c>
      <c r="E1279" s="3">
        <f>in_parking_demand_data_ver1!E1279*calibration!$I$31</f>
        <v>7.9045444419953288</v>
      </c>
      <c r="F1279" s="3">
        <f t="shared" si="19"/>
        <v>183.90860953534408</v>
      </c>
      <c r="G1279">
        <v>165</v>
      </c>
    </row>
    <row r="1280" spans="1:7" x14ac:dyDescent="0.25">
      <c r="A1280">
        <v>18107</v>
      </c>
      <c r="B1280" t="s">
        <v>59</v>
      </c>
      <c r="C1280">
        <v>6</v>
      </c>
      <c r="D1280" s="3">
        <f>in_parking_demand_data_ver1!D1280*calibration!$I$31</f>
        <v>159.79690562594814</v>
      </c>
      <c r="E1280" s="3">
        <f>in_parking_demand_data_ver1!E1280*calibration!$I$31</f>
        <v>7.9614116681967291</v>
      </c>
      <c r="F1280" s="3">
        <f t="shared" si="19"/>
        <v>167.75831729414486</v>
      </c>
      <c r="G1280">
        <v>165</v>
      </c>
    </row>
    <row r="1281" spans="1:7" x14ac:dyDescent="0.25">
      <c r="A1281">
        <v>18107</v>
      </c>
      <c r="B1281" t="s">
        <v>59</v>
      </c>
      <c r="C1281">
        <v>7</v>
      </c>
      <c r="D1281" s="3">
        <f>in_parking_demand_data_ver1!D1281*calibration!$I$31</f>
        <v>131.53389420384968</v>
      </c>
      <c r="E1281" s="3">
        <f>in_parking_demand_data_ver1!E1281*calibration!$I$31</f>
        <v>8.6438183826135386</v>
      </c>
      <c r="F1281" s="3">
        <f t="shared" si="19"/>
        <v>140.17771258646323</v>
      </c>
      <c r="G1281">
        <v>165</v>
      </c>
    </row>
    <row r="1282" spans="1:7" x14ac:dyDescent="0.25">
      <c r="A1282">
        <v>18107</v>
      </c>
      <c r="B1282" t="s">
        <v>59</v>
      </c>
      <c r="C1282">
        <v>8</v>
      </c>
      <c r="D1282" s="3">
        <f>in_parking_demand_data_ver1!D1282*calibration!$I$31</f>
        <v>98.778371911840807</v>
      </c>
      <c r="E1282" s="3">
        <f>in_parking_demand_data_ver1!E1282*calibration!$I$31</f>
        <v>7.3927394061826828</v>
      </c>
      <c r="F1282" s="3">
        <f t="shared" si="19"/>
        <v>106.17111131802349</v>
      </c>
      <c r="G1282">
        <v>165</v>
      </c>
    </row>
    <row r="1283" spans="1:7" x14ac:dyDescent="0.25">
      <c r="A1283">
        <v>18107</v>
      </c>
      <c r="B1283" t="s">
        <v>59</v>
      </c>
      <c r="C1283">
        <v>9</v>
      </c>
      <c r="D1283" s="3">
        <f>in_parking_demand_data_ver1!D1283*calibration!$I$31</f>
        <v>79.614116681967289</v>
      </c>
      <c r="E1283" s="3">
        <f>in_parking_demand_data_ver1!E1283*calibration!$I$31</f>
        <v>7.3927394061826828</v>
      </c>
      <c r="F1283" s="3">
        <f t="shared" ref="F1283:F1346" si="20">SUM(D1283:E1283)</f>
        <v>87.006856088149974</v>
      </c>
      <c r="G1283">
        <v>165</v>
      </c>
    </row>
    <row r="1284" spans="1:7" x14ac:dyDescent="0.25">
      <c r="A1284">
        <v>18107</v>
      </c>
      <c r="B1284" t="s">
        <v>59</v>
      </c>
      <c r="C1284">
        <v>10</v>
      </c>
      <c r="D1284" s="3">
        <f>in_parking_demand_data_ver1!D1284*calibration!$I$31</f>
        <v>68.468140346491893</v>
      </c>
      <c r="E1284" s="3">
        <f>in_parking_demand_data_ver1!E1284*calibration!$I$31</f>
        <v>5.9710587511475506</v>
      </c>
      <c r="F1284" s="3">
        <f t="shared" si="20"/>
        <v>74.439199097639445</v>
      </c>
      <c r="G1284">
        <v>165</v>
      </c>
    </row>
    <row r="1285" spans="1:7" x14ac:dyDescent="0.25">
      <c r="A1285">
        <v>18107</v>
      </c>
      <c r="B1285" t="s">
        <v>59</v>
      </c>
      <c r="C1285">
        <v>11</v>
      </c>
      <c r="D1285" s="3">
        <f>in_parking_demand_data_ver1!D1285*calibration!$I$31</f>
        <v>66.25031852463708</v>
      </c>
      <c r="E1285" s="3">
        <f>in_parking_demand_data_ver1!E1285*calibration!$I$31</f>
        <v>5.5729881677377122</v>
      </c>
      <c r="F1285" s="3">
        <f t="shared" si="20"/>
        <v>71.823306692374786</v>
      </c>
      <c r="G1285">
        <v>165</v>
      </c>
    </row>
    <row r="1286" spans="1:7" x14ac:dyDescent="0.25">
      <c r="A1286">
        <v>18107</v>
      </c>
      <c r="B1286" t="s">
        <v>59</v>
      </c>
      <c r="C1286">
        <v>12</v>
      </c>
      <c r="D1286" s="3">
        <f>in_parking_demand_data_ver1!D1286*calibration!$I$31</f>
        <v>72.505713406791628</v>
      </c>
      <c r="E1286" s="3">
        <f>in_parking_demand_data_ver1!E1286*calibration!$I$31</f>
        <v>4.0375730602997724</v>
      </c>
      <c r="F1286" s="3">
        <f t="shared" si="20"/>
        <v>76.543286467091406</v>
      </c>
      <c r="G1286">
        <v>165</v>
      </c>
    </row>
    <row r="1287" spans="1:7" x14ac:dyDescent="0.25">
      <c r="A1287">
        <v>18107</v>
      </c>
      <c r="B1287" t="s">
        <v>59</v>
      </c>
      <c r="C1287">
        <v>13</v>
      </c>
      <c r="D1287" s="3">
        <f>in_parking_demand_data_ver1!D1287*calibration!$I$31</f>
        <v>76.315817562285829</v>
      </c>
      <c r="E1287" s="3">
        <f>in_parking_demand_data_ver1!E1287*calibration!$I$31</f>
        <v>5.1180503581264656</v>
      </c>
      <c r="F1287" s="3">
        <f t="shared" si="20"/>
        <v>81.433867920412297</v>
      </c>
      <c r="G1287">
        <v>165</v>
      </c>
    </row>
    <row r="1288" spans="1:7" x14ac:dyDescent="0.25">
      <c r="A1288">
        <v>18107</v>
      </c>
      <c r="B1288" t="s">
        <v>59</v>
      </c>
      <c r="C1288">
        <v>14</v>
      </c>
      <c r="D1288" s="3">
        <f>in_parking_demand_data_ver1!D1288*calibration!$I$31</f>
        <v>76.315817562285829</v>
      </c>
      <c r="E1288" s="3">
        <f>in_parking_demand_data_ver1!E1288*calibration!$I$31</f>
        <v>5.6298553939391196</v>
      </c>
      <c r="F1288" s="3">
        <f t="shared" si="20"/>
        <v>81.945672956224954</v>
      </c>
      <c r="G1288">
        <v>165</v>
      </c>
    </row>
    <row r="1289" spans="1:7" x14ac:dyDescent="0.25">
      <c r="A1289">
        <v>18107</v>
      </c>
      <c r="B1289" t="s">
        <v>59</v>
      </c>
      <c r="C1289">
        <v>15</v>
      </c>
      <c r="D1289" s="3">
        <f>in_parking_demand_data_ver1!D1289*calibration!$I$31</f>
        <v>83.936025873274133</v>
      </c>
      <c r="E1289" s="3">
        <f>in_parking_demand_data_ver1!E1289*calibration!$I$31</f>
        <v>5.8573242987447349</v>
      </c>
      <c r="F1289" s="3">
        <f t="shared" si="20"/>
        <v>89.793350172018862</v>
      </c>
      <c r="G1289">
        <v>165</v>
      </c>
    </row>
    <row r="1290" spans="1:7" x14ac:dyDescent="0.25">
      <c r="A1290">
        <v>18107</v>
      </c>
      <c r="B1290" t="s">
        <v>59</v>
      </c>
      <c r="C1290">
        <v>16</v>
      </c>
      <c r="D1290" s="3">
        <f>in_parking_demand_data_ver1!D1290*calibration!$I$31</f>
        <v>98.8352391380418</v>
      </c>
      <c r="E1290" s="3">
        <f>in_parking_demand_data_ver1!E1290*calibration!$I$31</f>
        <v>3.7532369292927412</v>
      </c>
      <c r="F1290" s="3">
        <f t="shared" si="20"/>
        <v>102.58847606733454</v>
      </c>
      <c r="G1290">
        <v>165</v>
      </c>
    </row>
    <row r="1291" spans="1:7" x14ac:dyDescent="0.25">
      <c r="A1291">
        <v>18107</v>
      </c>
      <c r="B1291" t="s">
        <v>59</v>
      </c>
      <c r="C1291">
        <v>17</v>
      </c>
      <c r="D1291" s="3">
        <f>in_parking_demand_data_ver1!D1291*calibration!$I$31</f>
        <v>118.45443217752705</v>
      </c>
      <c r="E1291" s="3">
        <f>in_parking_demand_data_ver1!E1291*calibration!$I$31</f>
        <v>1.4216806550351235</v>
      </c>
      <c r="F1291" s="3">
        <f t="shared" si="20"/>
        <v>119.87611283256217</v>
      </c>
      <c r="G1291">
        <v>165</v>
      </c>
    </row>
    <row r="1292" spans="1:7" x14ac:dyDescent="0.25">
      <c r="A1292">
        <v>18107</v>
      </c>
      <c r="B1292" t="s">
        <v>59</v>
      </c>
      <c r="C1292">
        <v>18</v>
      </c>
      <c r="D1292" s="3">
        <f>in_parking_demand_data_ver1!D1292*calibration!$I$31</f>
        <v>134.94592777593434</v>
      </c>
      <c r="E1292" s="3">
        <f>in_parking_demand_data_ver1!E1292*calibration!$I$31</f>
        <v>1.1373445240281004</v>
      </c>
      <c r="F1292" s="3">
        <f t="shared" si="20"/>
        <v>136.08327229996243</v>
      </c>
      <c r="G1292">
        <v>165</v>
      </c>
    </row>
    <row r="1293" spans="1:7" x14ac:dyDescent="0.25">
      <c r="A1293">
        <v>18107</v>
      </c>
      <c r="B1293" t="s">
        <v>59</v>
      </c>
      <c r="C1293">
        <v>19</v>
      </c>
      <c r="D1293" s="3">
        <f>in_parking_demand_data_ver1!D1293*calibration!$I$31</f>
        <v>152.17669731495974</v>
      </c>
      <c r="E1293" s="3">
        <f>in_parking_demand_data_ver1!E1293*calibration!$I$31</f>
        <v>1.3648134288337239</v>
      </c>
      <c r="F1293" s="3">
        <f t="shared" si="20"/>
        <v>153.54151074379345</v>
      </c>
      <c r="G1293">
        <v>165</v>
      </c>
    </row>
    <row r="1294" spans="1:7" x14ac:dyDescent="0.25">
      <c r="A1294">
        <v>18107</v>
      </c>
      <c r="B1294" t="s">
        <v>59</v>
      </c>
      <c r="C1294">
        <v>20</v>
      </c>
      <c r="D1294" s="3">
        <f>in_parking_demand_data_ver1!D1294*calibration!$I$31</f>
        <v>171.22721809243075</v>
      </c>
      <c r="E1294" s="3">
        <f>in_parking_demand_data_ver1!E1294*calibration!$I$31</f>
        <v>1.3079462026323159</v>
      </c>
      <c r="F1294" s="3">
        <f t="shared" si="20"/>
        <v>172.53516429506305</v>
      </c>
      <c r="G1294">
        <v>165</v>
      </c>
    </row>
    <row r="1295" spans="1:7" x14ac:dyDescent="0.25">
      <c r="A1295">
        <v>18107</v>
      </c>
      <c r="B1295" t="s">
        <v>59</v>
      </c>
      <c r="C1295">
        <v>21</v>
      </c>
      <c r="D1295" s="3">
        <f>in_parking_demand_data_ver1!D1295*calibration!$I$31</f>
        <v>183.56740617813614</v>
      </c>
      <c r="E1295" s="3">
        <f>in_parking_demand_data_ver1!E1295*calibration!$I$31</f>
        <v>1.5354151074379394</v>
      </c>
      <c r="F1295" s="3">
        <f t="shared" si="20"/>
        <v>185.10282128557407</v>
      </c>
      <c r="G1295">
        <v>165</v>
      </c>
    </row>
    <row r="1296" spans="1:7" x14ac:dyDescent="0.25">
      <c r="A1296">
        <v>18107</v>
      </c>
      <c r="B1296" t="s">
        <v>59</v>
      </c>
      <c r="C1296">
        <v>22</v>
      </c>
      <c r="D1296" s="3">
        <f>in_parking_demand_data_ver1!D1296*calibration!$I$31</f>
        <v>188.62858931006085</v>
      </c>
      <c r="E1296" s="3">
        <f>in_parking_demand_data_ver1!E1296*calibration!$I$31</f>
        <v>3.2414318934800943</v>
      </c>
      <c r="F1296" s="3">
        <f t="shared" si="20"/>
        <v>191.87002120354094</v>
      </c>
      <c r="G1296">
        <v>165</v>
      </c>
    </row>
    <row r="1297" spans="1:7" x14ac:dyDescent="0.25">
      <c r="A1297">
        <v>18107</v>
      </c>
      <c r="B1297" t="s">
        <v>59</v>
      </c>
      <c r="C1297">
        <v>23</v>
      </c>
      <c r="D1297" s="3">
        <f>in_parking_demand_data_ver1!D1297*calibration!$I$31</f>
        <v>192.32495901315218</v>
      </c>
      <c r="E1297" s="3">
        <f>in_parking_demand_data_ver1!E1297*calibration!$I$31</f>
        <v>3.4689007982857176</v>
      </c>
      <c r="F1297" s="3">
        <f t="shared" si="20"/>
        <v>195.7938598114379</v>
      </c>
      <c r="G1297">
        <v>165</v>
      </c>
    </row>
    <row r="1298" spans="1:7" x14ac:dyDescent="0.25">
      <c r="A1298">
        <v>18109</v>
      </c>
      <c r="B1298" t="s">
        <v>60</v>
      </c>
      <c r="C1298">
        <v>0</v>
      </c>
      <c r="D1298" s="3">
        <f>in_parking_demand_data_ver1!D1298*calibration!$I$31</f>
        <v>11.317974238072109</v>
      </c>
      <c r="E1298" s="3">
        <f>in_parking_demand_data_ver1!E1298*calibration!$I$31</f>
        <v>5.3337579742638734</v>
      </c>
      <c r="F1298" s="3">
        <f t="shared" si="20"/>
        <v>16.651732212335983</v>
      </c>
      <c r="G1298">
        <v>56</v>
      </c>
    </row>
    <row r="1299" spans="1:7" x14ac:dyDescent="0.25">
      <c r="A1299">
        <v>18109</v>
      </c>
      <c r="B1299" t="s">
        <v>60</v>
      </c>
      <c r="C1299">
        <v>1</v>
      </c>
      <c r="D1299" s="3">
        <f>in_parking_demand_data_ver1!D1299*calibration!$I$31</f>
        <v>11.73426754338052</v>
      </c>
      <c r="E1299" s="3">
        <f>in_parking_demand_data_ver1!E1299*calibration!$I$31</f>
        <v>5.8541246058993774</v>
      </c>
      <c r="F1299" s="3">
        <f t="shared" si="20"/>
        <v>17.588392149279898</v>
      </c>
      <c r="G1299">
        <v>56</v>
      </c>
    </row>
    <row r="1300" spans="1:7" x14ac:dyDescent="0.25">
      <c r="A1300">
        <v>18109</v>
      </c>
      <c r="B1300" t="s">
        <v>60</v>
      </c>
      <c r="C1300">
        <v>2</v>
      </c>
      <c r="D1300" s="3">
        <f>in_parking_demand_data_ver1!D1300*calibration!$I$31</f>
        <v>12.228615843434225</v>
      </c>
      <c r="E1300" s="3">
        <f>in_parking_demand_data_ver1!E1300*calibration!$I$31</f>
        <v>6.6606928849343987</v>
      </c>
      <c r="F1300" s="3">
        <f t="shared" si="20"/>
        <v>18.889308728368626</v>
      </c>
      <c r="G1300">
        <v>56</v>
      </c>
    </row>
    <row r="1301" spans="1:7" x14ac:dyDescent="0.25">
      <c r="A1301">
        <v>18109</v>
      </c>
      <c r="B1301" t="s">
        <v>60</v>
      </c>
      <c r="C1301">
        <v>3</v>
      </c>
      <c r="D1301" s="3">
        <f>in_parking_demand_data_ver1!D1301*calibration!$I$31</f>
        <v>11.760285874962285</v>
      </c>
      <c r="E1301" s="3">
        <f>in_parking_demand_data_ver1!E1301*calibration!$I$31</f>
        <v>6.9208762007521498</v>
      </c>
      <c r="F1301" s="3">
        <f t="shared" si="20"/>
        <v>18.681162075714436</v>
      </c>
      <c r="G1301">
        <v>56</v>
      </c>
    </row>
    <row r="1302" spans="1:7" x14ac:dyDescent="0.25">
      <c r="A1302">
        <v>18109</v>
      </c>
      <c r="B1302" t="s">
        <v>60</v>
      </c>
      <c r="C1302">
        <v>4</v>
      </c>
      <c r="D1302" s="3">
        <f>in_parking_demand_data_ver1!D1302*calibration!$I$31</f>
        <v>11.396029232817405</v>
      </c>
      <c r="E1302" s="3">
        <f>in_parking_demand_data_ver1!E1302*calibration!$I$31</f>
        <v>7.7014261482053969</v>
      </c>
      <c r="F1302" s="3">
        <f t="shared" si="20"/>
        <v>19.097455381022801</v>
      </c>
      <c r="G1302">
        <v>56</v>
      </c>
    </row>
    <row r="1303" spans="1:7" x14ac:dyDescent="0.25">
      <c r="A1303">
        <v>18109</v>
      </c>
      <c r="B1303" t="s">
        <v>60</v>
      </c>
      <c r="C1303">
        <v>5</v>
      </c>
      <c r="D1303" s="3">
        <f>in_parking_demand_data_ver1!D1303*calibration!$I$31</f>
        <v>10.953717595927229</v>
      </c>
      <c r="E1303" s="3">
        <f>in_parking_demand_data_ver1!E1303*calibration!$I$31</f>
        <v>8.4299394324950985</v>
      </c>
      <c r="F1303" s="3">
        <f t="shared" si="20"/>
        <v>19.383657028422327</v>
      </c>
      <c r="G1303">
        <v>56</v>
      </c>
    </row>
    <row r="1304" spans="1:7" x14ac:dyDescent="0.25">
      <c r="A1304">
        <v>18109</v>
      </c>
      <c r="B1304" t="s">
        <v>60</v>
      </c>
      <c r="C1304">
        <v>6</v>
      </c>
      <c r="D1304" s="3">
        <f>in_parking_demand_data_ver1!D1304*calibration!$I$31</f>
        <v>9.9129843326562046</v>
      </c>
      <c r="E1304" s="3">
        <f>in_parking_demand_data_ver1!E1304*calibration!$I$31</f>
        <v>9.4706726957660301</v>
      </c>
      <c r="F1304" s="3">
        <f t="shared" si="20"/>
        <v>19.383657028422235</v>
      </c>
      <c r="G1304">
        <v>56</v>
      </c>
    </row>
    <row r="1305" spans="1:7" x14ac:dyDescent="0.25">
      <c r="A1305">
        <v>18109</v>
      </c>
      <c r="B1305" t="s">
        <v>60</v>
      </c>
      <c r="C1305">
        <v>7</v>
      </c>
      <c r="D1305" s="3">
        <f>in_parking_demand_data_ver1!D1305*calibration!$I$31</f>
        <v>8.5860494219856793</v>
      </c>
      <c r="E1305" s="3">
        <f>in_parking_demand_data_ver1!E1305*calibration!$I$31</f>
        <v>9.8609476694926759</v>
      </c>
      <c r="F1305" s="3">
        <f t="shared" si="20"/>
        <v>18.446997091478355</v>
      </c>
      <c r="G1305">
        <v>56</v>
      </c>
    </row>
    <row r="1306" spans="1:7" x14ac:dyDescent="0.25">
      <c r="A1306">
        <v>18109</v>
      </c>
      <c r="B1306" t="s">
        <v>60</v>
      </c>
      <c r="C1306">
        <v>8</v>
      </c>
      <c r="D1306" s="3">
        <f>in_parking_demand_data_ver1!D1306*calibration!$I$31</f>
        <v>6.5826378901890781</v>
      </c>
      <c r="E1306" s="3">
        <f>in_parking_demand_data_ver1!E1306*calibration!$I$31</f>
        <v>9.2885443746936751</v>
      </c>
      <c r="F1306" s="3">
        <f t="shared" si="20"/>
        <v>15.871182264882753</v>
      </c>
      <c r="G1306">
        <v>56</v>
      </c>
    </row>
    <row r="1307" spans="1:7" x14ac:dyDescent="0.25">
      <c r="A1307">
        <v>18109</v>
      </c>
      <c r="B1307" t="s">
        <v>60</v>
      </c>
      <c r="C1307">
        <v>9</v>
      </c>
      <c r="D1307" s="3">
        <f>in_parking_demand_data_ver1!D1307*calibration!$I$31</f>
        <v>5.2817213111003261</v>
      </c>
      <c r="E1307" s="3">
        <f>in_parking_demand_data_ver1!E1307*calibration!$I$31</f>
        <v>10.06909432214688</v>
      </c>
      <c r="F1307" s="3">
        <f t="shared" si="20"/>
        <v>15.350815633247205</v>
      </c>
      <c r="G1307">
        <v>56</v>
      </c>
    </row>
    <row r="1308" spans="1:7" x14ac:dyDescent="0.25">
      <c r="A1308">
        <v>18109</v>
      </c>
      <c r="B1308" t="s">
        <v>60</v>
      </c>
      <c r="C1308">
        <v>10</v>
      </c>
      <c r="D1308" s="3">
        <f>in_parking_demand_data_ver1!D1308*calibration!$I$31</f>
        <v>4.6572813531377282</v>
      </c>
      <c r="E1308" s="3">
        <f>in_parking_demand_data_ver1!E1308*calibration!$I$31</f>
        <v>9.7308560115838496</v>
      </c>
      <c r="F1308" s="3">
        <f t="shared" si="20"/>
        <v>14.388137364721578</v>
      </c>
      <c r="G1308">
        <v>56</v>
      </c>
    </row>
    <row r="1309" spans="1:7" x14ac:dyDescent="0.25">
      <c r="A1309">
        <v>18109</v>
      </c>
      <c r="B1309" t="s">
        <v>60</v>
      </c>
      <c r="C1309">
        <v>11</v>
      </c>
      <c r="D1309" s="3">
        <f>in_parking_demand_data_ver1!D1309*calibration!$I$31</f>
        <v>3.5645114267031737</v>
      </c>
      <c r="E1309" s="3">
        <f>in_parking_demand_data_ver1!E1309*calibration!$I$31</f>
        <v>8.6901227483128238</v>
      </c>
      <c r="F1309" s="3">
        <f t="shared" si="20"/>
        <v>12.254634175015997</v>
      </c>
      <c r="G1309">
        <v>56</v>
      </c>
    </row>
    <row r="1310" spans="1:7" x14ac:dyDescent="0.25">
      <c r="A1310">
        <v>18109</v>
      </c>
      <c r="B1310" t="s">
        <v>60</v>
      </c>
      <c r="C1310">
        <v>12</v>
      </c>
      <c r="D1310" s="3">
        <f>in_parking_demand_data_ver1!D1310*calibration!$I$31</f>
        <v>2.6018331581774943</v>
      </c>
      <c r="E1310" s="3">
        <f>in_parking_demand_data_ver1!E1310*calibration!$I$31</f>
        <v>7.3892061692240993</v>
      </c>
      <c r="F1310" s="3">
        <f t="shared" si="20"/>
        <v>9.9910393274015945</v>
      </c>
      <c r="G1310">
        <v>56</v>
      </c>
    </row>
    <row r="1311" spans="1:7" x14ac:dyDescent="0.25">
      <c r="A1311">
        <v>18109</v>
      </c>
      <c r="B1311" t="s">
        <v>60</v>
      </c>
      <c r="C1311">
        <v>13</v>
      </c>
      <c r="D1311" s="3">
        <f>in_parking_demand_data_ver1!D1311*calibration!$I$31</f>
        <v>1.899338205469576</v>
      </c>
      <c r="E1311" s="3">
        <f>in_parking_demand_data_ver1!E1311*calibration!$I$31</f>
        <v>3.6165480898667202</v>
      </c>
      <c r="F1311" s="3">
        <f t="shared" si="20"/>
        <v>5.5158862953362959</v>
      </c>
      <c r="G1311">
        <v>56</v>
      </c>
    </row>
    <row r="1312" spans="1:7" x14ac:dyDescent="0.25">
      <c r="A1312">
        <v>18109</v>
      </c>
      <c r="B1312" t="s">
        <v>60</v>
      </c>
      <c r="C1312">
        <v>14</v>
      </c>
      <c r="D1312" s="3">
        <f>in_parking_demand_data_ver1!D1312*calibration!$I$31</f>
        <v>1.4310082369976189</v>
      </c>
      <c r="E1312" s="3">
        <f>in_parking_demand_data_ver1!E1312*calibration!$I$31</f>
        <v>2.445723168686845</v>
      </c>
      <c r="F1312" s="3">
        <f t="shared" si="20"/>
        <v>3.8767314056844642</v>
      </c>
      <c r="G1312">
        <v>56</v>
      </c>
    </row>
    <row r="1313" spans="1:7" x14ac:dyDescent="0.25">
      <c r="A1313">
        <v>18109</v>
      </c>
      <c r="B1313" t="s">
        <v>60</v>
      </c>
      <c r="C1313">
        <v>15</v>
      </c>
      <c r="D1313" s="3">
        <f>in_parking_demand_data_ver1!D1313*calibration!$I$31</f>
        <v>1.5350815633247215</v>
      </c>
      <c r="E1313" s="3">
        <f>in_parking_demand_data_ver1!E1313*calibration!$I$31</f>
        <v>3.5905297582849465</v>
      </c>
      <c r="F1313" s="3">
        <f t="shared" si="20"/>
        <v>5.1256113216096679</v>
      </c>
      <c r="G1313">
        <v>56</v>
      </c>
    </row>
    <row r="1314" spans="1:7" x14ac:dyDescent="0.25">
      <c r="A1314">
        <v>18109</v>
      </c>
      <c r="B1314" t="s">
        <v>60</v>
      </c>
      <c r="C1314">
        <v>16</v>
      </c>
      <c r="D1314" s="3">
        <f>in_parking_demand_data_ver1!D1314*calibration!$I$31</f>
        <v>1.9253565370513492</v>
      </c>
      <c r="E1314" s="3">
        <f>in_parking_demand_data_ver1!E1314*calibration!$I$31</f>
        <v>3.3823831056307503</v>
      </c>
      <c r="F1314" s="3">
        <f t="shared" si="20"/>
        <v>5.3077396426820993</v>
      </c>
      <c r="G1314">
        <v>56</v>
      </c>
    </row>
    <row r="1315" spans="1:7" x14ac:dyDescent="0.25">
      <c r="A1315">
        <v>18109</v>
      </c>
      <c r="B1315" t="s">
        <v>60</v>
      </c>
      <c r="C1315">
        <v>17</v>
      </c>
      <c r="D1315" s="3">
        <f>in_parking_demand_data_ver1!D1315*calibration!$I$31</f>
        <v>2.8099798108316993</v>
      </c>
      <c r="E1315" s="3">
        <f>in_parking_demand_data_ver1!E1315*calibration!$I$31</f>
        <v>3.1221997898129983</v>
      </c>
      <c r="F1315" s="3">
        <f t="shared" si="20"/>
        <v>5.9321796006446981</v>
      </c>
      <c r="G1315">
        <v>56</v>
      </c>
    </row>
    <row r="1316" spans="1:7" x14ac:dyDescent="0.25">
      <c r="A1316">
        <v>18109</v>
      </c>
      <c r="B1316" t="s">
        <v>60</v>
      </c>
      <c r="C1316">
        <v>18</v>
      </c>
      <c r="D1316" s="3">
        <f>in_parking_demand_data_ver1!D1316*calibration!$I$31</f>
        <v>3.5645114267031737</v>
      </c>
      <c r="E1316" s="3">
        <f>in_parking_demand_data_ver1!E1316*calibration!$I$31</f>
        <v>3.5384930951214</v>
      </c>
      <c r="F1316" s="3">
        <f t="shared" si="20"/>
        <v>7.1030045218245732</v>
      </c>
      <c r="G1316">
        <v>56</v>
      </c>
    </row>
    <row r="1317" spans="1:7" x14ac:dyDescent="0.25">
      <c r="A1317">
        <v>18109</v>
      </c>
      <c r="B1317" t="s">
        <v>60</v>
      </c>
      <c r="C1317">
        <v>19</v>
      </c>
      <c r="D1317" s="3">
        <f>in_parking_demand_data_ver1!D1317*calibration!$I$31</f>
        <v>5.2296846479367707</v>
      </c>
      <c r="E1317" s="3">
        <f>in_parking_demand_data_ver1!E1317*calibration!$I$31</f>
        <v>3.1221997898129983</v>
      </c>
      <c r="F1317" s="3">
        <f t="shared" si="20"/>
        <v>8.351884437749769</v>
      </c>
      <c r="G1317">
        <v>56</v>
      </c>
    </row>
    <row r="1318" spans="1:7" x14ac:dyDescent="0.25">
      <c r="A1318">
        <v>18109</v>
      </c>
      <c r="B1318" t="s">
        <v>60</v>
      </c>
      <c r="C1318">
        <v>20</v>
      </c>
      <c r="D1318" s="3">
        <f>in_parking_demand_data_ver1!D1318*calibration!$I$31</f>
        <v>7.7534628113689532</v>
      </c>
      <c r="E1318" s="3">
        <f>in_parking_demand_data_ver1!E1318*calibration!$I$31</f>
        <v>3.2522914477218743</v>
      </c>
      <c r="F1318" s="3">
        <f t="shared" si="20"/>
        <v>11.005754259090828</v>
      </c>
      <c r="G1318">
        <v>56</v>
      </c>
    </row>
    <row r="1319" spans="1:7" x14ac:dyDescent="0.25">
      <c r="A1319">
        <v>18109</v>
      </c>
      <c r="B1319" t="s">
        <v>60</v>
      </c>
      <c r="C1319">
        <v>21</v>
      </c>
      <c r="D1319" s="3">
        <f>in_parking_demand_data_ver1!D1319*calibration!$I$31</f>
        <v>9.3665993694389691</v>
      </c>
      <c r="E1319" s="3">
        <f>in_parking_demand_data_ver1!E1319*calibration!$I$31</f>
        <v>3.6165480898667202</v>
      </c>
      <c r="F1319" s="3">
        <f t="shared" si="20"/>
        <v>12.983147459305689</v>
      </c>
      <c r="G1319">
        <v>56</v>
      </c>
    </row>
    <row r="1320" spans="1:7" x14ac:dyDescent="0.25">
      <c r="A1320">
        <v>18109</v>
      </c>
      <c r="B1320" t="s">
        <v>60</v>
      </c>
      <c r="C1320">
        <v>22</v>
      </c>
      <c r="D1320" s="3">
        <f>in_parking_demand_data_ver1!D1320*calibration!$I$31</f>
        <v>10.277240974801085</v>
      </c>
      <c r="E1320" s="3">
        <f>in_parking_demand_data_ver1!E1320*calibration!$I$31</f>
        <v>4.2409880478293269</v>
      </c>
      <c r="F1320" s="3">
        <f t="shared" si="20"/>
        <v>14.518229022630411</v>
      </c>
      <c r="G1320">
        <v>56</v>
      </c>
    </row>
    <row r="1321" spans="1:7" x14ac:dyDescent="0.25">
      <c r="A1321">
        <v>18109</v>
      </c>
      <c r="B1321" t="s">
        <v>60</v>
      </c>
      <c r="C1321">
        <v>23</v>
      </c>
      <c r="D1321" s="3">
        <f>in_parking_demand_data_ver1!D1321*calibration!$I$31</f>
        <v>10.875662601181935</v>
      </c>
      <c r="E1321" s="3">
        <f>in_parking_demand_data_ver1!E1321*calibration!$I$31</f>
        <v>4.7353363478830488</v>
      </c>
      <c r="F1321" s="3">
        <f t="shared" si="20"/>
        <v>15.610998949064983</v>
      </c>
      <c r="G1321">
        <v>56</v>
      </c>
    </row>
    <row r="1322" spans="1:7" x14ac:dyDescent="0.25">
      <c r="A1322">
        <v>18111</v>
      </c>
      <c r="B1322" t="s">
        <v>61</v>
      </c>
      <c r="C1322">
        <v>0</v>
      </c>
      <c r="D1322" s="3">
        <f>in_parking_demand_data_ver1!D1322*calibration!$I$31</f>
        <v>29.301048136645242</v>
      </c>
      <c r="E1322" s="3">
        <f>in_parking_demand_data_ver1!E1322*calibration!$I$31</f>
        <v>0</v>
      </c>
      <c r="F1322" s="3">
        <f t="shared" si="20"/>
        <v>29.301048136645242</v>
      </c>
      <c r="G1322">
        <v>36</v>
      </c>
    </row>
    <row r="1323" spans="1:7" x14ac:dyDescent="0.25">
      <c r="A1323">
        <v>18111</v>
      </c>
      <c r="B1323" t="s">
        <v>61</v>
      </c>
      <c r="C1323">
        <v>1</v>
      </c>
      <c r="D1323" s="3">
        <f>in_parking_demand_data_ver1!D1323*calibration!$I$31</f>
        <v>29.549011872639429</v>
      </c>
      <c r="E1323" s="3">
        <f>in_parking_demand_data_ver1!E1323*calibration!$I$31</f>
        <v>0</v>
      </c>
      <c r="F1323" s="3">
        <f t="shared" si="20"/>
        <v>29.549011872639429</v>
      </c>
      <c r="G1323">
        <v>36</v>
      </c>
    </row>
    <row r="1324" spans="1:7" x14ac:dyDescent="0.25">
      <c r="A1324">
        <v>18111</v>
      </c>
      <c r="B1324" t="s">
        <v>61</v>
      </c>
      <c r="C1324">
        <v>2</v>
      </c>
      <c r="D1324" s="3">
        <f>in_parking_demand_data_ver1!D1324*calibration!$I$31</f>
        <v>29.507684583306993</v>
      </c>
      <c r="E1324" s="3">
        <f>in_parking_demand_data_ver1!E1324*calibration!$I$31</f>
        <v>0.12398186799708825</v>
      </c>
      <c r="F1324" s="3">
        <f t="shared" si="20"/>
        <v>29.631666451304081</v>
      </c>
      <c r="G1324">
        <v>36</v>
      </c>
    </row>
    <row r="1325" spans="1:7" x14ac:dyDescent="0.25">
      <c r="A1325">
        <v>18111</v>
      </c>
      <c r="B1325" t="s">
        <v>61</v>
      </c>
      <c r="C1325">
        <v>3</v>
      </c>
      <c r="D1325" s="3">
        <f>in_parking_demand_data_ver1!D1325*calibration!$I$31</f>
        <v>29.920957476630665</v>
      </c>
      <c r="E1325" s="3">
        <f>in_parking_demand_data_ver1!E1325*calibration!$I$31</f>
        <v>0.12398186799708825</v>
      </c>
      <c r="F1325" s="3">
        <f t="shared" si="20"/>
        <v>30.044939344627753</v>
      </c>
      <c r="G1325">
        <v>36</v>
      </c>
    </row>
    <row r="1326" spans="1:7" x14ac:dyDescent="0.25">
      <c r="A1326">
        <v>18111</v>
      </c>
      <c r="B1326" t="s">
        <v>61</v>
      </c>
      <c r="C1326">
        <v>4</v>
      </c>
      <c r="D1326" s="3">
        <f>in_parking_demand_data_ver1!D1326*calibration!$I$31</f>
        <v>29.755648319301176</v>
      </c>
      <c r="E1326" s="3">
        <f>in_parking_demand_data_ver1!E1326*calibration!$I$31</f>
        <v>0</v>
      </c>
      <c r="F1326" s="3">
        <f t="shared" si="20"/>
        <v>29.755648319301176</v>
      </c>
      <c r="G1326">
        <v>36</v>
      </c>
    </row>
    <row r="1327" spans="1:7" x14ac:dyDescent="0.25">
      <c r="A1327">
        <v>18111</v>
      </c>
      <c r="B1327" t="s">
        <v>61</v>
      </c>
      <c r="C1327">
        <v>5</v>
      </c>
      <c r="D1327" s="3">
        <f>in_parking_demand_data_ver1!D1327*calibration!$I$31</f>
        <v>27.978574878009621</v>
      </c>
      <c r="E1327" s="3">
        <f>in_parking_demand_data_ver1!E1327*calibration!$I$31</f>
        <v>8.265457866472567E-2</v>
      </c>
      <c r="F1327" s="3">
        <f t="shared" si="20"/>
        <v>28.061229456674347</v>
      </c>
      <c r="G1327">
        <v>36</v>
      </c>
    </row>
    <row r="1328" spans="1:7" x14ac:dyDescent="0.25">
      <c r="A1328">
        <v>18111</v>
      </c>
      <c r="B1328" t="s">
        <v>61</v>
      </c>
      <c r="C1328">
        <v>6</v>
      </c>
      <c r="D1328" s="3">
        <f>in_parking_demand_data_ver1!D1328*calibration!$I$31</f>
        <v>24.920355467414783</v>
      </c>
      <c r="E1328" s="3">
        <f>in_parking_demand_data_ver1!E1328*calibration!$I$31</f>
        <v>0.37194560399126475</v>
      </c>
      <c r="F1328" s="3">
        <f t="shared" si="20"/>
        <v>25.292301071406047</v>
      </c>
      <c r="G1328">
        <v>36</v>
      </c>
    </row>
    <row r="1329" spans="1:7" x14ac:dyDescent="0.25">
      <c r="A1329">
        <v>18111</v>
      </c>
      <c r="B1329" t="s">
        <v>61</v>
      </c>
      <c r="C1329">
        <v>7</v>
      </c>
      <c r="D1329" s="3">
        <f>in_parking_demand_data_ver1!D1329*calibration!$I$31</f>
        <v>18.473298331566145</v>
      </c>
      <c r="E1329" s="3">
        <f>in_parking_demand_data_ver1!E1329*calibration!$I$31</f>
        <v>0.20663644666181374</v>
      </c>
      <c r="F1329" s="3">
        <f t="shared" si="20"/>
        <v>18.67993477822796</v>
      </c>
      <c r="G1329">
        <v>36</v>
      </c>
    </row>
    <row r="1330" spans="1:7" x14ac:dyDescent="0.25">
      <c r="A1330">
        <v>18111</v>
      </c>
      <c r="B1330" t="s">
        <v>61</v>
      </c>
      <c r="C1330">
        <v>8</v>
      </c>
      <c r="D1330" s="3">
        <f>in_parking_demand_data_ver1!D1330*calibration!$I$31</f>
        <v>12.480841378373524</v>
      </c>
      <c r="E1330" s="3">
        <f>in_parking_demand_data_ver1!E1330*calibration!$I$31</f>
        <v>0.20663644666181374</v>
      </c>
      <c r="F1330" s="3">
        <f t="shared" si="20"/>
        <v>12.687477825035337</v>
      </c>
      <c r="G1330">
        <v>36</v>
      </c>
    </row>
    <row r="1331" spans="1:7" x14ac:dyDescent="0.25">
      <c r="A1331">
        <v>18111</v>
      </c>
      <c r="B1331" t="s">
        <v>61</v>
      </c>
      <c r="C1331">
        <v>9</v>
      </c>
      <c r="D1331" s="3">
        <f>in_parking_demand_data_ver1!D1331*calibration!$I$31</f>
        <v>10.662440647749531</v>
      </c>
      <c r="E1331" s="3">
        <f>in_parking_demand_data_ver1!E1331*calibration!$I$31</f>
        <v>8.265457866472567E-2</v>
      </c>
      <c r="F1331" s="3">
        <f t="shared" si="20"/>
        <v>10.745095226414255</v>
      </c>
      <c r="G1331">
        <v>36</v>
      </c>
    </row>
    <row r="1332" spans="1:7" x14ac:dyDescent="0.25">
      <c r="A1332">
        <v>18111</v>
      </c>
      <c r="B1332" t="s">
        <v>61</v>
      </c>
      <c r="C1332">
        <v>10</v>
      </c>
      <c r="D1332" s="3">
        <f>in_parking_demand_data_ver1!D1332*calibration!$I$31</f>
        <v>10.001204018431759</v>
      </c>
      <c r="E1332" s="3">
        <f>in_parking_demand_data_ver1!E1332*calibration!$I$31</f>
        <v>0.57858205065307933</v>
      </c>
      <c r="F1332" s="3">
        <f t="shared" si="20"/>
        <v>10.579786069084838</v>
      </c>
      <c r="G1332">
        <v>36</v>
      </c>
    </row>
    <row r="1333" spans="1:7" x14ac:dyDescent="0.25">
      <c r="A1333">
        <v>18111</v>
      </c>
      <c r="B1333" t="s">
        <v>61</v>
      </c>
      <c r="C1333">
        <v>11</v>
      </c>
      <c r="D1333" s="3">
        <f>in_parking_demand_data_ver1!D1333*calibration!$I$31</f>
        <v>9.0506763637874563</v>
      </c>
      <c r="E1333" s="3">
        <f>in_parking_demand_data_ver1!E1333*calibration!$I$31</f>
        <v>0.70256391865016754</v>
      </c>
      <c r="F1333" s="3">
        <f t="shared" si="20"/>
        <v>9.7532402824376234</v>
      </c>
      <c r="G1333">
        <v>36</v>
      </c>
    </row>
    <row r="1334" spans="1:7" x14ac:dyDescent="0.25">
      <c r="A1334">
        <v>18111</v>
      </c>
      <c r="B1334" t="s">
        <v>61</v>
      </c>
      <c r="C1334">
        <v>12</v>
      </c>
      <c r="D1334" s="3">
        <f>in_parking_demand_data_ver1!D1334*calibration!$I$31</f>
        <v>8.3894397344696507</v>
      </c>
      <c r="E1334" s="3">
        <f>in_parking_demand_data_ver1!E1334*calibration!$I$31</f>
        <v>8.265457866472567E-2</v>
      </c>
      <c r="F1334" s="3">
        <f t="shared" si="20"/>
        <v>8.4720943131343756</v>
      </c>
      <c r="G1334">
        <v>36</v>
      </c>
    </row>
    <row r="1335" spans="1:7" x14ac:dyDescent="0.25">
      <c r="A1335">
        <v>18111</v>
      </c>
      <c r="B1335" t="s">
        <v>61</v>
      </c>
      <c r="C1335">
        <v>13</v>
      </c>
      <c r="D1335" s="3">
        <f>in_parking_demand_data_ver1!D1335*calibration!$I$31</f>
        <v>8.1414759984754745</v>
      </c>
      <c r="E1335" s="3">
        <f>in_parking_demand_data_ver1!E1335*calibration!$I$31</f>
        <v>0.70256391865016754</v>
      </c>
      <c r="F1335" s="3">
        <f t="shared" si="20"/>
        <v>8.8440399171256416</v>
      </c>
      <c r="G1335">
        <v>36</v>
      </c>
    </row>
    <row r="1336" spans="1:7" x14ac:dyDescent="0.25">
      <c r="A1336">
        <v>18111</v>
      </c>
      <c r="B1336" t="s">
        <v>61</v>
      </c>
      <c r="C1336">
        <v>14</v>
      </c>
      <c r="D1336" s="3">
        <f>in_parking_demand_data_ver1!D1336*calibration!$I$31</f>
        <v>8.8853672064579694</v>
      </c>
      <c r="E1336" s="3">
        <f>in_parking_demand_data_ver1!E1336*calibration!$I$31</f>
        <v>0.45460018265599106</v>
      </c>
      <c r="F1336" s="3">
        <f t="shared" si="20"/>
        <v>9.3399673891139603</v>
      </c>
      <c r="G1336">
        <v>36</v>
      </c>
    </row>
    <row r="1337" spans="1:7" x14ac:dyDescent="0.25">
      <c r="A1337">
        <v>18111</v>
      </c>
      <c r="B1337" t="s">
        <v>61</v>
      </c>
      <c r="C1337">
        <v>15</v>
      </c>
      <c r="D1337" s="3">
        <f>in_parking_demand_data_ver1!D1337*calibration!$I$31</f>
        <v>8.2654578664725662</v>
      </c>
      <c r="E1337" s="3">
        <f>in_parking_demand_data_ver1!E1337*calibration!$I$31</f>
        <v>0.24796373599417651</v>
      </c>
      <c r="F1337" s="3">
        <f t="shared" si="20"/>
        <v>8.5134216024667424</v>
      </c>
      <c r="G1337">
        <v>36</v>
      </c>
    </row>
    <row r="1338" spans="1:7" x14ac:dyDescent="0.25">
      <c r="A1338">
        <v>18111</v>
      </c>
      <c r="B1338" t="s">
        <v>61</v>
      </c>
      <c r="C1338">
        <v>16</v>
      </c>
      <c r="D1338" s="3">
        <f>in_parking_demand_data_ver1!D1338*calibration!$I$31</f>
        <v>8.8440399171256185</v>
      </c>
      <c r="E1338" s="3">
        <f>in_parking_demand_data_ver1!E1338*calibration!$I$31</f>
        <v>8.265457866472567E-2</v>
      </c>
      <c r="F1338" s="3">
        <f t="shared" si="20"/>
        <v>8.9266944957903434</v>
      </c>
      <c r="G1338">
        <v>36</v>
      </c>
    </row>
    <row r="1339" spans="1:7" x14ac:dyDescent="0.25">
      <c r="A1339">
        <v>18111</v>
      </c>
      <c r="B1339" t="s">
        <v>61</v>
      </c>
      <c r="C1339">
        <v>17</v>
      </c>
      <c r="D1339" s="3">
        <f>in_parking_demand_data_ver1!D1339*calibration!$I$31</f>
        <v>11.736950170390969</v>
      </c>
      <c r="E1339" s="3">
        <f>in_parking_demand_data_ver1!E1339*calibration!$I$31</f>
        <v>0.20663644666181374</v>
      </c>
      <c r="F1339" s="3">
        <f t="shared" si="20"/>
        <v>11.943586617052782</v>
      </c>
      <c r="G1339">
        <v>36</v>
      </c>
    </row>
    <row r="1340" spans="1:7" x14ac:dyDescent="0.25">
      <c r="A1340">
        <v>18111</v>
      </c>
      <c r="B1340" t="s">
        <v>61</v>
      </c>
      <c r="C1340">
        <v>18</v>
      </c>
      <c r="D1340" s="3">
        <f>in_parking_demand_data_ver1!D1340*calibration!$I$31</f>
        <v>14.712515002321103</v>
      </c>
      <c r="E1340" s="3">
        <f>in_parking_demand_data_ver1!E1340*calibration!$I$31</f>
        <v>0.16530915732945101</v>
      </c>
      <c r="F1340" s="3">
        <f t="shared" si="20"/>
        <v>14.877824159650554</v>
      </c>
      <c r="G1340">
        <v>36</v>
      </c>
    </row>
    <row r="1341" spans="1:7" x14ac:dyDescent="0.25">
      <c r="A1341">
        <v>18111</v>
      </c>
      <c r="B1341" t="s">
        <v>61</v>
      </c>
      <c r="C1341">
        <v>19</v>
      </c>
      <c r="D1341" s="3">
        <f>in_parking_demand_data_ver1!D1341*calibration!$I$31</f>
        <v>18.514625620898496</v>
      </c>
      <c r="E1341" s="3">
        <f>in_parking_demand_data_ver1!E1341*calibration!$I$31</f>
        <v>0</v>
      </c>
      <c r="F1341" s="3">
        <f t="shared" si="20"/>
        <v>18.514625620898496</v>
      </c>
      <c r="G1341">
        <v>36</v>
      </c>
    </row>
    <row r="1342" spans="1:7" x14ac:dyDescent="0.25">
      <c r="A1342">
        <v>18111</v>
      </c>
      <c r="B1342" t="s">
        <v>61</v>
      </c>
      <c r="C1342">
        <v>20</v>
      </c>
      <c r="D1342" s="3">
        <f>in_parking_demand_data_ver1!D1342*calibration!$I$31</f>
        <v>22.358063528808234</v>
      </c>
      <c r="E1342" s="3">
        <f>in_parking_demand_data_ver1!E1342*calibration!$I$31</f>
        <v>8.265457866472567E-2</v>
      </c>
      <c r="F1342" s="3">
        <f t="shared" si="20"/>
        <v>22.440718107472961</v>
      </c>
      <c r="G1342">
        <v>36</v>
      </c>
    </row>
    <row r="1343" spans="1:7" x14ac:dyDescent="0.25">
      <c r="A1343">
        <v>18111</v>
      </c>
      <c r="B1343" t="s">
        <v>61</v>
      </c>
      <c r="C1343">
        <v>21</v>
      </c>
      <c r="D1343" s="3">
        <f>in_parking_demand_data_ver1!D1343*calibration!$I$31</f>
        <v>25.498937518067855</v>
      </c>
      <c r="E1343" s="3">
        <f>in_parking_demand_data_ver1!E1343*calibration!$I$31</f>
        <v>0</v>
      </c>
      <c r="F1343" s="3">
        <f t="shared" si="20"/>
        <v>25.498937518067855</v>
      </c>
      <c r="G1343">
        <v>36</v>
      </c>
    </row>
    <row r="1344" spans="1:7" x14ac:dyDescent="0.25">
      <c r="A1344">
        <v>18111</v>
      </c>
      <c r="B1344" t="s">
        <v>61</v>
      </c>
      <c r="C1344">
        <v>22</v>
      </c>
      <c r="D1344" s="3">
        <f>in_parking_demand_data_ver1!D1344*calibration!$I$31</f>
        <v>27.028047223365231</v>
      </c>
      <c r="E1344" s="3">
        <f>in_parking_demand_data_ver1!E1344*calibration!$I$31</f>
        <v>0</v>
      </c>
      <c r="F1344" s="3">
        <f t="shared" si="20"/>
        <v>27.028047223365231</v>
      </c>
      <c r="G1344">
        <v>36</v>
      </c>
    </row>
    <row r="1345" spans="1:7" x14ac:dyDescent="0.25">
      <c r="A1345">
        <v>18111</v>
      </c>
      <c r="B1345" t="s">
        <v>61</v>
      </c>
      <c r="C1345">
        <v>23</v>
      </c>
      <c r="D1345" s="3">
        <f>in_parking_demand_data_ver1!D1345*calibration!$I$31</f>
        <v>28.805120664656876</v>
      </c>
      <c r="E1345" s="3">
        <f>in_parking_demand_data_ver1!E1345*calibration!$I$31</f>
        <v>8.265457866472567E-2</v>
      </c>
      <c r="F1345" s="3">
        <f t="shared" si="20"/>
        <v>28.887775243321602</v>
      </c>
      <c r="G1345">
        <v>36</v>
      </c>
    </row>
    <row r="1346" spans="1:7" x14ac:dyDescent="0.25">
      <c r="A1346">
        <v>18113</v>
      </c>
      <c r="B1346" t="s">
        <v>62</v>
      </c>
      <c r="C1346">
        <v>0</v>
      </c>
      <c r="D1346" s="3">
        <f>in_parking_demand_data_ver1!D1346*calibration!$I$31</f>
        <v>18.693806202403216</v>
      </c>
      <c r="E1346" s="3">
        <f>in_parking_demand_data_ver1!E1346*calibration!$I$31</f>
        <v>0.3527133245736464</v>
      </c>
      <c r="F1346" s="3">
        <f t="shared" si="20"/>
        <v>19.046519526976862</v>
      </c>
      <c r="G1346">
        <v>50</v>
      </c>
    </row>
    <row r="1347" spans="1:7" x14ac:dyDescent="0.25">
      <c r="A1347">
        <v>18113</v>
      </c>
      <c r="B1347" t="s">
        <v>62</v>
      </c>
      <c r="C1347">
        <v>1</v>
      </c>
      <c r="D1347" s="3">
        <f>in_parking_demand_data_ver1!D1347*calibration!$I$31</f>
        <v>18.341092877829553</v>
      </c>
      <c r="E1347" s="3">
        <f>in_parking_demand_data_ver1!E1347*calibration!$I$31</f>
        <v>0.58785554095607706</v>
      </c>
      <c r="F1347" s="3">
        <f t="shared" ref="F1347:F1410" si="21">SUM(D1347:E1347)</f>
        <v>18.92894841878563</v>
      </c>
      <c r="G1347">
        <v>50</v>
      </c>
    </row>
    <row r="1348" spans="1:7" x14ac:dyDescent="0.25">
      <c r="A1348">
        <v>18113</v>
      </c>
      <c r="B1348" t="s">
        <v>62</v>
      </c>
      <c r="C1348">
        <v>2</v>
      </c>
      <c r="D1348" s="3">
        <f>in_parking_demand_data_ver1!D1348*calibration!$I$31</f>
        <v>18.341092877829553</v>
      </c>
      <c r="E1348" s="3">
        <f>in_parking_demand_data_ver1!E1348*calibration!$I$31</f>
        <v>0.58785554095607706</v>
      </c>
      <c r="F1348" s="3">
        <f t="shared" si="21"/>
        <v>18.92894841878563</v>
      </c>
      <c r="G1348">
        <v>50</v>
      </c>
    </row>
    <row r="1349" spans="1:7" x14ac:dyDescent="0.25">
      <c r="A1349">
        <v>18113</v>
      </c>
      <c r="B1349" t="s">
        <v>62</v>
      </c>
      <c r="C1349">
        <v>3</v>
      </c>
      <c r="D1349" s="3">
        <f>in_parking_demand_data_ver1!D1349*calibration!$I$31</f>
        <v>18.223521769638335</v>
      </c>
      <c r="E1349" s="3">
        <f>in_parking_demand_data_ver1!E1349*calibration!$I$31</f>
        <v>0.58785554095607706</v>
      </c>
      <c r="F1349" s="3">
        <f t="shared" si="21"/>
        <v>18.811377310594413</v>
      </c>
      <c r="G1349">
        <v>50</v>
      </c>
    </row>
    <row r="1350" spans="1:7" x14ac:dyDescent="0.25">
      <c r="A1350">
        <v>18113</v>
      </c>
      <c r="B1350" t="s">
        <v>62</v>
      </c>
      <c r="C1350">
        <v>4</v>
      </c>
      <c r="D1350" s="3">
        <f>in_parking_demand_data_ver1!D1350*calibration!$I$31</f>
        <v>17.753237336873539</v>
      </c>
      <c r="E1350" s="3">
        <f>in_parking_demand_data_ver1!E1350*calibration!$I$31</f>
        <v>0.58785554095607706</v>
      </c>
      <c r="F1350" s="3">
        <f t="shared" si="21"/>
        <v>18.341092877829617</v>
      </c>
      <c r="G1350">
        <v>50</v>
      </c>
    </row>
    <row r="1351" spans="1:7" x14ac:dyDescent="0.25">
      <c r="A1351">
        <v>18113</v>
      </c>
      <c r="B1351" t="s">
        <v>62</v>
      </c>
      <c r="C1351">
        <v>5</v>
      </c>
      <c r="D1351" s="3">
        <f>in_parking_demand_data_ver1!D1351*calibration!$I$31</f>
        <v>18.047165107351507</v>
      </c>
      <c r="E1351" s="3">
        <f>in_parking_demand_data_ver1!E1351*calibration!$I$31</f>
        <v>0.94056886552971752</v>
      </c>
      <c r="F1351" s="3">
        <f t="shared" si="21"/>
        <v>18.987733972881223</v>
      </c>
      <c r="G1351">
        <v>50</v>
      </c>
    </row>
    <row r="1352" spans="1:7" x14ac:dyDescent="0.25">
      <c r="A1352">
        <v>18113</v>
      </c>
      <c r="B1352" t="s">
        <v>62</v>
      </c>
      <c r="C1352">
        <v>6</v>
      </c>
      <c r="D1352" s="3">
        <f>in_parking_demand_data_ver1!D1352*calibration!$I$31</f>
        <v>17.988379553255896</v>
      </c>
      <c r="E1352" s="3">
        <f>in_parking_demand_data_ver1!E1352*calibration!$I$31</f>
        <v>3.7034899080232857</v>
      </c>
      <c r="F1352" s="3">
        <f t="shared" si="21"/>
        <v>21.691869461279182</v>
      </c>
      <c r="G1352">
        <v>50</v>
      </c>
    </row>
    <row r="1353" spans="1:7" x14ac:dyDescent="0.25">
      <c r="A1353">
        <v>18113</v>
      </c>
      <c r="B1353" t="s">
        <v>62</v>
      </c>
      <c r="C1353">
        <v>7</v>
      </c>
      <c r="D1353" s="3">
        <f>in_parking_demand_data_ver1!D1353*calibration!$I$31</f>
        <v>16.577526254961342</v>
      </c>
      <c r="E1353" s="3">
        <f>in_parking_demand_data_ver1!E1353*calibration!$I$31</f>
        <v>5.6434131931783389</v>
      </c>
      <c r="F1353" s="3">
        <f t="shared" si="21"/>
        <v>22.220939448139681</v>
      </c>
      <c r="G1353">
        <v>50</v>
      </c>
    </row>
    <row r="1354" spans="1:7" x14ac:dyDescent="0.25">
      <c r="A1354">
        <v>18113</v>
      </c>
      <c r="B1354" t="s">
        <v>62</v>
      </c>
      <c r="C1354">
        <v>8</v>
      </c>
      <c r="D1354" s="3">
        <f>in_parking_demand_data_ver1!D1354*calibration!$I$31</f>
        <v>14.343675199328246</v>
      </c>
      <c r="E1354" s="3">
        <f>in_parking_demand_data_ver1!E1354*calibration!$I$31</f>
        <v>6.9954809373773177</v>
      </c>
      <c r="F1354" s="3">
        <f t="shared" si="21"/>
        <v>21.339156136705562</v>
      </c>
      <c r="G1354">
        <v>50</v>
      </c>
    </row>
    <row r="1355" spans="1:7" x14ac:dyDescent="0.25">
      <c r="A1355">
        <v>18113</v>
      </c>
      <c r="B1355" t="s">
        <v>62</v>
      </c>
      <c r="C1355">
        <v>9</v>
      </c>
      <c r="D1355" s="3">
        <f>in_parking_demand_data_ver1!D1355*calibration!$I$31</f>
        <v>13.34432077970296</v>
      </c>
      <c r="E1355" s="3">
        <f>in_parking_demand_data_ver1!E1355*calibration!$I$31</f>
        <v>7.4069798160465785</v>
      </c>
      <c r="F1355" s="3">
        <f t="shared" si="21"/>
        <v>20.751300595749537</v>
      </c>
      <c r="G1355">
        <v>50</v>
      </c>
    </row>
    <row r="1356" spans="1:7" x14ac:dyDescent="0.25">
      <c r="A1356">
        <v>18113</v>
      </c>
      <c r="B1356" t="s">
        <v>62</v>
      </c>
      <c r="C1356">
        <v>10</v>
      </c>
      <c r="D1356" s="3">
        <f>in_parking_demand_data_ver1!D1356*calibration!$I$31</f>
        <v>12.63889413055564</v>
      </c>
      <c r="E1356" s="3">
        <f>in_parking_demand_data_ver1!E1356*calibration!$I$31</f>
        <v>6.172483180038812</v>
      </c>
      <c r="F1356" s="3">
        <f t="shared" si="21"/>
        <v>18.811377310594452</v>
      </c>
      <c r="G1356">
        <v>50</v>
      </c>
    </row>
    <row r="1357" spans="1:7" x14ac:dyDescent="0.25">
      <c r="A1357">
        <v>18113</v>
      </c>
      <c r="B1357" t="s">
        <v>62</v>
      </c>
      <c r="C1357">
        <v>11</v>
      </c>
      <c r="D1357" s="3">
        <f>in_parking_demand_data_ver1!D1357*calibration!$I$31</f>
        <v>12.580108576460031</v>
      </c>
      <c r="E1357" s="3">
        <f>in_parking_demand_data_ver1!E1357*calibration!$I$31</f>
        <v>6.172483180038812</v>
      </c>
      <c r="F1357" s="3">
        <f t="shared" si="21"/>
        <v>18.752591756498845</v>
      </c>
      <c r="G1357">
        <v>50</v>
      </c>
    </row>
    <row r="1358" spans="1:7" x14ac:dyDescent="0.25">
      <c r="A1358">
        <v>18113</v>
      </c>
      <c r="B1358" t="s">
        <v>62</v>
      </c>
      <c r="C1358">
        <v>12</v>
      </c>
      <c r="D1358" s="3">
        <f>in_parking_demand_data_ver1!D1358*calibration!$I$31</f>
        <v>12.227395251886371</v>
      </c>
      <c r="E1358" s="3">
        <f>in_parking_demand_data_ver1!E1358*calibration!$I$31</f>
        <v>5.5846276390827283</v>
      </c>
      <c r="F1358" s="3">
        <f t="shared" si="21"/>
        <v>17.8120228909691</v>
      </c>
      <c r="G1358">
        <v>50</v>
      </c>
    </row>
    <row r="1359" spans="1:7" x14ac:dyDescent="0.25">
      <c r="A1359">
        <v>18113</v>
      </c>
      <c r="B1359" t="s">
        <v>62</v>
      </c>
      <c r="C1359">
        <v>13</v>
      </c>
      <c r="D1359" s="3">
        <f>in_parking_demand_data_ver1!D1359*calibration!$I$31</f>
        <v>11.698325265025879</v>
      </c>
      <c r="E1359" s="3">
        <f>in_parking_demand_data_ver1!E1359*calibration!$I$31</f>
        <v>3.9386321244057165</v>
      </c>
      <c r="F1359" s="3">
        <f t="shared" si="21"/>
        <v>15.636957389431595</v>
      </c>
      <c r="G1359">
        <v>50</v>
      </c>
    </row>
    <row r="1360" spans="1:7" x14ac:dyDescent="0.25">
      <c r="A1360">
        <v>18113</v>
      </c>
      <c r="B1360" t="s">
        <v>62</v>
      </c>
      <c r="C1360">
        <v>14</v>
      </c>
      <c r="D1360" s="3">
        <f>in_parking_demand_data_ver1!D1360*calibration!$I$31</f>
        <v>9.8759730880620538</v>
      </c>
      <c r="E1360" s="3">
        <f>in_parking_demand_data_ver1!E1360*calibration!$I$31</f>
        <v>2.1750655015374849</v>
      </c>
      <c r="F1360" s="3">
        <f t="shared" si="21"/>
        <v>12.051038589599539</v>
      </c>
      <c r="G1360">
        <v>50</v>
      </c>
    </row>
    <row r="1361" spans="1:7" x14ac:dyDescent="0.25">
      <c r="A1361">
        <v>18113</v>
      </c>
      <c r="B1361" t="s">
        <v>62</v>
      </c>
      <c r="C1361">
        <v>15</v>
      </c>
      <c r="D1361" s="3">
        <f>in_parking_demand_data_ver1!D1361*calibration!$I$31</f>
        <v>10.581399737209374</v>
      </c>
      <c r="E1361" s="3">
        <f>in_parking_demand_data_ver1!E1361*calibration!$I$31</f>
        <v>1.175711081912149</v>
      </c>
      <c r="F1361" s="3">
        <f t="shared" si="21"/>
        <v>11.757110819121523</v>
      </c>
      <c r="G1361">
        <v>50</v>
      </c>
    </row>
    <row r="1362" spans="1:7" x14ac:dyDescent="0.25">
      <c r="A1362">
        <v>18113</v>
      </c>
      <c r="B1362" t="s">
        <v>62</v>
      </c>
      <c r="C1362">
        <v>16</v>
      </c>
      <c r="D1362" s="3">
        <f>in_parking_demand_data_ver1!D1362*calibration!$I$31</f>
        <v>11.58075415683466</v>
      </c>
      <c r="E1362" s="3">
        <f>in_parking_demand_data_ver1!E1362*calibration!$I$31</f>
        <v>0.94056886552971752</v>
      </c>
      <c r="F1362" s="3">
        <f t="shared" si="21"/>
        <v>12.521323022364378</v>
      </c>
      <c r="G1362">
        <v>50</v>
      </c>
    </row>
    <row r="1363" spans="1:7" x14ac:dyDescent="0.25">
      <c r="A1363">
        <v>18113</v>
      </c>
      <c r="B1363" t="s">
        <v>62</v>
      </c>
      <c r="C1363">
        <v>17</v>
      </c>
      <c r="D1363" s="3">
        <f>in_parking_demand_data_ver1!D1363*calibration!$I$31</f>
        <v>11.99225303550393</v>
      </c>
      <c r="E1363" s="3">
        <f>in_parking_demand_data_ver1!E1363*calibration!$I$31</f>
        <v>0.76421220324290018</v>
      </c>
      <c r="F1363" s="3">
        <f t="shared" si="21"/>
        <v>12.756465238746831</v>
      </c>
      <c r="G1363">
        <v>50</v>
      </c>
    </row>
    <row r="1364" spans="1:7" x14ac:dyDescent="0.25">
      <c r="A1364">
        <v>18113</v>
      </c>
      <c r="B1364" t="s">
        <v>62</v>
      </c>
      <c r="C1364">
        <v>18</v>
      </c>
      <c r="D1364" s="3">
        <f>in_parking_demand_data_ver1!D1364*calibration!$I$31</f>
        <v>13.520677441989704</v>
      </c>
      <c r="E1364" s="3">
        <f>in_parking_demand_data_ver1!E1364*calibration!$I$31</f>
        <v>0.52906998686046958</v>
      </c>
      <c r="F1364" s="3">
        <f t="shared" si="21"/>
        <v>14.049747428850175</v>
      </c>
      <c r="G1364">
        <v>50</v>
      </c>
    </row>
    <row r="1365" spans="1:7" x14ac:dyDescent="0.25">
      <c r="A1365">
        <v>18113</v>
      </c>
      <c r="B1365" t="s">
        <v>62</v>
      </c>
      <c r="C1365">
        <v>19</v>
      </c>
      <c r="D1365" s="3">
        <f>in_parking_demand_data_ver1!D1365*calibration!$I$31</f>
        <v>15.343029618953613</v>
      </c>
      <c r="E1365" s="3">
        <f>in_parking_demand_data_ver1!E1365*calibration!$I$31</f>
        <v>0.58785554095607706</v>
      </c>
      <c r="F1365" s="3">
        <f t="shared" si="21"/>
        <v>15.930885159909691</v>
      </c>
      <c r="G1365">
        <v>50</v>
      </c>
    </row>
    <row r="1366" spans="1:7" x14ac:dyDescent="0.25">
      <c r="A1366">
        <v>18113</v>
      </c>
      <c r="B1366" t="s">
        <v>62</v>
      </c>
      <c r="C1366">
        <v>20</v>
      </c>
      <c r="D1366" s="3">
        <f>in_parking_demand_data_ver1!D1366*calibration!$I$31</f>
        <v>16.166027376292067</v>
      </c>
      <c r="E1366" s="3">
        <f>in_parking_demand_data_ver1!E1366*calibration!$I$31</f>
        <v>0.58785554095607706</v>
      </c>
      <c r="F1366" s="3">
        <f t="shared" si="21"/>
        <v>16.753882917248145</v>
      </c>
      <c r="G1366">
        <v>50</v>
      </c>
    </row>
    <row r="1367" spans="1:7" x14ac:dyDescent="0.25">
      <c r="A1367">
        <v>18113</v>
      </c>
      <c r="B1367" t="s">
        <v>62</v>
      </c>
      <c r="C1367">
        <v>21</v>
      </c>
      <c r="D1367" s="3">
        <f>in_parking_demand_data_ver1!D1367*calibration!$I$31</f>
        <v>17.400524012299879</v>
      </c>
      <c r="E1367" s="3">
        <f>in_parking_demand_data_ver1!E1367*calibration!$I$31</f>
        <v>0.29392777047803809</v>
      </c>
      <c r="F1367" s="3">
        <f t="shared" si="21"/>
        <v>17.694451782777918</v>
      </c>
      <c r="G1367">
        <v>50</v>
      </c>
    </row>
    <row r="1368" spans="1:7" x14ac:dyDescent="0.25">
      <c r="A1368">
        <v>18113</v>
      </c>
      <c r="B1368" t="s">
        <v>62</v>
      </c>
      <c r="C1368">
        <v>22</v>
      </c>
      <c r="D1368" s="3">
        <f>in_parking_demand_data_ver1!D1368*calibration!$I$31</f>
        <v>17.81202289096915</v>
      </c>
      <c r="E1368" s="3">
        <f>in_parking_demand_data_ver1!E1368*calibration!$I$31</f>
        <v>0.3527133245736464</v>
      </c>
      <c r="F1368" s="3">
        <f t="shared" si="21"/>
        <v>18.164736215542796</v>
      </c>
      <c r="G1368">
        <v>50</v>
      </c>
    </row>
    <row r="1369" spans="1:7" x14ac:dyDescent="0.25">
      <c r="A1369">
        <v>18113</v>
      </c>
      <c r="B1369" t="s">
        <v>62</v>
      </c>
      <c r="C1369">
        <v>23</v>
      </c>
      <c r="D1369" s="3">
        <f>in_parking_demand_data_ver1!D1369*calibration!$I$31</f>
        <v>18.811377310594438</v>
      </c>
      <c r="E1369" s="3">
        <f>in_parking_demand_data_ver1!E1369*calibration!$I$31</f>
        <v>0.3527133245736464</v>
      </c>
      <c r="F1369" s="3">
        <f t="shared" si="21"/>
        <v>19.164090635168083</v>
      </c>
      <c r="G1369">
        <v>50</v>
      </c>
    </row>
    <row r="1370" spans="1:7" x14ac:dyDescent="0.25">
      <c r="A1370">
        <v>18115</v>
      </c>
      <c r="B1370" t="s">
        <v>63</v>
      </c>
      <c r="C1370">
        <v>0</v>
      </c>
      <c r="D1370" s="3">
        <f>in_parking_demand_data_ver1!D1370*calibration!$I$31</f>
        <v>0</v>
      </c>
      <c r="E1370" s="3">
        <f>in_parking_demand_data_ver1!E1370*calibration!$I$31</f>
        <v>0</v>
      </c>
      <c r="F1370" s="3">
        <f t="shared" si="21"/>
        <v>0</v>
      </c>
      <c r="G1370">
        <v>0</v>
      </c>
    </row>
    <row r="1371" spans="1:7" x14ac:dyDescent="0.25">
      <c r="A1371">
        <v>18115</v>
      </c>
      <c r="B1371" t="s">
        <v>63</v>
      </c>
      <c r="C1371">
        <v>1</v>
      </c>
      <c r="D1371" s="3">
        <f>in_parking_demand_data_ver1!D1371*calibration!$I$31</f>
        <v>0</v>
      </c>
      <c r="E1371" s="3">
        <f>in_parking_demand_data_ver1!E1371*calibration!$I$31</f>
        <v>0</v>
      </c>
      <c r="F1371" s="3">
        <f t="shared" si="21"/>
        <v>0</v>
      </c>
      <c r="G1371">
        <v>0</v>
      </c>
    </row>
    <row r="1372" spans="1:7" x14ac:dyDescent="0.25">
      <c r="A1372">
        <v>18115</v>
      </c>
      <c r="B1372" t="s">
        <v>63</v>
      </c>
      <c r="C1372">
        <v>2</v>
      </c>
      <c r="D1372" s="3">
        <f>in_parking_demand_data_ver1!D1372*calibration!$I$31</f>
        <v>0</v>
      </c>
      <c r="E1372" s="3">
        <f>in_parking_demand_data_ver1!E1372*calibration!$I$31</f>
        <v>0</v>
      </c>
      <c r="F1372" s="3">
        <f t="shared" si="21"/>
        <v>0</v>
      </c>
      <c r="G1372">
        <v>0</v>
      </c>
    </row>
    <row r="1373" spans="1:7" x14ac:dyDescent="0.25">
      <c r="A1373">
        <v>18115</v>
      </c>
      <c r="B1373" t="s">
        <v>63</v>
      </c>
      <c r="C1373">
        <v>3</v>
      </c>
      <c r="D1373" s="3">
        <f>in_parking_demand_data_ver1!D1373*calibration!$I$31</f>
        <v>0</v>
      </c>
      <c r="E1373" s="3">
        <f>in_parking_demand_data_ver1!E1373*calibration!$I$31</f>
        <v>0</v>
      </c>
      <c r="F1373" s="3">
        <f t="shared" si="21"/>
        <v>0</v>
      </c>
      <c r="G1373">
        <v>0</v>
      </c>
    </row>
    <row r="1374" spans="1:7" x14ac:dyDescent="0.25">
      <c r="A1374">
        <v>18115</v>
      </c>
      <c r="B1374" t="s">
        <v>63</v>
      </c>
      <c r="C1374">
        <v>4</v>
      </c>
      <c r="D1374" s="3">
        <f>in_parking_demand_data_ver1!D1374*calibration!$I$31</f>
        <v>0</v>
      </c>
      <c r="E1374" s="3">
        <f>in_parking_demand_data_ver1!E1374*calibration!$I$31</f>
        <v>0</v>
      </c>
      <c r="F1374" s="3">
        <f t="shared" si="21"/>
        <v>0</v>
      </c>
      <c r="G1374">
        <v>0</v>
      </c>
    </row>
    <row r="1375" spans="1:7" x14ac:dyDescent="0.25">
      <c r="A1375">
        <v>18115</v>
      </c>
      <c r="B1375" t="s">
        <v>63</v>
      </c>
      <c r="C1375">
        <v>5</v>
      </c>
      <c r="D1375" s="3">
        <f>in_parking_demand_data_ver1!D1375*calibration!$I$31</f>
        <v>0</v>
      </c>
      <c r="E1375" s="3">
        <f>in_parking_demand_data_ver1!E1375*calibration!$I$31</f>
        <v>0</v>
      </c>
      <c r="F1375" s="3">
        <f t="shared" si="21"/>
        <v>0</v>
      </c>
      <c r="G1375">
        <v>0</v>
      </c>
    </row>
    <row r="1376" spans="1:7" x14ac:dyDescent="0.25">
      <c r="A1376">
        <v>18115</v>
      </c>
      <c r="B1376" t="s">
        <v>63</v>
      </c>
      <c r="C1376">
        <v>6</v>
      </c>
      <c r="D1376" s="3">
        <f>in_parking_demand_data_ver1!D1376*calibration!$I$31</f>
        <v>0</v>
      </c>
      <c r="E1376" s="3">
        <f>in_parking_demand_data_ver1!E1376*calibration!$I$31</f>
        <v>0</v>
      </c>
      <c r="F1376" s="3">
        <f t="shared" si="21"/>
        <v>0</v>
      </c>
      <c r="G1376">
        <v>0</v>
      </c>
    </row>
    <row r="1377" spans="1:7" x14ac:dyDescent="0.25">
      <c r="A1377">
        <v>18115</v>
      </c>
      <c r="B1377" t="s">
        <v>63</v>
      </c>
      <c r="C1377">
        <v>7</v>
      </c>
      <c r="D1377" s="3">
        <f>in_parking_demand_data_ver1!D1377*calibration!$I$31</f>
        <v>0</v>
      </c>
      <c r="E1377" s="3">
        <f>in_parking_demand_data_ver1!E1377*calibration!$I$31</f>
        <v>0</v>
      </c>
      <c r="F1377" s="3">
        <f t="shared" si="21"/>
        <v>0</v>
      </c>
      <c r="G1377">
        <v>0</v>
      </c>
    </row>
    <row r="1378" spans="1:7" x14ac:dyDescent="0.25">
      <c r="A1378">
        <v>18115</v>
      </c>
      <c r="B1378" t="s">
        <v>63</v>
      </c>
      <c r="C1378">
        <v>8</v>
      </c>
      <c r="D1378" s="3">
        <f>in_parking_demand_data_ver1!D1378*calibration!$I$31</f>
        <v>0</v>
      </c>
      <c r="E1378" s="3">
        <f>in_parking_demand_data_ver1!E1378*calibration!$I$31</f>
        <v>0</v>
      </c>
      <c r="F1378" s="3">
        <f t="shared" si="21"/>
        <v>0</v>
      </c>
      <c r="G1378">
        <v>0</v>
      </c>
    </row>
    <row r="1379" spans="1:7" x14ac:dyDescent="0.25">
      <c r="A1379">
        <v>18115</v>
      </c>
      <c r="B1379" t="s">
        <v>63</v>
      </c>
      <c r="C1379">
        <v>9</v>
      </c>
      <c r="D1379" s="3">
        <f>in_parking_demand_data_ver1!D1379*calibration!$I$31</f>
        <v>0</v>
      </c>
      <c r="E1379" s="3">
        <f>in_parking_demand_data_ver1!E1379*calibration!$I$31</f>
        <v>0</v>
      </c>
      <c r="F1379" s="3">
        <f t="shared" si="21"/>
        <v>0</v>
      </c>
      <c r="G1379">
        <v>0</v>
      </c>
    </row>
    <row r="1380" spans="1:7" x14ac:dyDescent="0.25">
      <c r="A1380">
        <v>18115</v>
      </c>
      <c r="B1380" t="s">
        <v>63</v>
      </c>
      <c r="C1380">
        <v>10</v>
      </c>
      <c r="D1380" s="3">
        <f>in_parking_demand_data_ver1!D1380*calibration!$I$31</f>
        <v>0</v>
      </c>
      <c r="E1380" s="3">
        <f>in_parking_demand_data_ver1!E1380*calibration!$I$31</f>
        <v>0</v>
      </c>
      <c r="F1380" s="3">
        <f t="shared" si="21"/>
        <v>0</v>
      </c>
      <c r="G1380">
        <v>0</v>
      </c>
    </row>
    <row r="1381" spans="1:7" x14ac:dyDescent="0.25">
      <c r="A1381">
        <v>18115</v>
      </c>
      <c r="B1381" t="s">
        <v>63</v>
      </c>
      <c r="C1381">
        <v>11</v>
      </c>
      <c r="D1381" s="3">
        <f>in_parking_demand_data_ver1!D1381*calibration!$I$31</f>
        <v>0</v>
      </c>
      <c r="E1381" s="3">
        <f>in_parking_demand_data_ver1!E1381*calibration!$I$31</f>
        <v>0</v>
      </c>
      <c r="F1381" s="3">
        <f t="shared" si="21"/>
        <v>0</v>
      </c>
      <c r="G1381">
        <v>0</v>
      </c>
    </row>
    <row r="1382" spans="1:7" x14ac:dyDescent="0.25">
      <c r="A1382">
        <v>18115</v>
      </c>
      <c r="B1382" t="s">
        <v>63</v>
      </c>
      <c r="C1382">
        <v>12</v>
      </c>
      <c r="D1382" s="3">
        <f>in_parking_demand_data_ver1!D1382*calibration!$I$31</f>
        <v>0</v>
      </c>
      <c r="E1382" s="3">
        <f>in_parking_demand_data_ver1!E1382*calibration!$I$31</f>
        <v>0</v>
      </c>
      <c r="F1382" s="3">
        <f t="shared" si="21"/>
        <v>0</v>
      </c>
      <c r="G1382">
        <v>0</v>
      </c>
    </row>
    <row r="1383" spans="1:7" x14ac:dyDescent="0.25">
      <c r="A1383">
        <v>18115</v>
      </c>
      <c r="B1383" t="s">
        <v>63</v>
      </c>
      <c r="C1383">
        <v>13</v>
      </c>
      <c r="D1383" s="3">
        <f>in_parking_demand_data_ver1!D1383*calibration!$I$31</f>
        <v>0</v>
      </c>
      <c r="E1383" s="3">
        <f>in_parking_demand_data_ver1!E1383*calibration!$I$31</f>
        <v>0</v>
      </c>
      <c r="F1383" s="3">
        <f t="shared" si="21"/>
        <v>0</v>
      </c>
      <c r="G1383">
        <v>0</v>
      </c>
    </row>
    <row r="1384" spans="1:7" x14ac:dyDescent="0.25">
      <c r="A1384">
        <v>18115</v>
      </c>
      <c r="B1384" t="s">
        <v>63</v>
      </c>
      <c r="C1384">
        <v>14</v>
      </c>
      <c r="D1384" s="3">
        <f>in_parking_demand_data_ver1!D1384*calibration!$I$31</f>
        <v>0</v>
      </c>
      <c r="E1384" s="3">
        <f>in_parking_demand_data_ver1!E1384*calibration!$I$31</f>
        <v>0</v>
      </c>
      <c r="F1384" s="3">
        <f t="shared" si="21"/>
        <v>0</v>
      </c>
      <c r="G1384">
        <v>0</v>
      </c>
    </row>
    <row r="1385" spans="1:7" x14ac:dyDescent="0.25">
      <c r="A1385">
        <v>18115</v>
      </c>
      <c r="B1385" t="s">
        <v>63</v>
      </c>
      <c r="C1385">
        <v>15</v>
      </c>
      <c r="D1385" s="3">
        <f>in_parking_demand_data_ver1!D1385*calibration!$I$31</f>
        <v>0</v>
      </c>
      <c r="E1385" s="3">
        <f>in_parking_demand_data_ver1!E1385*calibration!$I$31</f>
        <v>0</v>
      </c>
      <c r="F1385" s="3">
        <f t="shared" si="21"/>
        <v>0</v>
      </c>
      <c r="G1385">
        <v>0</v>
      </c>
    </row>
    <row r="1386" spans="1:7" x14ac:dyDescent="0.25">
      <c r="A1386">
        <v>18115</v>
      </c>
      <c r="B1386" t="s">
        <v>63</v>
      </c>
      <c r="C1386">
        <v>16</v>
      </c>
      <c r="D1386" s="3">
        <f>in_parking_demand_data_ver1!D1386*calibration!$I$31</f>
        <v>0</v>
      </c>
      <c r="E1386" s="3">
        <f>in_parking_demand_data_ver1!E1386*calibration!$I$31</f>
        <v>0</v>
      </c>
      <c r="F1386" s="3">
        <f t="shared" si="21"/>
        <v>0</v>
      </c>
      <c r="G1386">
        <v>0</v>
      </c>
    </row>
    <row r="1387" spans="1:7" x14ac:dyDescent="0.25">
      <c r="A1387">
        <v>18115</v>
      </c>
      <c r="B1387" t="s">
        <v>63</v>
      </c>
      <c r="C1387">
        <v>17</v>
      </c>
      <c r="D1387" s="3">
        <f>in_parking_demand_data_ver1!D1387*calibration!$I$31</f>
        <v>0</v>
      </c>
      <c r="E1387" s="3">
        <f>in_parking_demand_data_ver1!E1387*calibration!$I$31</f>
        <v>0</v>
      </c>
      <c r="F1387" s="3">
        <f t="shared" si="21"/>
        <v>0</v>
      </c>
      <c r="G1387">
        <v>0</v>
      </c>
    </row>
    <row r="1388" spans="1:7" x14ac:dyDescent="0.25">
      <c r="A1388">
        <v>18115</v>
      </c>
      <c r="B1388" t="s">
        <v>63</v>
      </c>
      <c r="C1388">
        <v>18</v>
      </c>
      <c r="D1388" s="3">
        <f>in_parking_demand_data_ver1!D1388*calibration!$I$31</f>
        <v>0</v>
      </c>
      <c r="E1388" s="3">
        <f>in_parking_demand_data_ver1!E1388*calibration!$I$31</f>
        <v>0</v>
      </c>
      <c r="F1388" s="3">
        <f t="shared" si="21"/>
        <v>0</v>
      </c>
      <c r="G1388">
        <v>0</v>
      </c>
    </row>
    <row r="1389" spans="1:7" x14ac:dyDescent="0.25">
      <c r="A1389">
        <v>18115</v>
      </c>
      <c r="B1389" t="s">
        <v>63</v>
      </c>
      <c r="C1389">
        <v>19</v>
      </c>
      <c r="D1389" s="3">
        <f>in_parking_demand_data_ver1!D1389*calibration!$I$31</f>
        <v>0</v>
      </c>
      <c r="E1389" s="3">
        <f>in_parking_demand_data_ver1!E1389*calibration!$I$31</f>
        <v>0</v>
      </c>
      <c r="F1389" s="3">
        <f t="shared" si="21"/>
        <v>0</v>
      </c>
      <c r="G1389">
        <v>0</v>
      </c>
    </row>
    <row r="1390" spans="1:7" x14ac:dyDescent="0.25">
      <c r="A1390">
        <v>18115</v>
      </c>
      <c r="B1390" t="s">
        <v>63</v>
      </c>
      <c r="C1390">
        <v>20</v>
      </c>
      <c r="D1390" s="3">
        <f>in_parking_demand_data_ver1!D1390*calibration!$I$31</f>
        <v>0</v>
      </c>
      <c r="E1390" s="3">
        <f>in_parking_demand_data_ver1!E1390*calibration!$I$31</f>
        <v>0</v>
      </c>
      <c r="F1390" s="3">
        <f t="shared" si="21"/>
        <v>0</v>
      </c>
      <c r="G1390">
        <v>0</v>
      </c>
    </row>
    <row r="1391" spans="1:7" x14ac:dyDescent="0.25">
      <c r="A1391">
        <v>18115</v>
      </c>
      <c r="B1391" t="s">
        <v>63</v>
      </c>
      <c r="C1391">
        <v>21</v>
      </c>
      <c r="D1391" s="3">
        <f>in_parking_demand_data_ver1!D1391*calibration!$I$31</f>
        <v>0</v>
      </c>
      <c r="E1391" s="3">
        <f>in_parking_demand_data_ver1!E1391*calibration!$I$31</f>
        <v>0</v>
      </c>
      <c r="F1391" s="3">
        <f t="shared" si="21"/>
        <v>0</v>
      </c>
      <c r="G1391">
        <v>0</v>
      </c>
    </row>
    <row r="1392" spans="1:7" x14ac:dyDescent="0.25">
      <c r="A1392">
        <v>18115</v>
      </c>
      <c r="B1392" t="s">
        <v>63</v>
      </c>
      <c r="C1392">
        <v>22</v>
      </c>
      <c r="D1392" s="3">
        <f>in_parking_demand_data_ver1!D1392*calibration!$I$31</f>
        <v>0</v>
      </c>
      <c r="E1392" s="3">
        <f>in_parking_demand_data_ver1!E1392*calibration!$I$31</f>
        <v>0</v>
      </c>
      <c r="F1392" s="3">
        <f t="shared" si="21"/>
        <v>0</v>
      </c>
      <c r="G1392">
        <v>0</v>
      </c>
    </row>
    <row r="1393" spans="1:7" x14ac:dyDescent="0.25">
      <c r="A1393">
        <v>18115</v>
      </c>
      <c r="B1393" t="s">
        <v>63</v>
      </c>
      <c r="C1393">
        <v>23</v>
      </c>
      <c r="D1393" s="3">
        <f>in_parking_demand_data_ver1!D1393*calibration!$I$31</f>
        <v>0</v>
      </c>
      <c r="E1393" s="3">
        <f>in_parking_demand_data_ver1!E1393*calibration!$I$31</f>
        <v>0</v>
      </c>
      <c r="F1393" s="3">
        <f t="shared" si="21"/>
        <v>0</v>
      </c>
      <c r="G1393">
        <v>0</v>
      </c>
    </row>
    <row r="1394" spans="1:7" x14ac:dyDescent="0.25">
      <c r="A1394">
        <v>18117</v>
      </c>
      <c r="B1394" t="s">
        <v>64</v>
      </c>
      <c r="C1394">
        <v>0</v>
      </c>
      <c r="D1394" s="3">
        <f>in_parking_demand_data_ver1!D1394*calibration!$I$31</f>
        <v>0</v>
      </c>
      <c r="E1394" s="3">
        <f>in_parking_demand_data_ver1!E1394*calibration!$I$31</f>
        <v>0.14068661611079417</v>
      </c>
      <c r="F1394" s="3">
        <f t="shared" si="21"/>
        <v>0.14068661611079417</v>
      </c>
      <c r="G1394">
        <v>0</v>
      </c>
    </row>
    <row r="1395" spans="1:7" x14ac:dyDescent="0.25">
      <c r="A1395">
        <v>18117</v>
      </c>
      <c r="B1395" t="s">
        <v>64</v>
      </c>
      <c r="C1395">
        <v>1</v>
      </c>
      <c r="D1395" s="3">
        <f>in_parking_demand_data_ver1!D1395*calibration!$I$31</f>
        <v>0</v>
      </c>
      <c r="E1395" s="3">
        <f>in_parking_demand_data_ver1!E1395*calibration!$I$31</f>
        <v>0.1055149620830954</v>
      </c>
      <c r="F1395" s="3">
        <f t="shared" si="21"/>
        <v>0.1055149620830954</v>
      </c>
      <c r="G1395">
        <v>0</v>
      </c>
    </row>
    <row r="1396" spans="1:7" x14ac:dyDescent="0.25">
      <c r="A1396">
        <v>18117</v>
      </c>
      <c r="B1396" t="s">
        <v>64</v>
      </c>
      <c r="C1396">
        <v>2</v>
      </c>
      <c r="D1396" s="3">
        <f>in_parking_demand_data_ver1!D1396*calibration!$I$31</f>
        <v>0</v>
      </c>
      <c r="E1396" s="3">
        <f>in_parking_demand_data_ver1!E1396*calibration!$I$31</f>
        <v>0.1055149620830954</v>
      </c>
      <c r="F1396" s="3">
        <f t="shared" si="21"/>
        <v>0.1055149620830954</v>
      </c>
      <c r="G1396">
        <v>0</v>
      </c>
    </row>
    <row r="1397" spans="1:7" x14ac:dyDescent="0.25">
      <c r="A1397">
        <v>18117</v>
      </c>
      <c r="B1397" t="s">
        <v>64</v>
      </c>
      <c r="C1397">
        <v>3</v>
      </c>
      <c r="D1397" s="3">
        <f>in_parking_demand_data_ver1!D1397*calibration!$I$31</f>
        <v>0</v>
      </c>
      <c r="E1397" s="3">
        <f>in_parking_demand_data_ver1!E1397*calibration!$I$31</f>
        <v>0.1055149620830954</v>
      </c>
      <c r="F1397" s="3">
        <f t="shared" si="21"/>
        <v>0.1055149620830954</v>
      </c>
      <c r="G1397">
        <v>0</v>
      </c>
    </row>
    <row r="1398" spans="1:7" x14ac:dyDescent="0.25">
      <c r="A1398">
        <v>18117</v>
      </c>
      <c r="B1398" t="s">
        <v>64</v>
      </c>
      <c r="C1398">
        <v>4</v>
      </c>
      <c r="D1398" s="3">
        <f>in_parking_demand_data_ver1!D1398*calibration!$I$31</f>
        <v>0</v>
      </c>
      <c r="E1398" s="3">
        <f>in_parking_demand_data_ver1!E1398*calibration!$I$31</f>
        <v>0.1055149620830954</v>
      </c>
      <c r="F1398" s="3">
        <f t="shared" si="21"/>
        <v>0.1055149620830954</v>
      </c>
      <c r="G1398">
        <v>0</v>
      </c>
    </row>
    <row r="1399" spans="1:7" x14ac:dyDescent="0.25">
      <c r="A1399">
        <v>18117</v>
      </c>
      <c r="B1399" t="s">
        <v>64</v>
      </c>
      <c r="C1399">
        <v>5</v>
      </c>
      <c r="D1399" s="3">
        <f>in_parking_demand_data_ver1!D1399*calibration!$I$31</f>
        <v>0</v>
      </c>
      <c r="E1399" s="3">
        <f>in_parking_demand_data_ver1!E1399*calibration!$I$31</f>
        <v>0.49240315638777993</v>
      </c>
      <c r="F1399" s="3">
        <f t="shared" si="21"/>
        <v>0.49240315638777993</v>
      </c>
      <c r="G1399">
        <v>0</v>
      </c>
    </row>
    <row r="1400" spans="1:7" x14ac:dyDescent="0.25">
      <c r="A1400">
        <v>18117</v>
      </c>
      <c r="B1400" t="s">
        <v>64</v>
      </c>
      <c r="C1400">
        <v>6</v>
      </c>
      <c r="D1400" s="3">
        <f>in_parking_demand_data_ver1!D1400*calibration!$I$31</f>
        <v>0</v>
      </c>
      <c r="E1400" s="3">
        <f>in_parking_demand_data_ver1!E1400*calibration!$I$31</f>
        <v>2.8137323222158828</v>
      </c>
      <c r="F1400" s="3">
        <f t="shared" si="21"/>
        <v>2.8137323222158828</v>
      </c>
      <c r="G1400">
        <v>0</v>
      </c>
    </row>
    <row r="1401" spans="1:7" x14ac:dyDescent="0.25">
      <c r="A1401">
        <v>18117</v>
      </c>
      <c r="B1401" t="s">
        <v>64</v>
      </c>
      <c r="C1401">
        <v>7</v>
      </c>
      <c r="D1401" s="3">
        <f>in_parking_demand_data_ver1!D1401*calibration!$I$31</f>
        <v>0</v>
      </c>
      <c r="E1401" s="3">
        <f>in_parking_demand_data_ver1!E1401*calibration!$I$31</f>
        <v>3.2709638245759622</v>
      </c>
      <c r="F1401" s="3">
        <f t="shared" si="21"/>
        <v>3.2709638245759622</v>
      </c>
      <c r="G1401">
        <v>0</v>
      </c>
    </row>
    <row r="1402" spans="1:7" x14ac:dyDescent="0.25">
      <c r="A1402">
        <v>18117</v>
      </c>
      <c r="B1402" t="s">
        <v>64</v>
      </c>
      <c r="C1402">
        <v>8</v>
      </c>
      <c r="D1402" s="3">
        <f>in_parking_demand_data_ver1!D1402*calibration!$I$31</f>
        <v>0</v>
      </c>
      <c r="E1402" s="3">
        <f>in_parking_demand_data_ver1!E1402*calibration!$I$31</f>
        <v>2.6378740520773931</v>
      </c>
      <c r="F1402" s="3">
        <f t="shared" si="21"/>
        <v>2.6378740520773931</v>
      </c>
      <c r="G1402">
        <v>0</v>
      </c>
    </row>
    <row r="1403" spans="1:7" x14ac:dyDescent="0.25">
      <c r="A1403">
        <v>18117</v>
      </c>
      <c r="B1403" t="s">
        <v>64</v>
      </c>
      <c r="C1403">
        <v>9</v>
      </c>
      <c r="D1403" s="3">
        <f>in_parking_demand_data_ver1!D1403*calibration!$I$31</f>
        <v>0</v>
      </c>
      <c r="E1403" s="3">
        <f>in_parking_demand_data_ver1!E1403*calibration!$I$31</f>
        <v>2.6027023980496904</v>
      </c>
      <c r="F1403" s="3">
        <f t="shared" si="21"/>
        <v>2.6027023980496904</v>
      </c>
      <c r="G1403">
        <v>0</v>
      </c>
    </row>
    <row r="1404" spans="1:7" x14ac:dyDescent="0.25">
      <c r="A1404">
        <v>18117</v>
      </c>
      <c r="B1404" t="s">
        <v>64</v>
      </c>
      <c r="C1404">
        <v>10</v>
      </c>
      <c r="D1404" s="3">
        <f>in_parking_demand_data_ver1!D1404*calibration!$I$31</f>
        <v>0</v>
      </c>
      <c r="E1404" s="3">
        <f>in_parking_demand_data_ver1!E1404*calibration!$I$31</f>
        <v>2.7785606681881885</v>
      </c>
      <c r="F1404" s="3">
        <f t="shared" si="21"/>
        <v>2.7785606681881885</v>
      </c>
      <c r="G1404">
        <v>0</v>
      </c>
    </row>
    <row r="1405" spans="1:7" x14ac:dyDescent="0.25">
      <c r="A1405">
        <v>18117</v>
      </c>
      <c r="B1405" t="s">
        <v>64</v>
      </c>
      <c r="C1405">
        <v>11</v>
      </c>
      <c r="D1405" s="3">
        <f>in_parking_demand_data_ver1!D1405*calibration!$I$31</f>
        <v>0</v>
      </c>
      <c r="E1405" s="3">
        <f>in_parking_demand_data_ver1!E1405*calibration!$I$31</f>
        <v>3.095105554437473</v>
      </c>
      <c r="F1405" s="3">
        <f t="shared" si="21"/>
        <v>3.095105554437473</v>
      </c>
      <c r="G1405">
        <v>0</v>
      </c>
    </row>
    <row r="1406" spans="1:7" x14ac:dyDescent="0.25">
      <c r="A1406">
        <v>18117</v>
      </c>
      <c r="B1406" t="s">
        <v>64</v>
      </c>
      <c r="C1406">
        <v>12</v>
      </c>
      <c r="D1406" s="3">
        <f>in_parking_demand_data_ver1!D1406*calibration!$I$31</f>
        <v>0</v>
      </c>
      <c r="E1406" s="3">
        <f>in_parking_demand_data_ver1!E1406*calibration!$I$31</f>
        <v>3.5875087108252552</v>
      </c>
      <c r="F1406" s="3">
        <f t="shared" si="21"/>
        <v>3.5875087108252552</v>
      </c>
      <c r="G1406">
        <v>0</v>
      </c>
    </row>
    <row r="1407" spans="1:7" x14ac:dyDescent="0.25">
      <c r="A1407">
        <v>18117</v>
      </c>
      <c r="B1407" t="s">
        <v>64</v>
      </c>
      <c r="C1407">
        <v>13</v>
      </c>
      <c r="D1407" s="3">
        <f>in_parking_demand_data_ver1!D1407*calibration!$I$31</f>
        <v>0</v>
      </c>
      <c r="E1407" s="3">
        <f>in_parking_demand_data_ver1!E1407*calibration!$I$31</f>
        <v>2.3565008198558033</v>
      </c>
      <c r="F1407" s="3">
        <f t="shared" si="21"/>
        <v>2.3565008198558033</v>
      </c>
      <c r="G1407">
        <v>0</v>
      </c>
    </row>
    <row r="1408" spans="1:7" x14ac:dyDescent="0.25">
      <c r="A1408">
        <v>18117</v>
      </c>
      <c r="B1408" t="s">
        <v>64</v>
      </c>
      <c r="C1408">
        <v>14</v>
      </c>
      <c r="D1408" s="3">
        <f>in_parking_demand_data_ver1!D1408*calibration!$I$31</f>
        <v>0</v>
      </c>
      <c r="E1408" s="3">
        <f>in_parking_demand_data_ver1!E1408*calibration!$I$31</f>
        <v>0.5275748104154786</v>
      </c>
      <c r="F1408" s="3">
        <f t="shared" si="21"/>
        <v>0.5275748104154786</v>
      </c>
      <c r="G1408">
        <v>0</v>
      </c>
    </row>
    <row r="1409" spans="1:7" x14ac:dyDescent="0.25">
      <c r="A1409">
        <v>18117</v>
      </c>
      <c r="B1409" t="s">
        <v>64</v>
      </c>
      <c r="C1409">
        <v>15</v>
      </c>
      <c r="D1409" s="3">
        <f>in_parking_demand_data_ver1!D1409*calibration!$I$31</f>
        <v>0</v>
      </c>
      <c r="E1409" s="3">
        <f>in_parking_demand_data_ver1!E1409*calibration!$I$31</f>
        <v>0.21102992416619079</v>
      </c>
      <c r="F1409" s="3">
        <f t="shared" si="21"/>
        <v>0.21102992416619079</v>
      </c>
      <c r="G1409">
        <v>0</v>
      </c>
    </row>
    <row r="1410" spans="1:7" x14ac:dyDescent="0.25">
      <c r="A1410">
        <v>18117</v>
      </c>
      <c r="B1410" t="s">
        <v>64</v>
      </c>
      <c r="C1410">
        <v>16</v>
      </c>
      <c r="D1410" s="3">
        <f>in_parking_demand_data_ver1!D1410*calibration!$I$31</f>
        <v>0</v>
      </c>
      <c r="E1410" s="3">
        <f>in_parking_demand_data_ver1!E1410*calibration!$I$31</f>
        <v>0.17585827013849289</v>
      </c>
      <c r="F1410" s="3">
        <f t="shared" si="21"/>
        <v>0.17585827013849289</v>
      </c>
      <c r="G1410">
        <v>0</v>
      </c>
    </row>
    <row r="1411" spans="1:7" x14ac:dyDescent="0.25">
      <c r="A1411">
        <v>18117</v>
      </c>
      <c r="B1411" t="s">
        <v>64</v>
      </c>
      <c r="C1411">
        <v>17</v>
      </c>
      <c r="D1411" s="3">
        <f>in_parking_demand_data_ver1!D1411*calibration!$I$31</f>
        <v>0</v>
      </c>
      <c r="E1411" s="3">
        <f>in_parking_demand_data_ver1!E1411*calibration!$I$31</f>
        <v>0.28137323222158833</v>
      </c>
      <c r="F1411" s="3">
        <f t="shared" ref="F1411:F1474" si="22">SUM(D1411:E1411)</f>
        <v>0.28137323222158833</v>
      </c>
      <c r="G1411">
        <v>0</v>
      </c>
    </row>
    <row r="1412" spans="1:7" x14ac:dyDescent="0.25">
      <c r="A1412">
        <v>18117</v>
      </c>
      <c r="B1412" t="s">
        <v>64</v>
      </c>
      <c r="C1412">
        <v>18</v>
      </c>
      <c r="D1412" s="3">
        <f>in_parking_demand_data_ver1!D1412*calibration!$I$31</f>
        <v>0</v>
      </c>
      <c r="E1412" s="3">
        <f>in_parking_demand_data_ver1!E1412*calibration!$I$31</f>
        <v>7.0343308055397166E-2</v>
      </c>
      <c r="F1412" s="3">
        <f t="shared" si="22"/>
        <v>7.0343308055397166E-2</v>
      </c>
      <c r="G1412">
        <v>0</v>
      </c>
    </row>
    <row r="1413" spans="1:7" x14ac:dyDescent="0.25">
      <c r="A1413">
        <v>18117</v>
      </c>
      <c r="B1413" t="s">
        <v>64</v>
      </c>
      <c r="C1413">
        <v>19</v>
      </c>
      <c r="D1413" s="3">
        <f>in_parking_demand_data_ver1!D1413*calibration!$I$31</f>
        <v>0</v>
      </c>
      <c r="E1413" s="3">
        <f>in_parking_demand_data_ver1!E1413*calibration!$I$31</f>
        <v>7.0343308055397166E-2</v>
      </c>
      <c r="F1413" s="3">
        <f t="shared" si="22"/>
        <v>7.0343308055397166E-2</v>
      </c>
      <c r="G1413">
        <v>0</v>
      </c>
    </row>
    <row r="1414" spans="1:7" x14ac:dyDescent="0.25">
      <c r="A1414">
        <v>18117</v>
      </c>
      <c r="B1414" t="s">
        <v>64</v>
      </c>
      <c r="C1414">
        <v>20</v>
      </c>
      <c r="D1414" s="3">
        <f>in_parking_demand_data_ver1!D1414*calibration!$I$31</f>
        <v>0</v>
      </c>
      <c r="E1414" s="3">
        <f>in_parking_demand_data_ver1!E1414*calibration!$I$31</f>
        <v>0.1055149620830954</v>
      </c>
      <c r="F1414" s="3">
        <f t="shared" si="22"/>
        <v>0.1055149620830954</v>
      </c>
      <c r="G1414">
        <v>0</v>
      </c>
    </row>
    <row r="1415" spans="1:7" x14ac:dyDescent="0.25">
      <c r="A1415">
        <v>18117</v>
      </c>
      <c r="B1415" t="s">
        <v>64</v>
      </c>
      <c r="C1415">
        <v>21</v>
      </c>
      <c r="D1415" s="3">
        <f>in_parking_demand_data_ver1!D1415*calibration!$I$31</f>
        <v>0</v>
      </c>
      <c r="E1415" s="3">
        <f>in_parking_demand_data_ver1!E1415*calibration!$I$31</f>
        <v>0.1055149620830954</v>
      </c>
      <c r="F1415" s="3">
        <f t="shared" si="22"/>
        <v>0.1055149620830954</v>
      </c>
      <c r="G1415">
        <v>0</v>
      </c>
    </row>
    <row r="1416" spans="1:7" x14ac:dyDescent="0.25">
      <c r="A1416">
        <v>18117</v>
      </c>
      <c r="B1416" t="s">
        <v>64</v>
      </c>
      <c r="C1416">
        <v>22</v>
      </c>
      <c r="D1416" s="3">
        <f>in_parking_demand_data_ver1!D1416*calibration!$I$31</f>
        <v>0</v>
      </c>
      <c r="E1416" s="3">
        <f>in_parking_demand_data_ver1!E1416*calibration!$I$31</f>
        <v>0.1055149620830954</v>
      </c>
      <c r="F1416" s="3">
        <f t="shared" si="22"/>
        <v>0.1055149620830954</v>
      </c>
      <c r="G1416">
        <v>0</v>
      </c>
    </row>
    <row r="1417" spans="1:7" x14ac:dyDescent="0.25">
      <c r="A1417">
        <v>18117</v>
      </c>
      <c r="B1417" t="s">
        <v>64</v>
      </c>
      <c r="C1417">
        <v>23</v>
      </c>
      <c r="D1417" s="3">
        <f>in_parking_demand_data_ver1!D1417*calibration!$I$31</f>
        <v>0</v>
      </c>
      <c r="E1417" s="3">
        <f>in_parking_demand_data_ver1!E1417*calibration!$I$31</f>
        <v>0.14068661611079417</v>
      </c>
      <c r="F1417" s="3">
        <f t="shared" si="22"/>
        <v>0.14068661611079417</v>
      </c>
      <c r="G1417">
        <v>0</v>
      </c>
    </row>
    <row r="1418" spans="1:7" x14ac:dyDescent="0.25">
      <c r="A1418">
        <v>18119</v>
      </c>
      <c r="B1418" t="s">
        <v>65</v>
      </c>
      <c r="C1418">
        <v>0</v>
      </c>
      <c r="D1418" s="3">
        <f>in_parking_demand_data_ver1!D1418*calibration!$I$31</f>
        <v>0</v>
      </c>
      <c r="E1418" s="3">
        <f>in_parking_demand_data_ver1!E1418*calibration!$I$31</f>
        <v>0</v>
      </c>
      <c r="F1418" s="3">
        <f t="shared" si="22"/>
        <v>0</v>
      </c>
      <c r="G1418">
        <v>0</v>
      </c>
    </row>
    <row r="1419" spans="1:7" x14ac:dyDescent="0.25">
      <c r="A1419">
        <v>18119</v>
      </c>
      <c r="B1419" t="s">
        <v>65</v>
      </c>
      <c r="C1419">
        <v>1</v>
      </c>
      <c r="D1419" s="3">
        <f>in_parking_demand_data_ver1!D1419*calibration!$I$31</f>
        <v>0</v>
      </c>
      <c r="E1419" s="3">
        <f>in_parking_demand_data_ver1!E1419*calibration!$I$31</f>
        <v>0</v>
      </c>
      <c r="F1419" s="3">
        <f t="shared" si="22"/>
        <v>0</v>
      </c>
      <c r="G1419">
        <v>0</v>
      </c>
    </row>
    <row r="1420" spans="1:7" x14ac:dyDescent="0.25">
      <c r="A1420">
        <v>18119</v>
      </c>
      <c r="B1420" t="s">
        <v>65</v>
      </c>
      <c r="C1420">
        <v>2</v>
      </c>
      <c r="D1420" s="3">
        <f>in_parking_demand_data_ver1!D1420*calibration!$I$31</f>
        <v>0</v>
      </c>
      <c r="E1420" s="3">
        <f>in_parking_demand_data_ver1!E1420*calibration!$I$31</f>
        <v>0</v>
      </c>
      <c r="F1420" s="3">
        <f t="shared" si="22"/>
        <v>0</v>
      </c>
      <c r="G1420">
        <v>0</v>
      </c>
    </row>
    <row r="1421" spans="1:7" x14ac:dyDescent="0.25">
      <c r="A1421">
        <v>18119</v>
      </c>
      <c r="B1421" t="s">
        <v>65</v>
      </c>
      <c r="C1421">
        <v>3</v>
      </c>
      <c r="D1421" s="3">
        <f>in_parking_demand_data_ver1!D1421*calibration!$I$31</f>
        <v>0</v>
      </c>
      <c r="E1421" s="3">
        <f>in_parking_demand_data_ver1!E1421*calibration!$I$31</f>
        <v>0</v>
      </c>
      <c r="F1421" s="3">
        <f t="shared" si="22"/>
        <v>0</v>
      </c>
      <c r="G1421">
        <v>0</v>
      </c>
    </row>
    <row r="1422" spans="1:7" x14ac:dyDescent="0.25">
      <c r="A1422">
        <v>18119</v>
      </c>
      <c r="B1422" t="s">
        <v>65</v>
      </c>
      <c r="C1422">
        <v>4</v>
      </c>
      <c r="D1422" s="3">
        <f>in_parking_demand_data_ver1!D1422*calibration!$I$31</f>
        <v>0</v>
      </c>
      <c r="E1422" s="3">
        <f>in_parking_demand_data_ver1!E1422*calibration!$I$31</f>
        <v>0</v>
      </c>
      <c r="F1422" s="3">
        <f t="shared" si="22"/>
        <v>0</v>
      </c>
      <c r="G1422">
        <v>0</v>
      </c>
    </row>
    <row r="1423" spans="1:7" x14ac:dyDescent="0.25">
      <c r="A1423">
        <v>18119</v>
      </c>
      <c r="B1423" t="s">
        <v>65</v>
      </c>
      <c r="C1423">
        <v>5</v>
      </c>
      <c r="D1423" s="3">
        <f>in_parking_demand_data_ver1!D1423*calibration!$I$31</f>
        <v>0</v>
      </c>
      <c r="E1423" s="3">
        <f>in_parking_demand_data_ver1!E1423*calibration!$I$31</f>
        <v>1.0976650929214609</v>
      </c>
      <c r="F1423" s="3">
        <f t="shared" si="22"/>
        <v>1.0976650929214609</v>
      </c>
      <c r="G1423">
        <v>0</v>
      </c>
    </row>
    <row r="1424" spans="1:7" x14ac:dyDescent="0.25">
      <c r="A1424">
        <v>18119</v>
      </c>
      <c r="B1424" t="s">
        <v>65</v>
      </c>
      <c r="C1424">
        <v>6</v>
      </c>
      <c r="D1424" s="3">
        <f>in_parking_demand_data_ver1!D1424*calibration!$I$31</f>
        <v>0</v>
      </c>
      <c r="E1424" s="3">
        <f>in_parking_demand_data_ver1!E1424*calibration!$I$31</f>
        <v>2.6343962230115197</v>
      </c>
      <c r="F1424" s="3">
        <f t="shared" si="22"/>
        <v>2.6343962230115197</v>
      </c>
      <c r="G1424">
        <v>0</v>
      </c>
    </row>
    <row r="1425" spans="1:7" x14ac:dyDescent="0.25">
      <c r="A1425">
        <v>18119</v>
      </c>
      <c r="B1425" t="s">
        <v>65</v>
      </c>
      <c r="C1425">
        <v>7</v>
      </c>
      <c r="D1425" s="3">
        <f>in_parking_demand_data_ver1!D1425*calibration!$I$31</f>
        <v>0</v>
      </c>
      <c r="E1425" s="3">
        <f>in_parking_demand_data_ver1!E1425*calibration!$I$31</f>
        <v>3.1466399330415338</v>
      </c>
      <c r="F1425" s="3">
        <f t="shared" si="22"/>
        <v>3.1466399330415338</v>
      </c>
      <c r="G1425">
        <v>0</v>
      </c>
    </row>
    <row r="1426" spans="1:7" x14ac:dyDescent="0.25">
      <c r="A1426">
        <v>18119</v>
      </c>
      <c r="B1426" t="s">
        <v>65</v>
      </c>
      <c r="C1426">
        <v>8</v>
      </c>
      <c r="D1426" s="3">
        <f>in_parking_demand_data_ver1!D1426*calibration!$I$31</f>
        <v>0</v>
      </c>
      <c r="E1426" s="3">
        <f>in_parking_demand_data_ver1!E1426*calibration!$I$31</f>
        <v>3.2929952787643999</v>
      </c>
      <c r="F1426" s="3">
        <f t="shared" si="22"/>
        <v>3.2929952787643999</v>
      </c>
      <c r="G1426">
        <v>0</v>
      </c>
    </row>
    <row r="1427" spans="1:7" x14ac:dyDescent="0.25">
      <c r="A1427">
        <v>18119</v>
      </c>
      <c r="B1427" t="s">
        <v>65</v>
      </c>
      <c r="C1427">
        <v>9</v>
      </c>
      <c r="D1427" s="3">
        <f>in_parking_demand_data_ver1!D1427*calibration!$I$31</f>
        <v>0</v>
      </c>
      <c r="E1427" s="3">
        <f>in_parking_demand_data_ver1!E1427*calibration!$I$31</f>
        <v>4.0247720073787043</v>
      </c>
      <c r="F1427" s="3">
        <f t="shared" si="22"/>
        <v>4.0247720073787043</v>
      </c>
      <c r="G1427">
        <v>0</v>
      </c>
    </row>
    <row r="1428" spans="1:7" x14ac:dyDescent="0.25">
      <c r="A1428">
        <v>18119</v>
      </c>
      <c r="B1428" t="s">
        <v>65</v>
      </c>
      <c r="C1428">
        <v>10</v>
      </c>
      <c r="D1428" s="3">
        <f>in_parking_demand_data_ver1!D1428*calibration!$I$31</f>
        <v>0</v>
      </c>
      <c r="E1428" s="3">
        <f>in_parking_demand_data_ver1!E1428*calibration!$I$31</f>
        <v>5.5615031374687636</v>
      </c>
      <c r="F1428" s="3">
        <f t="shared" si="22"/>
        <v>5.5615031374687636</v>
      </c>
      <c r="G1428">
        <v>0</v>
      </c>
    </row>
    <row r="1429" spans="1:7" x14ac:dyDescent="0.25">
      <c r="A1429">
        <v>18119</v>
      </c>
      <c r="B1429" t="s">
        <v>65</v>
      </c>
      <c r="C1429">
        <v>11</v>
      </c>
      <c r="D1429" s="3">
        <f>in_parking_demand_data_ver1!D1429*calibration!$I$31</f>
        <v>0</v>
      </c>
      <c r="E1429" s="3">
        <f>in_parking_demand_data_ver1!E1429*calibration!$I$31</f>
        <v>5.7810361560530543</v>
      </c>
      <c r="F1429" s="3">
        <f t="shared" si="22"/>
        <v>5.7810361560530543</v>
      </c>
      <c r="G1429">
        <v>0</v>
      </c>
    </row>
    <row r="1430" spans="1:7" x14ac:dyDescent="0.25">
      <c r="A1430">
        <v>18119</v>
      </c>
      <c r="B1430" t="s">
        <v>65</v>
      </c>
      <c r="C1430">
        <v>12</v>
      </c>
      <c r="D1430" s="3">
        <f>in_parking_demand_data_ver1!D1430*calibration!$I$31</f>
        <v>0</v>
      </c>
      <c r="E1430" s="3">
        <f>in_parking_demand_data_ver1!E1430*calibration!$I$31</f>
        <v>4.3174826988244366</v>
      </c>
      <c r="F1430" s="3">
        <f t="shared" si="22"/>
        <v>4.3174826988244366</v>
      </c>
      <c r="G1430">
        <v>0</v>
      </c>
    </row>
    <row r="1431" spans="1:7" x14ac:dyDescent="0.25">
      <c r="A1431">
        <v>18119</v>
      </c>
      <c r="B1431" t="s">
        <v>65</v>
      </c>
      <c r="C1431">
        <v>13</v>
      </c>
      <c r="D1431" s="3">
        <f>in_parking_demand_data_ver1!D1431*calibration!$I$31</f>
        <v>0</v>
      </c>
      <c r="E1431" s="3">
        <f>in_parking_demand_data_ver1!E1431*calibration!$I$31</f>
        <v>2.8539292415958104</v>
      </c>
      <c r="F1431" s="3">
        <f t="shared" si="22"/>
        <v>2.8539292415958104</v>
      </c>
      <c r="G1431">
        <v>0</v>
      </c>
    </row>
    <row r="1432" spans="1:7" x14ac:dyDescent="0.25">
      <c r="A1432">
        <v>18119</v>
      </c>
      <c r="B1432" t="s">
        <v>65</v>
      </c>
      <c r="C1432">
        <v>14</v>
      </c>
      <c r="D1432" s="3">
        <f>in_parking_demand_data_ver1!D1432*calibration!$I$31</f>
        <v>0</v>
      </c>
      <c r="E1432" s="3">
        <f>in_parking_demand_data_ver1!E1432*calibration!$I$31</f>
        <v>1.683086475812908</v>
      </c>
      <c r="F1432" s="3">
        <f t="shared" si="22"/>
        <v>1.683086475812908</v>
      </c>
      <c r="G1432">
        <v>0</v>
      </c>
    </row>
    <row r="1433" spans="1:7" x14ac:dyDescent="0.25">
      <c r="A1433">
        <v>18119</v>
      </c>
      <c r="B1433" t="s">
        <v>65</v>
      </c>
      <c r="C1433">
        <v>15</v>
      </c>
      <c r="D1433" s="3">
        <f>in_parking_demand_data_ver1!D1433*calibration!$I$31</f>
        <v>0</v>
      </c>
      <c r="E1433" s="3">
        <f>in_parking_demand_data_ver1!E1433*calibration!$I$31</f>
        <v>0.80495440147574171</v>
      </c>
      <c r="F1433" s="3">
        <f t="shared" si="22"/>
        <v>0.80495440147574171</v>
      </c>
      <c r="G1433">
        <v>0</v>
      </c>
    </row>
    <row r="1434" spans="1:7" x14ac:dyDescent="0.25">
      <c r="A1434">
        <v>18119</v>
      </c>
      <c r="B1434" t="s">
        <v>65</v>
      </c>
      <c r="C1434">
        <v>16</v>
      </c>
      <c r="D1434" s="3">
        <f>in_parking_demand_data_ver1!D1434*calibration!$I$31</f>
        <v>0</v>
      </c>
      <c r="E1434" s="3">
        <f>in_parking_demand_data_ver1!E1434*calibration!$I$31</f>
        <v>0.29271069144572431</v>
      </c>
      <c r="F1434" s="3">
        <f t="shared" si="22"/>
        <v>0.29271069144572431</v>
      </c>
      <c r="G1434">
        <v>0</v>
      </c>
    </row>
    <row r="1435" spans="1:7" x14ac:dyDescent="0.25">
      <c r="A1435">
        <v>18119</v>
      </c>
      <c r="B1435" t="s">
        <v>65</v>
      </c>
      <c r="C1435">
        <v>17</v>
      </c>
      <c r="D1435" s="3">
        <f>in_parking_demand_data_ver1!D1435*calibration!$I$31</f>
        <v>0</v>
      </c>
      <c r="E1435" s="3">
        <f>in_parking_demand_data_ver1!E1435*calibration!$I$31</f>
        <v>0.14635534572286174</v>
      </c>
      <c r="F1435" s="3">
        <f t="shared" si="22"/>
        <v>0.14635534572286174</v>
      </c>
      <c r="G1435">
        <v>0</v>
      </c>
    </row>
    <row r="1436" spans="1:7" x14ac:dyDescent="0.25">
      <c r="A1436">
        <v>18119</v>
      </c>
      <c r="B1436" t="s">
        <v>65</v>
      </c>
      <c r="C1436">
        <v>18</v>
      </c>
      <c r="D1436" s="3">
        <f>in_parking_demand_data_ver1!D1436*calibration!$I$31</f>
        <v>0</v>
      </c>
      <c r="E1436" s="3">
        <f>in_parking_demand_data_ver1!E1436*calibration!$I$31</f>
        <v>0.14635534572286174</v>
      </c>
      <c r="F1436" s="3">
        <f t="shared" si="22"/>
        <v>0.14635534572286174</v>
      </c>
      <c r="G1436">
        <v>0</v>
      </c>
    </row>
    <row r="1437" spans="1:7" x14ac:dyDescent="0.25">
      <c r="A1437">
        <v>18119</v>
      </c>
      <c r="B1437" t="s">
        <v>65</v>
      </c>
      <c r="C1437">
        <v>19</v>
      </c>
      <c r="D1437" s="3">
        <f>in_parking_demand_data_ver1!D1437*calibration!$I$31</f>
        <v>0</v>
      </c>
      <c r="E1437" s="3">
        <f>in_parking_demand_data_ver1!E1437*calibration!$I$31</f>
        <v>0</v>
      </c>
      <c r="F1437" s="3">
        <f t="shared" si="22"/>
        <v>0</v>
      </c>
      <c r="G1437">
        <v>0</v>
      </c>
    </row>
    <row r="1438" spans="1:7" x14ac:dyDescent="0.25">
      <c r="A1438">
        <v>18119</v>
      </c>
      <c r="B1438" t="s">
        <v>65</v>
      </c>
      <c r="C1438">
        <v>20</v>
      </c>
      <c r="D1438" s="3">
        <f>in_parking_demand_data_ver1!D1438*calibration!$I$31</f>
        <v>0</v>
      </c>
      <c r="E1438" s="3">
        <f>in_parking_demand_data_ver1!E1438*calibration!$I$31</f>
        <v>0</v>
      </c>
      <c r="F1438" s="3">
        <f t="shared" si="22"/>
        <v>0</v>
      </c>
      <c r="G1438">
        <v>0</v>
      </c>
    </row>
    <row r="1439" spans="1:7" x14ac:dyDescent="0.25">
      <c r="A1439">
        <v>18119</v>
      </c>
      <c r="B1439" t="s">
        <v>65</v>
      </c>
      <c r="C1439">
        <v>21</v>
      </c>
      <c r="D1439" s="3">
        <f>in_parking_demand_data_ver1!D1439*calibration!$I$31</f>
        <v>0</v>
      </c>
      <c r="E1439" s="3">
        <f>in_parking_demand_data_ver1!E1439*calibration!$I$31</f>
        <v>0</v>
      </c>
      <c r="F1439" s="3">
        <f t="shared" si="22"/>
        <v>0</v>
      </c>
      <c r="G1439">
        <v>0</v>
      </c>
    </row>
    <row r="1440" spans="1:7" x14ac:dyDescent="0.25">
      <c r="A1440">
        <v>18119</v>
      </c>
      <c r="B1440" t="s">
        <v>65</v>
      </c>
      <c r="C1440">
        <v>22</v>
      </c>
      <c r="D1440" s="3">
        <f>in_parking_demand_data_ver1!D1440*calibration!$I$31</f>
        <v>0</v>
      </c>
      <c r="E1440" s="3">
        <f>in_parking_demand_data_ver1!E1440*calibration!$I$31</f>
        <v>0</v>
      </c>
      <c r="F1440" s="3">
        <f t="shared" si="22"/>
        <v>0</v>
      </c>
      <c r="G1440">
        <v>0</v>
      </c>
    </row>
    <row r="1441" spans="1:7" x14ac:dyDescent="0.25">
      <c r="A1441">
        <v>18119</v>
      </c>
      <c r="B1441" t="s">
        <v>65</v>
      </c>
      <c r="C1441">
        <v>23</v>
      </c>
      <c r="D1441" s="3">
        <f>in_parking_demand_data_ver1!D1441*calibration!$I$31</f>
        <v>0</v>
      </c>
      <c r="E1441" s="3">
        <f>in_parking_demand_data_ver1!E1441*calibration!$I$31</f>
        <v>0</v>
      </c>
      <c r="F1441" s="3">
        <f t="shared" si="22"/>
        <v>0</v>
      </c>
      <c r="G1441">
        <v>0</v>
      </c>
    </row>
    <row r="1442" spans="1:7" x14ac:dyDescent="0.25">
      <c r="A1442">
        <v>18121</v>
      </c>
      <c r="B1442" t="s">
        <v>66</v>
      </c>
      <c r="C1442">
        <v>0</v>
      </c>
      <c r="D1442" s="3">
        <f>in_parking_demand_data_ver1!D1442*calibration!$I$31</f>
        <v>0</v>
      </c>
      <c r="E1442" s="3">
        <f>in_parking_demand_data_ver1!E1442*calibration!$I$31</f>
        <v>0</v>
      </c>
      <c r="F1442" s="3">
        <f t="shared" si="22"/>
        <v>0</v>
      </c>
      <c r="G1442">
        <v>0</v>
      </c>
    </row>
    <row r="1443" spans="1:7" x14ac:dyDescent="0.25">
      <c r="A1443">
        <v>18121</v>
      </c>
      <c r="B1443" t="s">
        <v>66</v>
      </c>
      <c r="C1443">
        <v>1</v>
      </c>
      <c r="D1443" s="3">
        <f>in_parking_demand_data_ver1!D1443*calibration!$I$31</f>
        <v>0</v>
      </c>
      <c r="E1443" s="3">
        <f>in_parking_demand_data_ver1!E1443*calibration!$I$31</f>
        <v>0</v>
      </c>
      <c r="F1443" s="3">
        <f t="shared" si="22"/>
        <v>0</v>
      </c>
      <c r="G1443">
        <v>0</v>
      </c>
    </row>
    <row r="1444" spans="1:7" x14ac:dyDescent="0.25">
      <c r="A1444">
        <v>18121</v>
      </c>
      <c r="B1444" t="s">
        <v>66</v>
      </c>
      <c r="C1444">
        <v>2</v>
      </c>
      <c r="D1444" s="3">
        <f>in_parking_demand_data_ver1!D1444*calibration!$I$31</f>
        <v>0</v>
      </c>
      <c r="E1444" s="3">
        <f>in_parking_demand_data_ver1!E1444*calibration!$I$31</f>
        <v>0</v>
      </c>
      <c r="F1444" s="3">
        <f t="shared" si="22"/>
        <v>0</v>
      </c>
      <c r="G1444">
        <v>0</v>
      </c>
    </row>
    <row r="1445" spans="1:7" x14ac:dyDescent="0.25">
      <c r="A1445">
        <v>18121</v>
      </c>
      <c r="B1445" t="s">
        <v>66</v>
      </c>
      <c r="C1445">
        <v>3</v>
      </c>
      <c r="D1445" s="3">
        <f>in_parking_demand_data_ver1!D1445*calibration!$I$31</f>
        <v>0</v>
      </c>
      <c r="E1445" s="3">
        <f>in_parking_demand_data_ver1!E1445*calibration!$I$31</f>
        <v>0</v>
      </c>
      <c r="F1445" s="3">
        <f t="shared" si="22"/>
        <v>0</v>
      </c>
      <c r="G1445">
        <v>0</v>
      </c>
    </row>
    <row r="1446" spans="1:7" x14ac:dyDescent="0.25">
      <c r="A1446">
        <v>18121</v>
      </c>
      <c r="B1446" t="s">
        <v>66</v>
      </c>
      <c r="C1446">
        <v>4</v>
      </c>
      <c r="D1446" s="3">
        <f>in_parking_demand_data_ver1!D1446*calibration!$I$31</f>
        <v>0</v>
      </c>
      <c r="E1446" s="3">
        <f>in_parking_demand_data_ver1!E1446*calibration!$I$31</f>
        <v>0</v>
      </c>
      <c r="F1446" s="3">
        <f t="shared" si="22"/>
        <v>0</v>
      </c>
      <c r="G1446">
        <v>0</v>
      </c>
    </row>
    <row r="1447" spans="1:7" x14ac:dyDescent="0.25">
      <c r="A1447">
        <v>18121</v>
      </c>
      <c r="B1447" t="s">
        <v>66</v>
      </c>
      <c r="C1447">
        <v>5</v>
      </c>
      <c r="D1447" s="3">
        <f>in_parking_demand_data_ver1!D1447*calibration!$I$31</f>
        <v>0</v>
      </c>
      <c r="E1447" s="3">
        <f>in_parking_demand_data_ver1!E1447*calibration!$I$31</f>
        <v>0</v>
      </c>
      <c r="F1447" s="3">
        <f t="shared" si="22"/>
        <v>0</v>
      </c>
      <c r="G1447">
        <v>0</v>
      </c>
    </row>
    <row r="1448" spans="1:7" x14ac:dyDescent="0.25">
      <c r="A1448">
        <v>18121</v>
      </c>
      <c r="B1448" t="s">
        <v>66</v>
      </c>
      <c r="C1448">
        <v>6</v>
      </c>
      <c r="D1448" s="3">
        <f>in_parking_demand_data_ver1!D1448*calibration!$I$31</f>
        <v>0</v>
      </c>
      <c r="E1448" s="3">
        <f>in_parking_demand_data_ver1!E1448*calibration!$I$31</f>
        <v>0.27602215207656905</v>
      </c>
      <c r="F1448" s="3">
        <f t="shared" si="22"/>
        <v>0.27602215207656905</v>
      </c>
      <c r="G1448">
        <v>0</v>
      </c>
    </row>
    <row r="1449" spans="1:7" x14ac:dyDescent="0.25">
      <c r="A1449">
        <v>18121</v>
      </c>
      <c r="B1449" t="s">
        <v>66</v>
      </c>
      <c r="C1449">
        <v>7</v>
      </c>
      <c r="D1449" s="3">
        <f>in_parking_demand_data_ver1!D1449*calibration!$I$31</f>
        <v>0</v>
      </c>
      <c r="E1449" s="3">
        <f>in_parking_demand_data_ver1!E1449*calibration!$I$31</f>
        <v>1.5871273744402681</v>
      </c>
      <c r="F1449" s="3">
        <f t="shared" si="22"/>
        <v>1.5871273744402681</v>
      </c>
      <c r="G1449">
        <v>0</v>
      </c>
    </row>
    <row r="1450" spans="1:7" x14ac:dyDescent="0.25">
      <c r="A1450">
        <v>18121</v>
      </c>
      <c r="B1450" t="s">
        <v>66</v>
      </c>
      <c r="C1450">
        <v>8</v>
      </c>
      <c r="D1450" s="3">
        <f>in_parking_demand_data_ver1!D1450*calibration!$I$31</f>
        <v>0</v>
      </c>
      <c r="E1450" s="3">
        <f>in_parking_demand_data_ver1!E1450*calibration!$I$31</f>
        <v>2.0356633715646959</v>
      </c>
      <c r="F1450" s="3">
        <f t="shared" si="22"/>
        <v>2.0356633715646959</v>
      </c>
      <c r="G1450">
        <v>0</v>
      </c>
    </row>
    <row r="1451" spans="1:7" x14ac:dyDescent="0.25">
      <c r="A1451">
        <v>18121</v>
      </c>
      <c r="B1451" t="s">
        <v>66</v>
      </c>
      <c r="C1451">
        <v>9</v>
      </c>
      <c r="D1451" s="3">
        <f>in_parking_demand_data_ver1!D1451*calibration!$I$31</f>
        <v>0</v>
      </c>
      <c r="E1451" s="3">
        <f>in_parking_demand_data_ver1!E1451*calibration!$I$31</f>
        <v>1.759641219488121</v>
      </c>
      <c r="F1451" s="3">
        <f t="shared" si="22"/>
        <v>1.759641219488121</v>
      </c>
      <c r="G1451">
        <v>0</v>
      </c>
    </row>
    <row r="1452" spans="1:7" x14ac:dyDescent="0.25">
      <c r="A1452">
        <v>18121</v>
      </c>
      <c r="B1452" t="s">
        <v>66</v>
      </c>
      <c r="C1452">
        <v>10</v>
      </c>
      <c r="D1452" s="3">
        <f>in_parking_demand_data_ver1!D1452*calibration!$I$31</f>
        <v>0</v>
      </c>
      <c r="E1452" s="3">
        <f>in_parking_demand_data_ver1!E1452*calibration!$I$31</f>
        <v>1.1730941463254139</v>
      </c>
      <c r="F1452" s="3">
        <f t="shared" si="22"/>
        <v>1.1730941463254139</v>
      </c>
      <c r="G1452">
        <v>0</v>
      </c>
    </row>
    <row r="1453" spans="1:7" x14ac:dyDescent="0.25">
      <c r="A1453">
        <v>18121</v>
      </c>
      <c r="B1453" t="s">
        <v>66</v>
      </c>
      <c r="C1453">
        <v>11</v>
      </c>
      <c r="D1453" s="3">
        <f>in_parking_demand_data_ver1!D1453*calibration!$I$31</f>
        <v>0</v>
      </c>
      <c r="E1453" s="3">
        <f>in_parking_demand_data_ver1!E1453*calibration!$I$31</f>
        <v>0.7245581492009936</v>
      </c>
      <c r="F1453" s="3">
        <f t="shared" si="22"/>
        <v>0.7245581492009936</v>
      </c>
      <c r="G1453">
        <v>0</v>
      </c>
    </row>
    <row r="1454" spans="1:7" x14ac:dyDescent="0.25">
      <c r="A1454">
        <v>18121</v>
      </c>
      <c r="B1454" t="s">
        <v>66</v>
      </c>
      <c r="C1454">
        <v>12</v>
      </c>
      <c r="D1454" s="3">
        <f>in_parking_demand_data_ver1!D1454*calibration!$I$31</f>
        <v>0</v>
      </c>
      <c r="E1454" s="3">
        <f>in_parking_demand_data_ver1!E1454*calibration!$I$31</f>
        <v>0.58654707316270871</v>
      </c>
      <c r="F1454" s="3">
        <f t="shared" si="22"/>
        <v>0.58654707316270871</v>
      </c>
      <c r="G1454">
        <v>0</v>
      </c>
    </row>
    <row r="1455" spans="1:7" x14ac:dyDescent="0.25">
      <c r="A1455">
        <v>18121</v>
      </c>
      <c r="B1455" t="s">
        <v>66</v>
      </c>
      <c r="C1455">
        <v>13</v>
      </c>
      <c r="D1455" s="3">
        <f>in_parking_demand_data_ver1!D1455*calibration!$I$31</f>
        <v>0</v>
      </c>
      <c r="E1455" s="3">
        <f>in_parking_demand_data_ver1!E1455*calibration!$I$31</f>
        <v>0.48303876613399521</v>
      </c>
      <c r="F1455" s="3">
        <f t="shared" si="22"/>
        <v>0.48303876613399521</v>
      </c>
      <c r="G1455">
        <v>0</v>
      </c>
    </row>
    <row r="1456" spans="1:7" x14ac:dyDescent="0.25">
      <c r="A1456">
        <v>18121</v>
      </c>
      <c r="B1456" t="s">
        <v>66</v>
      </c>
      <c r="C1456">
        <v>14</v>
      </c>
      <c r="D1456" s="3">
        <f>in_parking_demand_data_ver1!D1456*calibration!$I$31</f>
        <v>0</v>
      </c>
      <c r="E1456" s="3">
        <f>in_parking_demand_data_ver1!E1456*calibration!$I$31</f>
        <v>0.27602215207656905</v>
      </c>
      <c r="F1456" s="3">
        <f t="shared" si="22"/>
        <v>0.27602215207656905</v>
      </c>
      <c r="G1456">
        <v>0</v>
      </c>
    </row>
    <row r="1457" spans="1:7" x14ac:dyDescent="0.25">
      <c r="A1457">
        <v>18121</v>
      </c>
      <c r="B1457" t="s">
        <v>66</v>
      </c>
      <c r="C1457">
        <v>15</v>
      </c>
      <c r="D1457" s="3">
        <f>in_parking_demand_data_ver1!D1457*calibration!$I$31</f>
        <v>0</v>
      </c>
      <c r="E1457" s="3">
        <f>in_parking_demand_data_ver1!E1457*calibration!$I$31</f>
        <v>0.24151938306699761</v>
      </c>
      <c r="F1457" s="3">
        <f t="shared" si="22"/>
        <v>0.24151938306699761</v>
      </c>
      <c r="G1457">
        <v>0</v>
      </c>
    </row>
    <row r="1458" spans="1:7" x14ac:dyDescent="0.25">
      <c r="A1458">
        <v>18121</v>
      </c>
      <c r="B1458" t="s">
        <v>66</v>
      </c>
      <c r="C1458">
        <v>16</v>
      </c>
      <c r="D1458" s="3">
        <f>in_parking_demand_data_ver1!D1458*calibration!$I$31</f>
        <v>0</v>
      </c>
      <c r="E1458" s="3">
        <f>in_parking_demand_data_ver1!E1458*calibration!$I$31</f>
        <v>0.13801107603828408</v>
      </c>
      <c r="F1458" s="3">
        <f t="shared" si="22"/>
        <v>0.13801107603828408</v>
      </c>
      <c r="G1458">
        <v>0</v>
      </c>
    </row>
    <row r="1459" spans="1:7" x14ac:dyDescent="0.25">
      <c r="A1459">
        <v>18121</v>
      </c>
      <c r="B1459" t="s">
        <v>66</v>
      </c>
      <c r="C1459">
        <v>17</v>
      </c>
      <c r="D1459" s="3">
        <f>in_parking_demand_data_ver1!D1459*calibration!$I$31</f>
        <v>0</v>
      </c>
      <c r="E1459" s="3">
        <f>in_parking_demand_data_ver1!E1459*calibration!$I$31</f>
        <v>0</v>
      </c>
      <c r="F1459" s="3">
        <f t="shared" si="22"/>
        <v>0</v>
      </c>
      <c r="G1459">
        <v>0</v>
      </c>
    </row>
    <row r="1460" spans="1:7" x14ac:dyDescent="0.25">
      <c r="A1460">
        <v>18121</v>
      </c>
      <c r="B1460" t="s">
        <v>66</v>
      </c>
      <c r="C1460">
        <v>18</v>
      </c>
      <c r="D1460" s="3">
        <f>in_parking_demand_data_ver1!D1460*calibration!$I$31</f>
        <v>0</v>
      </c>
      <c r="E1460" s="3">
        <f>in_parking_demand_data_ver1!E1460*calibration!$I$31</f>
        <v>0</v>
      </c>
      <c r="F1460" s="3">
        <f t="shared" si="22"/>
        <v>0</v>
      </c>
      <c r="G1460">
        <v>0</v>
      </c>
    </row>
    <row r="1461" spans="1:7" x14ac:dyDescent="0.25">
      <c r="A1461">
        <v>18121</v>
      </c>
      <c r="B1461" t="s">
        <v>66</v>
      </c>
      <c r="C1461">
        <v>19</v>
      </c>
      <c r="D1461" s="3">
        <f>in_parking_demand_data_ver1!D1461*calibration!$I$31</f>
        <v>0</v>
      </c>
      <c r="E1461" s="3">
        <f>in_parking_demand_data_ver1!E1461*calibration!$I$31</f>
        <v>0</v>
      </c>
      <c r="F1461" s="3">
        <f t="shared" si="22"/>
        <v>0</v>
      </c>
      <c r="G1461">
        <v>0</v>
      </c>
    </row>
    <row r="1462" spans="1:7" x14ac:dyDescent="0.25">
      <c r="A1462">
        <v>18121</v>
      </c>
      <c r="B1462" t="s">
        <v>66</v>
      </c>
      <c r="C1462">
        <v>20</v>
      </c>
      <c r="D1462" s="3">
        <f>in_parking_demand_data_ver1!D1462*calibration!$I$31</f>
        <v>0</v>
      </c>
      <c r="E1462" s="3">
        <f>in_parking_demand_data_ver1!E1462*calibration!$I$31</f>
        <v>0</v>
      </c>
      <c r="F1462" s="3">
        <f t="shared" si="22"/>
        <v>0</v>
      </c>
      <c r="G1462">
        <v>0</v>
      </c>
    </row>
    <row r="1463" spans="1:7" x14ac:dyDescent="0.25">
      <c r="A1463">
        <v>18121</v>
      </c>
      <c r="B1463" t="s">
        <v>66</v>
      </c>
      <c r="C1463">
        <v>21</v>
      </c>
      <c r="D1463" s="3">
        <f>in_parking_demand_data_ver1!D1463*calibration!$I$31</f>
        <v>0</v>
      </c>
      <c r="E1463" s="3">
        <f>in_parking_demand_data_ver1!E1463*calibration!$I$31</f>
        <v>0</v>
      </c>
      <c r="F1463" s="3">
        <f t="shared" si="22"/>
        <v>0</v>
      </c>
      <c r="G1463">
        <v>0</v>
      </c>
    </row>
    <row r="1464" spans="1:7" x14ac:dyDescent="0.25">
      <c r="A1464">
        <v>18121</v>
      </c>
      <c r="B1464" t="s">
        <v>66</v>
      </c>
      <c r="C1464">
        <v>22</v>
      </c>
      <c r="D1464" s="3">
        <f>in_parking_demand_data_ver1!D1464*calibration!$I$31</f>
        <v>0</v>
      </c>
      <c r="E1464" s="3">
        <f>in_parking_demand_data_ver1!E1464*calibration!$I$31</f>
        <v>0</v>
      </c>
      <c r="F1464" s="3">
        <f t="shared" si="22"/>
        <v>0</v>
      </c>
      <c r="G1464">
        <v>0</v>
      </c>
    </row>
    <row r="1465" spans="1:7" x14ac:dyDescent="0.25">
      <c r="A1465">
        <v>18121</v>
      </c>
      <c r="B1465" t="s">
        <v>66</v>
      </c>
      <c r="C1465">
        <v>23</v>
      </c>
      <c r="D1465" s="3">
        <f>in_parking_demand_data_ver1!D1465*calibration!$I$31</f>
        <v>0</v>
      </c>
      <c r="E1465" s="3">
        <f>in_parking_demand_data_ver1!E1465*calibration!$I$31</f>
        <v>0</v>
      </c>
      <c r="F1465" s="3">
        <f t="shared" si="22"/>
        <v>0</v>
      </c>
      <c r="G1465">
        <v>0</v>
      </c>
    </row>
    <row r="1466" spans="1:7" x14ac:dyDescent="0.25">
      <c r="A1466">
        <v>18123</v>
      </c>
      <c r="B1466" t="s">
        <v>67</v>
      </c>
      <c r="C1466">
        <v>0</v>
      </c>
      <c r="D1466" s="3">
        <f>in_parking_demand_data_ver1!D1466*calibration!$I$31</f>
        <v>0</v>
      </c>
      <c r="E1466" s="3">
        <f>in_parking_demand_data_ver1!E1466*calibration!$I$31</f>
        <v>1.7123527570139843</v>
      </c>
      <c r="F1466" s="3">
        <f t="shared" si="22"/>
        <v>1.7123527570139843</v>
      </c>
      <c r="G1466">
        <v>0</v>
      </c>
    </row>
    <row r="1467" spans="1:7" x14ac:dyDescent="0.25">
      <c r="A1467">
        <v>18123</v>
      </c>
      <c r="B1467" t="s">
        <v>67</v>
      </c>
      <c r="C1467">
        <v>1</v>
      </c>
      <c r="D1467" s="3">
        <f>in_parking_demand_data_ver1!D1467*calibration!$I$31</f>
        <v>0</v>
      </c>
      <c r="E1467" s="3">
        <f>in_parking_demand_data_ver1!E1467*calibration!$I$31</f>
        <v>1.8521366555457426</v>
      </c>
      <c r="F1467" s="3">
        <f t="shared" si="22"/>
        <v>1.8521366555457426</v>
      </c>
      <c r="G1467">
        <v>0</v>
      </c>
    </row>
    <row r="1468" spans="1:7" x14ac:dyDescent="0.25">
      <c r="A1468">
        <v>18123</v>
      </c>
      <c r="B1468" t="s">
        <v>67</v>
      </c>
      <c r="C1468">
        <v>2</v>
      </c>
      <c r="D1468" s="3">
        <f>in_parking_demand_data_ver1!D1468*calibration!$I$31</f>
        <v>0</v>
      </c>
      <c r="E1468" s="3">
        <f>in_parking_demand_data_ver1!E1468*calibration!$I$31</f>
        <v>2.0618125033433712</v>
      </c>
      <c r="F1468" s="3">
        <f t="shared" si="22"/>
        <v>2.0618125033433712</v>
      </c>
      <c r="G1468">
        <v>0</v>
      </c>
    </row>
    <row r="1469" spans="1:7" x14ac:dyDescent="0.25">
      <c r="A1469">
        <v>18123</v>
      </c>
      <c r="B1469" t="s">
        <v>67</v>
      </c>
      <c r="C1469">
        <v>3</v>
      </c>
      <c r="D1469" s="3">
        <f>in_parking_demand_data_ver1!D1469*calibration!$I$31</f>
        <v>0</v>
      </c>
      <c r="E1469" s="3">
        <f>in_parking_demand_data_ver1!E1469*calibration!$I$31</f>
        <v>2.5860021228374466</v>
      </c>
      <c r="F1469" s="3">
        <f t="shared" si="22"/>
        <v>2.5860021228374466</v>
      </c>
      <c r="G1469">
        <v>0</v>
      </c>
    </row>
    <row r="1470" spans="1:7" x14ac:dyDescent="0.25">
      <c r="A1470">
        <v>18123</v>
      </c>
      <c r="B1470" t="s">
        <v>67</v>
      </c>
      <c r="C1470">
        <v>4</v>
      </c>
      <c r="D1470" s="3">
        <f>in_parking_demand_data_ver1!D1470*calibration!$I$31</f>
        <v>0</v>
      </c>
      <c r="E1470" s="3">
        <f>in_parking_demand_data_ver1!E1470*calibration!$I$31</f>
        <v>2.8655699199009623</v>
      </c>
      <c r="F1470" s="3">
        <f t="shared" si="22"/>
        <v>2.8655699199009623</v>
      </c>
      <c r="G1470">
        <v>0</v>
      </c>
    </row>
    <row r="1471" spans="1:7" x14ac:dyDescent="0.25">
      <c r="A1471">
        <v>18123</v>
      </c>
      <c r="B1471" t="s">
        <v>67</v>
      </c>
      <c r="C1471">
        <v>5</v>
      </c>
      <c r="D1471" s="3">
        <f>in_parking_demand_data_ver1!D1471*calibration!$I$31</f>
        <v>0</v>
      </c>
      <c r="E1471" s="3">
        <f>in_parking_demand_data_ver1!E1471*calibration!$I$31</f>
        <v>2.5161101735715761</v>
      </c>
      <c r="F1471" s="3">
        <f t="shared" si="22"/>
        <v>2.5161101735715761</v>
      </c>
      <c r="G1471">
        <v>0</v>
      </c>
    </row>
    <row r="1472" spans="1:7" x14ac:dyDescent="0.25">
      <c r="A1472">
        <v>18123</v>
      </c>
      <c r="B1472" t="s">
        <v>67</v>
      </c>
      <c r="C1472">
        <v>6</v>
      </c>
      <c r="D1472" s="3">
        <f>in_parking_demand_data_ver1!D1472*calibration!$I$31</f>
        <v>0</v>
      </c>
      <c r="E1472" s="3">
        <f>in_parking_demand_data_ver1!E1472*calibration!$I$31</f>
        <v>1.9220286048116131</v>
      </c>
      <c r="F1472" s="3">
        <f t="shared" si="22"/>
        <v>1.9220286048116131</v>
      </c>
      <c r="G1472">
        <v>0</v>
      </c>
    </row>
    <row r="1473" spans="1:7" x14ac:dyDescent="0.25">
      <c r="A1473">
        <v>18123</v>
      </c>
      <c r="B1473" t="s">
        <v>67</v>
      </c>
      <c r="C1473">
        <v>7</v>
      </c>
      <c r="D1473" s="3">
        <f>in_parking_demand_data_ver1!D1473*calibration!$I$31</f>
        <v>0</v>
      </c>
      <c r="E1473" s="3">
        <f>in_parking_demand_data_ver1!E1473*calibration!$I$31</f>
        <v>1.2930010614187188</v>
      </c>
      <c r="F1473" s="3">
        <f t="shared" si="22"/>
        <v>1.2930010614187188</v>
      </c>
      <c r="G1473">
        <v>0</v>
      </c>
    </row>
    <row r="1474" spans="1:7" x14ac:dyDescent="0.25">
      <c r="A1474">
        <v>18123</v>
      </c>
      <c r="B1474" t="s">
        <v>67</v>
      </c>
      <c r="C1474">
        <v>8</v>
      </c>
      <c r="D1474" s="3">
        <f>in_parking_demand_data_ver1!D1474*calibration!$I$31</f>
        <v>0</v>
      </c>
      <c r="E1474" s="3">
        <f>in_parking_demand_data_ver1!E1474*calibration!$I$31</f>
        <v>0.59408156875995533</v>
      </c>
      <c r="F1474" s="3">
        <f t="shared" si="22"/>
        <v>0.59408156875995533</v>
      </c>
      <c r="G1474">
        <v>0</v>
      </c>
    </row>
    <row r="1475" spans="1:7" x14ac:dyDescent="0.25">
      <c r="A1475">
        <v>18123</v>
      </c>
      <c r="B1475" t="s">
        <v>67</v>
      </c>
      <c r="C1475">
        <v>9</v>
      </c>
      <c r="D1475" s="3">
        <f>in_parking_demand_data_ver1!D1475*calibration!$I$31</f>
        <v>0</v>
      </c>
      <c r="E1475" s="3">
        <f>in_parking_demand_data_ver1!E1475*calibration!$I$31</f>
        <v>0.52418961949407805</v>
      </c>
      <c r="F1475" s="3">
        <f t="shared" ref="F1475:F1538" si="23">SUM(D1475:E1475)</f>
        <v>0.52418961949407805</v>
      </c>
      <c r="G1475">
        <v>0</v>
      </c>
    </row>
    <row r="1476" spans="1:7" x14ac:dyDescent="0.25">
      <c r="A1476">
        <v>18123</v>
      </c>
      <c r="B1476" t="s">
        <v>67</v>
      </c>
      <c r="C1476">
        <v>10</v>
      </c>
      <c r="D1476" s="3">
        <f>in_parking_demand_data_ver1!D1476*calibration!$I$31</f>
        <v>0</v>
      </c>
      <c r="E1476" s="3">
        <f>in_parking_demand_data_ver1!E1476*calibration!$I$31</f>
        <v>0.31451377169644701</v>
      </c>
      <c r="F1476" s="3">
        <f t="shared" si="23"/>
        <v>0.31451377169644701</v>
      </c>
      <c r="G1476">
        <v>0</v>
      </c>
    </row>
    <row r="1477" spans="1:7" x14ac:dyDescent="0.25">
      <c r="A1477">
        <v>18123</v>
      </c>
      <c r="B1477" t="s">
        <v>67</v>
      </c>
      <c r="C1477">
        <v>11</v>
      </c>
      <c r="D1477" s="3">
        <f>in_parking_demand_data_ver1!D1477*calibration!$I$31</f>
        <v>0</v>
      </c>
      <c r="E1477" s="3">
        <f>in_parking_demand_data_ver1!E1477*calibration!$I$31</f>
        <v>0.59408156875995533</v>
      </c>
      <c r="F1477" s="3">
        <f t="shared" si="23"/>
        <v>0.59408156875995533</v>
      </c>
      <c r="G1477">
        <v>0</v>
      </c>
    </row>
    <row r="1478" spans="1:7" x14ac:dyDescent="0.25">
      <c r="A1478">
        <v>18123</v>
      </c>
      <c r="B1478" t="s">
        <v>67</v>
      </c>
      <c r="C1478">
        <v>12</v>
      </c>
      <c r="D1478" s="3">
        <f>in_parking_demand_data_ver1!D1478*calibration!$I$31</f>
        <v>0</v>
      </c>
      <c r="E1478" s="3">
        <f>in_parking_demand_data_ver1!E1478*calibration!$I$31</f>
        <v>0.94354131508934092</v>
      </c>
      <c r="F1478" s="3">
        <f t="shared" si="23"/>
        <v>0.94354131508934092</v>
      </c>
      <c r="G1478">
        <v>0</v>
      </c>
    </row>
    <row r="1479" spans="1:7" x14ac:dyDescent="0.25">
      <c r="A1479">
        <v>18123</v>
      </c>
      <c r="B1479" t="s">
        <v>67</v>
      </c>
      <c r="C1479">
        <v>13</v>
      </c>
      <c r="D1479" s="3">
        <f>in_parking_demand_data_ver1!D1479*calibration!$I$31</f>
        <v>0</v>
      </c>
      <c r="E1479" s="3">
        <f>in_parking_demand_data_ver1!E1479*calibration!$I$31</f>
        <v>0.73386546729170998</v>
      </c>
      <c r="F1479" s="3">
        <f t="shared" si="23"/>
        <v>0.73386546729170998</v>
      </c>
      <c r="G1479">
        <v>0</v>
      </c>
    </row>
    <row r="1480" spans="1:7" x14ac:dyDescent="0.25">
      <c r="A1480">
        <v>18123</v>
      </c>
      <c r="B1480" t="s">
        <v>67</v>
      </c>
      <c r="C1480">
        <v>14</v>
      </c>
      <c r="D1480" s="3">
        <f>in_parking_demand_data_ver1!D1480*calibration!$I$31</f>
        <v>0</v>
      </c>
      <c r="E1480" s="3">
        <f>in_parking_demand_data_ver1!E1480*calibration!$I$31</f>
        <v>0.69891949265877129</v>
      </c>
      <c r="F1480" s="3">
        <f t="shared" si="23"/>
        <v>0.69891949265877129</v>
      </c>
      <c r="G1480">
        <v>0</v>
      </c>
    </row>
    <row r="1481" spans="1:7" x14ac:dyDescent="0.25">
      <c r="A1481">
        <v>18123</v>
      </c>
      <c r="B1481" t="s">
        <v>67</v>
      </c>
      <c r="C1481">
        <v>15</v>
      </c>
      <c r="D1481" s="3">
        <f>in_parking_demand_data_ver1!D1481*calibration!$I$31</f>
        <v>0</v>
      </c>
      <c r="E1481" s="3">
        <f>in_parking_demand_data_ver1!E1481*calibration!$I$31</f>
        <v>0.55913559412701663</v>
      </c>
      <c r="F1481" s="3">
        <f t="shared" si="23"/>
        <v>0.55913559412701663</v>
      </c>
      <c r="G1481">
        <v>0</v>
      </c>
    </row>
    <row r="1482" spans="1:7" x14ac:dyDescent="0.25">
      <c r="A1482">
        <v>18123</v>
      </c>
      <c r="B1482" t="s">
        <v>67</v>
      </c>
      <c r="C1482">
        <v>16</v>
      </c>
      <c r="D1482" s="3">
        <f>in_parking_demand_data_ver1!D1482*calibration!$I$31</f>
        <v>0</v>
      </c>
      <c r="E1482" s="3">
        <f>in_parking_demand_data_ver1!E1482*calibration!$I$31</f>
        <v>0.24462182243056971</v>
      </c>
      <c r="F1482" s="3">
        <f t="shared" si="23"/>
        <v>0.24462182243056971</v>
      </c>
      <c r="G1482">
        <v>0</v>
      </c>
    </row>
    <row r="1483" spans="1:7" x14ac:dyDescent="0.25">
      <c r="A1483">
        <v>18123</v>
      </c>
      <c r="B1483" t="s">
        <v>67</v>
      </c>
      <c r="C1483">
        <v>17</v>
      </c>
      <c r="D1483" s="3">
        <f>in_parking_demand_data_ver1!D1483*calibration!$I$31</f>
        <v>0</v>
      </c>
      <c r="E1483" s="3">
        <f>in_parking_demand_data_ver1!E1483*calibration!$I$31</f>
        <v>0.20967584779763104</v>
      </c>
      <c r="F1483" s="3">
        <f t="shared" si="23"/>
        <v>0.20967584779763104</v>
      </c>
      <c r="G1483">
        <v>0</v>
      </c>
    </row>
    <row r="1484" spans="1:7" x14ac:dyDescent="0.25">
      <c r="A1484">
        <v>18123</v>
      </c>
      <c r="B1484" t="s">
        <v>67</v>
      </c>
      <c r="C1484">
        <v>18</v>
      </c>
      <c r="D1484" s="3">
        <f>in_parking_demand_data_ver1!D1484*calibration!$I$31</f>
        <v>0</v>
      </c>
      <c r="E1484" s="3">
        <f>in_parking_demand_data_ver1!E1484*calibration!$I$31</f>
        <v>0.24462182243056971</v>
      </c>
      <c r="F1484" s="3">
        <f t="shared" si="23"/>
        <v>0.24462182243056971</v>
      </c>
      <c r="G1484">
        <v>0</v>
      </c>
    </row>
    <row r="1485" spans="1:7" x14ac:dyDescent="0.25">
      <c r="A1485">
        <v>18123</v>
      </c>
      <c r="B1485" t="s">
        <v>67</v>
      </c>
      <c r="C1485">
        <v>19</v>
      </c>
      <c r="D1485" s="3">
        <f>in_parking_demand_data_ver1!D1485*calibration!$I$31</f>
        <v>0</v>
      </c>
      <c r="E1485" s="3">
        <f>in_parking_demand_data_ver1!E1485*calibration!$I$31</f>
        <v>0.24462182243056971</v>
      </c>
      <c r="F1485" s="3">
        <f t="shared" si="23"/>
        <v>0.24462182243056971</v>
      </c>
      <c r="G1485">
        <v>0</v>
      </c>
    </row>
    <row r="1486" spans="1:7" x14ac:dyDescent="0.25">
      <c r="A1486">
        <v>18123</v>
      </c>
      <c r="B1486" t="s">
        <v>67</v>
      </c>
      <c r="C1486">
        <v>20</v>
      </c>
      <c r="D1486" s="3">
        <f>in_parking_demand_data_ver1!D1486*calibration!$I$31</f>
        <v>0</v>
      </c>
      <c r="E1486" s="3">
        <f>in_parking_demand_data_ver1!E1486*calibration!$I$31</f>
        <v>0.45429767022820078</v>
      </c>
      <c r="F1486" s="3">
        <f t="shared" si="23"/>
        <v>0.45429767022820078</v>
      </c>
      <c r="G1486">
        <v>0</v>
      </c>
    </row>
    <row r="1487" spans="1:7" x14ac:dyDescent="0.25">
      <c r="A1487">
        <v>18123</v>
      </c>
      <c r="B1487" t="s">
        <v>67</v>
      </c>
      <c r="C1487">
        <v>21</v>
      </c>
      <c r="D1487" s="3">
        <f>in_parking_demand_data_ver1!D1487*calibration!$I$31</f>
        <v>0</v>
      </c>
      <c r="E1487" s="3">
        <f>in_parking_demand_data_ver1!E1487*calibration!$I$31</f>
        <v>0.87364936582346198</v>
      </c>
      <c r="F1487" s="3">
        <f t="shared" si="23"/>
        <v>0.87364936582346198</v>
      </c>
      <c r="G1487">
        <v>0</v>
      </c>
    </row>
    <row r="1488" spans="1:7" x14ac:dyDescent="0.25">
      <c r="A1488">
        <v>18123</v>
      </c>
      <c r="B1488" t="s">
        <v>67</v>
      </c>
      <c r="C1488">
        <v>22</v>
      </c>
      <c r="D1488" s="3">
        <f>in_parking_demand_data_ver1!D1488*calibration!$I$31</f>
        <v>0</v>
      </c>
      <c r="E1488" s="3">
        <f>in_parking_demand_data_ver1!E1488*calibration!$I$31</f>
        <v>1.2231091121528486</v>
      </c>
      <c r="F1488" s="3">
        <f t="shared" si="23"/>
        <v>1.2231091121528486</v>
      </c>
      <c r="G1488">
        <v>0</v>
      </c>
    </row>
    <row r="1489" spans="1:7" x14ac:dyDescent="0.25">
      <c r="A1489">
        <v>18123</v>
      </c>
      <c r="B1489" t="s">
        <v>67</v>
      </c>
      <c r="C1489">
        <v>23</v>
      </c>
      <c r="D1489" s="3">
        <f>in_parking_demand_data_ver1!D1489*calibration!$I$31</f>
        <v>0</v>
      </c>
      <c r="E1489" s="3">
        <f>in_parking_demand_data_ver1!E1489*calibration!$I$31</f>
        <v>1.572568858482235</v>
      </c>
      <c r="F1489" s="3">
        <f t="shared" si="23"/>
        <v>1.572568858482235</v>
      </c>
      <c r="G1489">
        <v>0</v>
      </c>
    </row>
    <row r="1490" spans="1:7" x14ac:dyDescent="0.25">
      <c r="A1490">
        <v>18125</v>
      </c>
      <c r="B1490" t="s">
        <v>68</v>
      </c>
      <c r="C1490">
        <v>0</v>
      </c>
      <c r="D1490" s="3">
        <f>in_parking_demand_data_ver1!D1490*calibration!$I$31</f>
        <v>0</v>
      </c>
      <c r="E1490" s="3">
        <f>in_parking_demand_data_ver1!E1490*calibration!$I$31</f>
        <v>0.95384672530541448</v>
      </c>
      <c r="F1490" s="3">
        <f t="shared" si="23"/>
        <v>0.95384672530541448</v>
      </c>
      <c r="G1490">
        <v>0</v>
      </c>
    </row>
    <row r="1491" spans="1:7" x14ac:dyDescent="0.25">
      <c r="A1491">
        <v>18125</v>
      </c>
      <c r="B1491" t="s">
        <v>68</v>
      </c>
      <c r="C1491">
        <v>1</v>
      </c>
      <c r="D1491" s="3">
        <f>in_parking_demand_data_ver1!D1491*calibration!$I$31</f>
        <v>0</v>
      </c>
      <c r="E1491" s="3">
        <f>in_parking_demand_data_ver1!E1491*calibration!$I$31</f>
        <v>0.78552083260445904</v>
      </c>
      <c r="F1491" s="3">
        <f t="shared" si="23"/>
        <v>0.78552083260445904</v>
      </c>
      <c r="G1491">
        <v>0</v>
      </c>
    </row>
    <row r="1492" spans="1:7" x14ac:dyDescent="0.25">
      <c r="A1492">
        <v>18125</v>
      </c>
      <c r="B1492" t="s">
        <v>68</v>
      </c>
      <c r="C1492">
        <v>2</v>
      </c>
      <c r="D1492" s="3">
        <f>in_parking_demand_data_ver1!D1492*calibration!$I$31</f>
        <v>0</v>
      </c>
      <c r="E1492" s="3">
        <f>in_parking_demand_data_ver1!E1492*calibration!$I$31</f>
        <v>0.89773809440509134</v>
      </c>
      <c r="F1492" s="3">
        <f t="shared" si="23"/>
        <v>0.89773809440509134</v>
      </c>
      <c r="G1492">
        <v>0</v>
      </c>
    </row>
    <row r="1493" spans="1:7" x14ac:dyDescent="0.25">
      <c r="A1493">
        <v>18125</v>
      </c>
      <c r="B1493" t="s">
        <v>68</v>
      </c>
      <c r="C1493">
        <v>3</v>
      </c>
      <c r="D1493" s="3">
        <f>in_parking_demand_data_ver1!D1493*calibration!$I$31</f>
        <v>0</v>
      </c>
      <c r="E1493" s="3">
        <f>in_parking_demand_data_ver1!E1493*calibration!$I$31</f>
        <v>1.0660639871060436</v>
      </c>
      <c r="F1493" s="3">
        <f t="shared" si="23"/>
        <v>1.0660639871060436</v>
      </c>
      <c r="G1493">
        <v>0</v>
      </c>
    </row>
    <row r="1494" spans="1:7" x14ac:dyDescent="0.25">
      <c r="A1494">
        <v>18125</v>
      </c>
      <c r="B1494" t="s">
        <v>68</v>
      </c>
      <c r="C1494">
        <v>4</v>
      </c>
      <c r="D1494" s="3">
        <f>in_parking_demand_data_ver1!D1494*calibration!$I$31</f>
        <v>0</v>
      </c>
      <c r="E1494" s="3">
        <f>in_parking_demand_data_ver1!E1494*calibration!$I$31</f>
        <v>1.2904985107073184</v>
      </c>
      <c r="F1494" s="3">
        <f t="shared" si="23"/>
        <v>1.2904985107073184</v>
      </c>
      <c r="G1494">
        <v>0</v>
      </c>
    </row>
    <row r="1495" spans="1:7" x14ac:dyDescent="0.25">
      <c r="A1495">
        <v>18125</v>
      </c>
      <c r="B1495" t="s">
        <v>68</v>
      </c>
      <c r="C1495">
        <v>5</v>
      </c>
      <c r="D1495" s="3">
        <f>in_parking_demand_data_ver1!D1495*calibration!$I$31</f>
        <v>0</v>
      </c>
      <c r="E1495" s="3">
        <f>in_parking_demand_data_ver1!E1495*calibration!$I$31</f>
        <v>0.95384672530541448</v>
      </c>
      <c r="F1495" s="3">
        <f t="shared" si="23"/>
        <v>0.95384672530541448</v>
      </c>
      <c r="G1495">
        <v>0</v>
      </c>
    </row>
    <row r="1496" spans="1:7" x14ac:dyDescent="0.25">
      <c r="A1496">
        <v>18125</v>
      </c>
      <c r="B1496" t="s">
        <v>68</v>
      </c>
      <c r="C1496">
        <v>6</v>
      </c>
      <c r="D1496" s="3">
        <f>in_parking_demand_data_ver1!D1496*calibration!$I$31</f>
        <v>0</v>
      </c>
      <c r="E1496" s="3">
        <f>in_parking_demand_data_ver1!E1496*calibration!$I$31</f>
        <v>1.9638020815111437</v>
      </c>
      <c r="F1496" s="3">
        <f t="shared" si="23"/>
        <v>1.9638020815111437</v>
      </c>
      <c r="G1496">
        <v>0</v>
      </c>
    </row>
    <row r="1497" spans="1:7" x14ac:dyDescent="0.25">
      <c r="A1497">
        <v>18125</v>
      </c>
      <c r="B1497" t="s">
        <v>68</v>
      </c>
      <c r="C1497">
        <v>7</v>
      </c>
      <c r="D1497" s="3">
        <f>in_parking_demand_data_ver1!D1497*calibration!$I$31</f>
        <v>0</v>
      </c>
      <c r="E1497" s="3">
        <f>in_parking_demand_data_ver1!E1497*calibration!$I$31</f>
        <v>2.3004538669130556</v>
      </c>
      <c r="F1497" s="3">
        <f t="shared" si="23"/>
        <v>2.3004538669130556</v>
      </c>
      <c r="G1497">
        <v>0</v>
      </c>
    </row>
    <row r="1498" spans="1:7" x14ac:dyDescent="0.25">
      <c r="A1498">
        <v>18125</v>
      </c>
      <c r="B1498" t="s">
        <v>68</v>
      </c>
      <c r="C1498">
        <v>8</v>
      </c>
      <c r="D1498" s="3">
        <f>in_parking_demand_data_ver1!D1498*calibration!$I$31</f>
        <v>0</v>
      </c>
      <c r="E1498" s="3">
        <f>in_parking_demand_data_ver1!E1498*calibration!$I$31</f>
        <v>2.2443452360127329</v>
      </c>
      <c r="F1498" s="3">
        <f t="shared" si="23"/>
        <v>2.2443452360127329</v>
      </c>
      <c r="G1498">
        <v>0</v>
      </c>
    </row>
    <row r="1499" spans="1:7" x14ac:dyDescent="0.25">
      <c r="A1499">
        <v>18125</v>
      </c>
      <c r="B1499" t="s">
        <v>68</v>
      </c>
      <c r="C1499">
        <v>9</v>
      </c>
      <c r="D1499" s="3">
        <f>in_parking_demand_data_ver1!D1499*calibration!$I$31</f>
        <v>0</v>
      </c>
      <c r="E1499" s="3">
        <f>in_parking_demand_data_ver1!E1499*calibration!$I$31</f>
        <v>1.7393675579098686</v>
      </c>
      <c r="F1499" s="3">
        <f t="shared" si="23"/>
        <v>1.7393675579098686</v>
      </c>
      <c r="G1499">
        <v>0</v>
      </c>
    </row>
    <row r="1500" spans="1:7" x14ac:dyDescent="0.25">
      <c r="A1500">
        <v>18125</v>
      </c>
      <c r="B1500" t="s">
        <v>68</v>
      </c>
      <c r="C1500">
        <v>10</v>
      </c>
      <c r="D1500" s="3">
        <f>in_parking_demand_data_ver1!D1500*calibration!$I$31</f>
        <v>0</v>
      </c>
      <c r="E1500" s="3">
        <f>in_parking_demand_data_ver1!E1500*calibration!$I$31</f>
        <v>1.7954761888101916</v>
      </c>
      <c r="F1500" s="3">
        <f t="shared" si="23"/>
        <v>1.7954761888101916</v>
      </c>
      <c r="G1500">
        <v>0</v>
      </c>
    </row>
    <row r="1501" spans="1:7" x14ac:dyDescent="0.25">
      <c r="A1501">
        <v>18125</v>
      </c>
      <c r="B1501" t="s">
        <v>68</v>
      </c>
      <c r="C1501">
        <v>11</v>
      </c>
      <c r="D1501" s="3">
        <f>in_parking_demand_data_ver1!D1501*calibration!$I$31</f>
        <v>0</v>
      </c>
      <c r="E1501" s="3">
        <f>in_parking_demand_data_ver1!E1501*calibration!$I$31</f>
        <v>1.4588244034082791</v>
      </c>
      <c r="F1501" s="3">
        <f t="shared" si="23"/>
        <v>1.4588244034082791</v>
      </c>
      <c r="G1501">
        <v>0</v>
      </c>
    </row>
    <row r="1502" spans="1:7" x14ac:dyDescent="0.25">
      <c r="A1502">
        <v>18125</v>
      </c>
      <c r="B1502" t="s">
        <v>68</v>
      </c>
      <c r="C1502">
        <v>12</v>
      </c>
      <c r="D1502" s="3">
        <f>in_parking_demand_data_ver1!D1502*calibration!$I$31</f>
        <v>0</v>
      </c>
      <c r="E1502" s="3">
        <f>in_parking_demand_data_ver1!E1502*calibration!$I$31</f>
        <v>1.178281248906681</v>
      </c>
      <c r="F1502" s="3">
        <f t="shared" si="23"/>
        <v>1.178281248906681</v>
      </c>
      <c r="G1502">
        <v>0</v>
      </c>
    </row>
    <row r="1503" spans="1:7" x14ac:dyDescent="0.25">
      <c r="A1503">
        <v>18125</v>
      </c>
      <c r="B1503" t="s">
        <v>68</v>
      </c>
      <c r="C1503">
        <v>13</v>
      </c>
      <c r="D1503" s="3">
        <f>in_parking_demand_data_ver1!D1503*calibration!$I$31</f>
        <v>0</v>
      </c>
      <c r="E1503" s="3">
        <f>in_parking_demand_data_ver1!E1503*calibration!$I$31</f>
        <v>1.1221726180063665</v>
      </c>
      <c r="F1503" s="3">
        <f t="shared" si="23"/>
        <v>1.1221726180063665</v>
      </c>
      <c r="G1503">
        <v>0</v>
      </c>
    </row>
    <row r="1504" spans="1:7" x14ac:dyDescent="0.25">
      <c r="A1504">
        <v>18125</v>
      </c>
      <c r="B1504" t="s">
        <v>68</v>
      </c>
      <c r="C1504">
        <v>14</v>
      </c>
      <c r="D1504" s="3">
        <f>in_parking_demand_data_ver1!D1504*calibration!$I$31</f>
        <v>0</v>
      </c>
      <c r="E1504" s="3">
        <f>in_parking_demand_data_ver1!E1504*calibration!$I$31</f>
        <v>2.3565624978133703</v>
      </c>
      <c r="F1504" s="3">
        <f t="shared" si="23"/>
        <v>2.3565624978133703</v>
      </c>
      <c r="G1504">
        <v>0</v>
      </c>
    </row>
    <row r="1505" spans="1:7" x14ac:dyDescent="0.25">
      <c r="A1505">
        <v>18125</v>
      </c>
      <c r="B1505" t="s">
        <v>68</v>
      </c>
      <c r="C1505">
        <v>15</v>
      </c>
      <c r="D1505" s="3">
        <f>in_parking_demand_data_ver1!D1505*calibration!$I$31</f>
        <v>0</v>
      </c>
      <c r="E1505" s="3">
        <f>in_parking_demand_data_ver1!E1505*calibration!$I$31</f>
        <v>1.7954761888101916</v>
      </c>
      <c r="F1505" s="3">
        <f t="shared" si="23"/>
        <v>1.7954761888101916</v>
      </c>
      <c r="G1505">
        <v>0</v>
      </c>
    </row>
    <row r="1506" spans="1:7" x14ac:dyDescent="0.25">
      <c r="A1506">
        <v>18125</v>
      </c>
      <c r="B1506" t="s">
        <v>68</v>
      </c>
      <c r="C1506">
        <v>16</v>
      </c>
      <c r="D1506" s="3">
        <f>in_parking_demand_data_ver1!D1506*calibration!$I$31</f>
        <v>0</v>
      </c>
      <c r="E1506" s="3">
        <f>in_parking_demand_data_ver1!E1506*calibration!$I$31</f>
        <v>0.61719493990350371</v>
      </c>
      <c r="F1506" s="3">
        <f t="shared" si="23"/>
        <v>0.61719493990350371</v>
      </c>
      <c r="G1506">
        <v>0</v>
      </c>
    </row>
    <row r="1507" spans="1:7" x14ac:dyDescent="0.25">
      <c r="A1507">
        <v>18125</v>
      </c>
      <c r="B1507" t="s">
        <v>68</v>
      </c>
      <c r="C1507">
        <v>17</v>
      </c>
      <c r="D1507" s="3">
        <f>in_parking_demand_data_ver1!D1507*calibration!$I$31</f>
        <v>0</v>
      </c>
      <c r="E1507" s="3">
        <f>in_parking_demand_data_ver1!E1507*calibration!$I$31</f>
        <v>0.28054315450159206</v>
      </c>
      <c r="F1507" s="3">
        <f t="shared" si="23"/>
        <v>0.28054315450159206</v>
      </c>
      <c r="G1507">
        <v>0</v>
      </c>
    </row>
    <row r="1508" spans="1:7" x14ac:dyDescent="0.25">
      <c r="A1508">
        <v>18125</v>
      </c>
      <c r="B1508" t="s">
        <v>68</v>
      </c>
      <c r="C1508">
        <v>18</v>
      </c>
      <c r="D1508" s="3">
        <f>in_parking_demand_data_ver1!D1508*calibration!$I$31</f>
        <v>0</v>
      </c>
      <c r="E1508" s="3">
        <f>in_parking_demand_data_ver1!E1508*calibration!$I$31</f>
        <v>0.33665178540191082</v>
      </c>
      <c r="F1508" s="3">
        <f t="shared" si="23"/>
        <v>0.33665178540191082</v>
      </c>
      <c r="G1508">
        <v>0</v>
      </c>
    </row>
    <row r="1509" spans="1:7" x14ac:dyDescent="0.25">
      <c r="A1509">
        <v>18125</v>
      </c>
      <c r="B1509" t="s">
        <v>68</v>
      </c>
      <c r="C1509">
        <v>19</v>
      </c>
      <c r="D1509" s="3">
        <f>in_parking_demand_data_ver1!D1509*calibration!$I$31</f>
        <v>0</v>
      </c>
      <c r="E1509" s="3">
        <f>in_parking_demand_data_ver1!E1509*calibration!$I$31</f>
        <v>0.33665178540191082</v>
      </c>
      <c r="F1509" s="3">
        <f t="shared" si="23"/>
        <v>0.33665178540191082</v>
      </c>
      <c r="G1509">
        <v>0</v>
      </c>
    </row>
    <row r="1510" spans="1:7" x14ac:dyDescent="0.25">
      <c r="A1510">
        <v>18125</v>
      </c>
      <c r="B1510" t="s">
        <v>68</v>
      </c>
      <c r="C1510">
        <v>20</v>
      </c>
      <c r="D1510" s="3">
        <f>in_parking_demand_data_ver1!D1510*calibration!$I$31</f>
        <v>0</v>
      </c>
      <c r="E1510" s="3">
        <f>in_parking_demand_data_ver1!E1510*calibration!$I$31</f>
        <v>0.5049776781028662</v>
      </c>
      <c r="F1510" s="3">
        <f t="shared" si="23"/>
        <v>0.5049776781028662</v>
      </c>
      <c r="G1510">
        <v>0</v>
      </c>
    </row>
    <row r="1511" spans="1:7" x14ac:dyDescent="0.25">
      <c r="A1511">
        <v>18125</v>
      </c>
      <c r="B1511" t="s">
        <v>68</v>
      </c>
      <c r="C1511">
        <v>21</v>
      </c>
      <c r="D1511" s="3">
        <f>in_parking_demand_data_ver1!D1511*calibration!$I$31</f>
        <v>0</v>
      </c>
      <c r="E1511" s="3">
        <f>in_parking_demand_data_ver1!E1511*calibration!$I$31</f>
        <v>0.72941220170414034</v>
      </c>
      <c r="F1511" s="3">
        <f t="shared" si="23"/>
        <v>0.72941220170414034</v>
      </c>
      <c r="G1511">
        <v>0</v>
      </c>
    </row>
    <row r="1512" spans="1:7" x14ac:dyDescent="0.25">
      <c r="A1512">
        <v>18125</v>
      </c>
      <c r="B1512" t="s">
        <v>68</v>
      </c>
      <c r="C1512">
        <v>22</v>
      </c>
      <c r="D1512" s="3">
        <f>in_parking_demand_data_ver1!D1512*calibration!$I$31</f>
        <v>0</v>
      </c>
      <c r="E1512" s="3">
        <f>in_parking_demand_data_ver1!E1512*calibration!$I$31</f>
        <v>0.78552083260445904</v>
      </c>
      <c r="F1512" s="3">
        <f t="shared" si="23"/>
        <v>0.78552083260445904</v>
      </c>
      <c r="G1512">
        <v>0</v>
      </c>
    </row>
    <row r="1513" spans="1:7" x14ac:dyDescent="0.25">
      <c r="A1513">
        <v>18125</v>
      </c>
      <c r="B1513" t="s">
        <v>68</v>
      </c>
      <c r="C1513">
        <v>23</v>
      </c>
      <c r="D1513" s="3">
        <f>in_parking_demand_data_ver1!D1513*calibration!$I$31</f>
        <v>0</v>
      </c>
      <c r="E1513" s="3">
        <f>in_parking_demand_data_ver1!E1513*calibration!$I$31</f>
        <v>0.95384672530541448</v>
      </c>
      <c r="F1513" s="3">
        <f t="shared" si="23"/>
        <v>0.95384672530541448</v>
      </c>
      <c r="G1513">
        <v>0</v>
      </c>
    </row>
    <row r="1514" spans="1:7" x14ac:dyDescent="0.25">
      <c r="A1514">
        <v>18127</v>
      </c>
      <c r="B1514" t="s">
        <v>69</v>
      </c>
      <c r="C1514">
        <v>0</v>
      </c>
      <c r="D1514" s="3">
        <f>in_parking_demand_data_ver1!D1514*calibration!$I$31</f>
        <v>749.43581624208628</v>
      </c>
      <c r="E1514" s="3">
        <f>in_parking_demand_data_ver1!E1514*calibration!$I$31</f>
        <v>16.264169627184032</v>
      </c>
      <c r="F1514" s="3">
        <f t="shared" si="23"/>
        <v>765.69998586927034</v>
      </c>
      <c r="G1514">
        <v>755</v>
      </c>
    </row>
    <row r="1515" spans="1:7" x14ac:dyDescent="0.25">
      <c r="A1515">
        <v>18127</v>
      </c>
      <c r="B1515" t="s">
        <v>69</v>
      </c>
      <c r="C1515">
        <v>1</v>
      </c>
      <c r="D1515" s="3">
        <f>in_parking_demand_data_ver1!D1515*calibration!$I$31</f>
        <v>747.01045761347052</v>
      </c>
      <c r="E1515" s="3">
        <f>in_parking_demand_data_ver1!E1515*calibration!$I$31</f>
        <v>18.261523791925917</v>
      </c>
      <c r="F1515" s="3">
        <f t="shared" si="23"/>
        <v>765.27198140539645</v>
      </c>
      <c r="G1515">
        <v>755</v>
      </c>
    </row>
    <row r="1516" spans="1:7" x14ac:dyDescent="0.25">
      <c r="A1516">
        <v>18127</v>
      </c>
      <c r="B1516" t="s">
        <v>69</v>
      </c>
      <c r="C1516">
        <v>2</v>
      </c>
      <c r="D1516" s="3">
        <f>in_parking_demand_data_ver1!D1516*calibration!$I$31</f>
        <v>743.44375374785989</v>
      </c>
      <c r="E1516" s="3">
        <f>in_parking_demand_data_ver1!E1516*calibration!$I$31</f>
        <v>19.046198642360228</v>
      </c>
      <c r="F1516" s="3">
        <f t="shared" si="23"/>
        <v>762.48995239022008</v>
      </c>
      <c r="G1516">
        <v>755</v>
      </c>
    </row>
    <row r="1517" spans="1:7" x14ac:dyDescent="0.25">
      <c r="A1517">
        <v>18127</v>
      </c>
      <c r="B1517" t="s">
        <v>69</v>
      </c>
      <c r="C1517">
        <v>3</v>
      </c>
      <c r="D1517" s="3">
        <f>in_parking_demand_data_ver1!D1517*calibration!$I$31</f>
        <v>721.90086239957236</v>
      </c>
      <c r="E1517" s="3">
        <f>in_parking_demand_data_ver1!E1517*calibration!$I$31</f>
        <v>18.261523791925917</v>
      </c>
      <c r="F1517" s="3">
        <f t="shared" si="23"/>
        <v>740.16238619149829</v>
      </c>
      <c r="G1517">
        <v>755</v>
      </c>
    </row>
    <row r="1518" spans="1:7" x14ac:dyDescent="0.25">
      <c r="A1518">
        <v>18127</v>
      </c>
      <c r="B1518" t="s">
        <v>69</v>
      </c>
      <c r="C1518">
        <v>4</v>
      </c>
      <c r="D1518" s="3">
        <f>in_parking_demand_data_ver1!D1518*calibration!$I$31</f>
        <v>689.87186168639028</v>
      </c>
      <c r="E1518" s="3">
        <f>in_parking_demand_data_ver1!E1518*calibration!$I$31</f>
        <v>19.18886679698462</v>
      </c>
      <c r="F1518" s="3">
        <f t="shared" si="23"/>
        <v>709.06072848337487</v>
      </c>
      <c r="G1518">
        <v>755</v>
      </c>
    </row>
    <row r="1519" spans="1:7" x14ac:dyDescent="0.25">
      <c r="A1519">
        <v>18127</v>
      </c>
      <c r="B1519" t="s">
        <v>69</v>
      </c>
      <c r="C1519">
        <v>5</v>
      </c>
      <c r="D1519" s="3">
        <f>in_parking_demand_data_ver1!D1519*calibration!$I$31</f>
        <v>627.81121442476615</v>
      </c>
      <c r="E1519" s="3">
        <f>in_parking_demand_data_ver1!E1519*calibration!$I$31</f>
        <v>13.339472457383355</v>
      </c>
      <c r="F1519" s="3">
        <f t="shared" si="23"/>
        <v>641.15068688214956</v>
      </c>
      <c r="G1519">
        <v>755</v>
      </c>
    </row>
    <row r="1520" spans="1:7" x14ac:dyDescent="0.25">
      <c r="A1520">
        <v>18127</v>
      </c>
      <c r="B1520" t="s">
        <v>69</v>
      </c>
      <c r="C1520">
        <v>6</v>
      </c>
      <c r="D1520" s="3">
        <f>in_parking_demand_data_ver1!D1520*calibration!$I$31</f>
        <v>541.5683149543039</v>
      </c>
      <c r="E1520" s="3">
        <f>in_parking_demand_data_ver1!E1520*calibration!$I$31</f>
        <v>12.982802070822295</v>
      </c>
      <c r="F1520" s="3">
        <f t="shared" si="23"/>
        <v>554.55111702512625</v>
      </c>
      <c r="G1520">
        <v>755</v>
      </c>
    </row>
    <row r="1521" spans="1:7" x14ac:dyDescent="0.25">
      <c r="A1521">
        <v>18127</v>
      </c>
      <c r="B1521" t="s">
        <v>69</v>
      </c>
      <c r="C1521">
        <v>7</v>
      </c>
      <c r="D1521" s="3">
        <f>in_parking_demand_data_ver1!D1521*calibration!$I$31</f>
        <v>436.6358872280419</v>
      </c>
      <c r="E1521" s="3">
        <f>in_parking_demand_data_ver1!E1521*calibration!$I$31</f>
        <v>12.840133916197905</v>
      </c>
      <c r="F1521" s="3">
        <f t="shared" si="23"/>
        <v>449.47602114423978</v>
      </c>
      <c r="G1521">
        <v>755</v>
      </c>
    </row>
    <row r="1522" spans="1:7" x14ac:dyDescent="0.25">
      <c r="A1522">
        <v>18127</v>
      </c>
      <c r="B1522" t="s">
        <v>69</v>
      </c>
      <c r="C1522">
        <v>8</v>
      </c>
      <c r="D1522" s="3">
        <f>in_parking_demand_data_ver1!D1522*calibration!$I$31</f>
        <v>357.66906364342412</v>
      </c>
      <c r="E1522" s="3">
        <f>in_parking_demand_data_ver1!E1522*calibration!$I$31</f>
        <v>16.478171859120614</v>
      </c>
      <c r="F1522" s="3">
        <f t="shared" si="23"/>
        <v>374.14723550254473</v>
      </c>
      <c r="G1522">
        <v>755</v>
      </c>
    </row>
    <row r="1523" spans="1:7" x14ac:dyDescent="0.25">
      <c r="A1523">
        <v>18127</v>
      </c>
      <c r="B1523" t="s">
        <v>69</v>
      </c>
      <c r="C1523">
        <v>9</v>
      </c>
      <c r="D1523" s="3">
        <f>in_parking_demand_data_ver1!D1523*calibration!$I$31</f>
        <v>307.09320282906708</v>
      </c>
      <c r="E1523" s="3">
        <f>in_parking_demand_data_ver1!E1523*calibration!$I$31</f>
        <v>20.116209802043407</v>
      </c>
      <c r="F1523" s="3">
        <f t="shared" si="23"/>
        <v>327.20941263111047</v>
      </c>
      <c r="G1523">
        <v>755</v>
      </c>
    </row>
    <row r="1524" spans="1:7" x14ac:dyDescent="0.25">
      <c r="A1524">
        <v>18127</v>
      </c>
      <c r="B1524" t="s">
        <v>69</v>
      </c>
      <c r="C1524">
        <v>10</v>
      </c>
      <c r="D1524" s="3">
        <f>in_parking_demand_data_ver1!D1524*calibration!$I$31</f>
        <v>294.75240745405483</v>
      </c>
      <c r="E1524" s="3">
        <f>in_parking_demand_data_ver1!E1524*calibration!$I$31</f>
        <v>26.536276760142403</v>
      </c>
      <c r="F1524" s="3">
        <f t="shared" si="23"/>
        <v>321.28868421419725</v>
      </c>
      <c r="G1524">
        <v>755</v>
      </c>
    </row>
    <row r="1525" spans="1:7" x14ac:dyDescent="0.25">
      <c r="A1525">
        <v>18127</v>
      </c>
      <c r="B1525" t="s">
        <v>69</v>
      </c>
      <c r="C1525">
        <v>11</v>
      </c>
      <c r="D1525" s="3">
        <f>in_parking_demand_data_ver1!D1525*calibration!$I$31</f>
        <v>303.88316935001785</v>
      </c>
      <c r="E1525" s="3">
        <f>in_parking_demand_data_ver1!E1525*calibration!$I$31</f>
        <v>23.326243281092864</v>
      </c>
      <c r="F1525" s="3">
        <f t="shared" si="23"/>
        <v>327.20941263111069</v>
      </c>
      <c r="G1525">
        <v>755</v>
      </c>
    </row>
    <row r="1526" spans="1:7" x14ac:dyDescent="0.25">
      <c r="A1526">
        <v>18127</v>
      </c>
      <c r="B1526" t="s">
        <v>69</v>
      </c>
      <c r="C1526">
        <v>12</v>
      </c>
      <c r="D1526" s="3">
        <f>in_parking_demand_data_ver1!D1526*calibration!$I$31</f>
        <v>321.57402052344594</v>
      </c>
      <c r="E1526" s="3">
        <f>in_parking_demand_data_ver1!E1526*calibration!$I$31</f>
        <v>13.83881099856889</v>
      </c>
      <c r="F1526" s="3">
        <f t="shared" si="23"/>
        <v>335.41283152201481</v>
      </c>
      <c r="G1526">
        <v>755</v>
      </c>
    </row>
    <row r="1527" spans="1:7" x14ac:dyDescent="0.25">
      <c r="A1527">
        <v>18127</v>
      </c>
      <c r="B1527" t="s">
        <v>69</v>
      </c>
      <c r="C1527">
        <v>13</v>
      </c>
      <c r="D1527" s="3">
        <f>in_parking_demand_data_ver1!D1527*calibration!$I$31</f>
        <v>336.4115086043854</v>
      </c>
      <c r="E1527" s="3">
        <f>in_parking_demand_data_ver1!E1527*calibration!$I$31</f>
        <v>15.55082885406191</v>
      </c>
      <c r="F1527" s="3">
        <f t="shared" si="23"/>
        <v>351.96233745844734</v>
      </c>
      <c r="G1527">
        <v>755</v>
      </c>
    </row>
    <row r="1528" spans="1:7" x14ac:dyDescent="0.25">
      <c r="A1528">
        <v>18127</v>
      </c>
      <c r="B1528" t="s">
        <v>69</v>
      </c>
      <c r="C1528">
        <v>14</v>
      </c>
      <c r="D1528" s="3">
        <f>in_parking_demand_data_ver1!D1528*calibration!$I$31</f>
        <v>360.59376081322523</v>
      </c>
      <c r="E1528" s="3">
        <f>in_parking_demand_data_ver1!E1528*calibration!$I$31</f>
        <v>13.339472457383355</v>
      </c>
      <c r="F1528" s="3">
        <f t="shared" si="23"/>
        <v>373.93323327060858</v>
      </c>
      <c r="G1528">
        <v>755</v>
      </c>
    </row>
    <row r="1529" spans="1:7" x14ac:dyDescent="0.25">
      <c r="A1529">
        <v>18127</v>
      </c>
      <c r="B1529" t="s">
        <v>69</v>
      </c>
      <c r="C1529">
        <v>15</v>
      </c>
      <c r="D1529" s="3">
        <f>in_parking_demand_data_ver1!D1529*calibration!$I$31</f>
        <v>391.41008221209989</v>
      </c>
      <c r="E1529" s="3">
        <f>in_parking_demand_data_ver1!E1529*calibration!$I$31</f>
        <v>13.48214061200783</v>
      </c>
      <c r="F1529" s="3">
        <f t="shared" si="23"/>
        <v>404.89222282410771</v>
      </c>
      <c r="G1529">
        <v>755</v>
      </c>
    </row>
    <row r="1530" spans="1:7" x14ac:dyDescent="0.25">
      <c r="A1530">
        <v>18127</v>
      </c>
      <c r="B1530" t="s">
        <v>69</v>
      </c>
      <c r="C1530">
        <v>16</v>
      </c>
      <c r="D1530" s="3">
        <f>in_parking_demand_data_ver1!D1530*calibration!$I$31</f>
        <v>453.18539316447499</v>
      </c>
      <c r="E1530" s="3">
        <f>in_parking_demand_data_ver1!E1530*calibration!$I$31</f>
        <v>14.980156235564181</v>
      </c>
      <c r="F1530" s="3">
        <f t="shared" si="23"/>
        <v>468.16554940003914</v>
      </c>
      <c r="G1530">
        <v>755</v>
      </c>
    </row>
    <row r="1531" spans="1:7" x14ac:dyDescent="0.25">
      <c r="A1531">
        <v>18127</v>
      </c>
      <c r="B1531" t="s">
        <v>69</v>
      </c>
      <c r="C1531">
        <v>17</v>
      </c>
      <c r="D1531" s="3">
        <f>in_parking_demand_data_ver1!D1531*calibration!$I$31</f>
        <v>526.8734950279885</v>
      </c>
      <c r="E1531" s="3">
        <f>in_parking_demand_data_ver1!E1531*calibration!$I$31</f>
        <v>13.624808766632221</v>
      </c>
      <c r="F1531" s="3">
        <f t="shared" si="23"/>
        <v>540.49830379462071</v>
      </c>
      <c r="G1531">
        <v>755</v>
      </c>
    </row>
    <row r="1532" spans="1:7" x14ac:dyDescent="0.25">
      <c r="A1532">
        <v>18127</v>
      </c>
      <c r="B1532" t="s">
        <v>69</v>
      </c>
      <c r="C1532">
        <v>18</v>
      </c>
      <c r="D1532" s="3">
        <f>in_parking_demand_data_ver1!D1532*calibration!$I$31</f>
        <v>590.07548752660671</v>
      </c>
      <c r="E1532" s="3">
        <f>in_parking_demand_data_ver1!E1532*calibration!$I$31</f>
        <v>13.054136148134489</v>
      </c>
      <c r="F1532" s="3">
        <f t="shared" si="23"/>
        <v>603.1296236747412</v>
      </c>
      <c r="G1532">
        <v>755</v>
      </c>
    </row>
    <row r="1533" spans="1:7" x14ac:dyDescent="0.25">
      <c r="A1533">
        <v>18127</v>
      </c>
      <c r="B1533" t="s">
        <v>69</v>
      </c>
      <c r="C1533">
        <v>19</v>
      </c>
      <c r="D1533" s="3">
        <f>in_parking_demand_data_ver1!D1533*calibration!$I$31</f>
        <v>645.85873598475564</v>
      </c>
      <c r="E1533" s="3">
        <f>in_parking_demand_data_ver1!E1533*calibration!$I$31</f>
        <v>15.336826622125241</v>
      </c>
      <c r="F1533" s="3">
        <f t="shared" si="23"/>
        <v>661.19556260688091</v>
      </c>
      <c r="G1533">
        <v>755</v>
      </c>
    </row>
    <row r="1534" spans="1:7" x14ac:dyDescent="0.25">
      <c r="A1534">
        <v>18127</v>
      </c>
      <c r="B1534" t="s">
        <v>69</v>
      </c>
      <c r="C1534">
        <v>20</v>
      </c>
      <c r="D1534" s="3">
        <f>in_parking_demand_data_ver1!D1534*calibration!$I$31</f>
        <v>684.5931399652859</v>
      </c>
      <c r="E1534" s="3">
        <f>in_parking_demand_data_ver1!E1534*calibration!$I$31</f>
        <v>15.479494776749716</v>
      </c>
      <c r="F1534" s="3">
        <f t="shared" si="23"/>
        <v>700.07263474203558</v>
      </c>
      <c r="G1534">
        <v>755</v>
      </c>
    </row>
    <row r="1535" spans="1:7" x14ac:dyDescent="0.25">
      <c r="A1535">
        <v>18127</v>
      </c>
      <c r="B1535" t="s">
        <v>69</v>
      </c>
      <c r="C1535">
        <v>21</v>
      </c>
      <c r="D1535" s="3">
        <f>in_parking_demand_data_ver1!D1535*calibration!$I$31</f>
        <v>711.34341895736543</v>
      </c>
      <c r="E1535" s="3">
        <f>in_parking_demand_data_ver1!E1535*calibration!$I$31</f>
        <v>14.766154003627594</v>
      </c>
      <c r="F1535" s="3">
        <f t="shared" si="23"/>
        <v>726.10957296099298</v>
      </c>
      <c r="G1535">
        <v>755</v>
      </c>
    </row>
    <row r="1536" spans="1:7" x14ac:dyDescent="0.25">
      <c r="A1536">
        <v>18127</v>
      </c>
      <c r="B1536" t="s">
        <v>69</v>
      </c>
      <c r="C1536">
        <v>22</v>
      </c>
      <c r="D1536" s="3">
        <f>in_parking_demand_data_ver1!D1536*calibration!$I$31</f>
        <v>732.67230807371664</v>
      </c>
      <c r="E1536" s="3">
        <f>in_parking_demand_data_ver1!E1536*calibration!$I$31</f>
        <v>15.122824390188654</v>
      </c>
      <c r="F1536" s="3">
        <f t="shared" si="23"/>
        <v>747.79513246390525</v>
      </c>
      <c r="G1536">
        <v>755</v>
      </c>
    </row>
    <row r="1537" spans="1:7" x14ac:dyDescent="0.25">
      <c r="A1537">
        <v>18127</v>
      </c>
      <c r="B1537" t="s">
        <v>69</v>
      </c>
      <c r="C1537">
        <v>23</v>
      </c>
      <c r="D1537" s="3">
        <f>in_parking_demand_data_ver1!D1537*calibration!$I$31</f>
        <v>743.65775597979655</v>
      </c>
      <c r="E1537" s="3">
        <f>in_parking_demand_data_ver1!E1537*calibration!$I$31</f>
        <v>15.55082885406191</v>
      </c>
      <c r="F1537" s="3">
        <f t="shared" si="23"/>
        <v>759.20858483385848</v>
      </c>
      <c r="G1537">
        <v>755</v>
      </c>
    </row>
    <row r="1538" spans="1:7" x14ac:dyDescent="0.25">
      <c r="A1538">
        <v>18129</v>
      </c>
      <c r="B1538" t="s">
        <v>70</v>
      </c>
      <c r="C1538">
        <v>0</v>
      </c>
      <c r="D1538" s="3">
        <f>in_parking_demand_data_ver1!D1538*calibration!$I$31</f>
        <v>31.854101016431034</v>
      </c>
      <c r="E1538" s="3">
        <f>in_parking_demand_data_ver1!E1538*calibration!$I$31</f>
        <v>12.052903087298194</v>
      </c>
      <c r="F1538" s="3">
        <f t="shared" si="23"/>
        <v>43.907004103729228</v>
      </c>
      <c r="G1538">
        <v>28</v>
      </c>
    </row>
    <row r="1539" spans="1:7" x14ac:dyDescent="0.25">
      <c r="A1539">
        <v>18129</v>
      </c>
      <c r="B1539" t="s">
        <v>70</v>
      </c>
      <c r="C1539">
        <v>1</v>
      </c>
      <c r="D1539" s="3">
        <f>in_parking_demand_data_ver1!D1539*calibration!$I$31</f>
        <v>32.54283833570522</v>
      </c>
      <c r="E1539" s="3">
        <f>in_parking_demand_data_ver1!E1539*calibration!$I$31</f>
        <v>13.602562055665089</v>
      </c>
      <c r="F1539" s="3">
        <f t="shared" ref="F1539:F1602" si="24">SUM(D1539:E1539)</f>
        <v>46.145400391370309</v>
      </c>
      <c r="G1539">
        <v>28</v>
      </c>
    </row>
    <row r="1540" spans="1:7" x14ac:dyDescent="0.25">
      <c r="A1540">
        <v>18129</v>
      </c>
      <c r="B1540" t="s">
        <v>70</v>
      </c>
      <c r="C1540">
        <v>2</v>
      </c>
      <c r="D1540" s="3">
        <f>in_parking_demand_data_ver1!D1540*calibration!$I$31</f>
        <v>32.026285346249558</v>
      </c>
      <c r="E1540" s="3">
        <f>in_parking_demand_data_ver1!E1540*calibration!$I$31</f>
        <v>13.086009066209515</v>
      </c>
      <c r="F1540" s="3">
        <f t="shared" si="24"/>
        <v>45.112294412459072</v>
      </c>
      <c r="G1540">
        <v>28</v>
      </c>
    </row>
    <row r="1541" spans="1:7" x14ac:dyDescent="0.25">
      <c r="A1541">
        <v>18129</v>
      </c>
      <c r="B1541" t="s">
        <v>70</v>
      </c>
      <c r="C1541">
        <v>3</v>
      </c>
      <c r="D1541" s="3">
        <f>in_parking_demand_data_ver1!D1541*calibration!$I$31</f>
        <v>32.54283833570522</v>
      </c>
      <c r="E1541" s="3">
        <f>in_parking_demand_data_ver1!E1541*calibration!$I$31</f>
        <v>14.980036694213458</v>
      </c>
      <c r="F1541" s="3">
        <f t="shared" si="24"/>
        <v>47.52287502991868</v>
      </c>
      <c r="G1541">
        <v>28</v>
      </c>
    </row>
    <row r="1542" spans="1:7" x14ac:dyDescent="0.25">
      <c r="A1542">
        <v>18129</v>
      </c>
      <c r="B1542" t="s">
        <v>70</v>
      </c>
      <c r="C1542">
        <v>4</v>
      </c>
      <c r="D1542" s="3">
        <f>in_parking_demand_data_ver1!D1542*calibration!$I$31</f>
        <v>34.436865963709245</v>
      </c>
      <c r="E1542" s="3">
        <f>in_parking_demand_data_ver1!E1542*calibration!$I$31</f>
        <v>24.450174834233525</v>
      </c>
      <c r="F1542" s="3">
        <f t="shared" si="24"/>
        <v>58.887040797942774</v>
      </c>
      <c r="G1542">
        <v>28</v>
      </c>
    </row>
    <row r="1543" spans="1:7" x14ac:dyDescent="0.25">
      <c r="A1543">
        <v>18129</v>
      </c>
      <c r="B1543" t="s">
        <v>70</v>
      </c>
      <c r="C1543">
        <v>5</v>
      </c>
      <c r="D1543" s="3">
        <f>in_parking_demand_data_ver1!D1543*calibration!$I$31</f>
        <v>34.7812346233463</v>
      </c>
      <c r="E1543" s="3">
        <f>in_parking_demand_data_ver1!E1543*calibration!$I$31</f>
        <v>28.238230090241586</v>
      </c>
      <c r="F1543" s="3">
        <f t="shared" si="24"/>
        <v>63.019464713587887</v>
      </c>
      <c r="G1543">
        <v>28</v>
      </c>
    </row>
    <row r="1544" spans="1:7" x14ac:dyDescent="0.25">
      <c r="A1544">
        <v>18129</v>
      </c>
      <c r="B1544" t="s">
        <v>70</v>
      </c>
      <c r="C1544">
        <v>6</v>
      </c>
      <c r="D1544" s="3">
        <f>in_parking_demand_data_ver1!D1544*calibration!$I$31</f>
        <v>30.304442048064139</v>
      </c>
      <c r="E1544" s="3">
        <f>in_parking_demand_data_ver1!E1544*calibration!$I$31</f>
        <v>23.933621844777949</v>
      </c>
      <c r="F1544" s="3">
        <f t="shared" si="24"/>
        <v>54.238063892842092</v>
      </c>
      <c r="G1544">
        <v>28</v>
      </c>
    </row>
    <row r="1545" spans="1:7" x14ac:dyDescent="0.25">
      <c r="A1545">
        <v>18129</v>
      </c>
      <c r="B1545" t="s">
        <v>70</v>
      </c>
      <c r="C1545">
        <v>7</v>
      </c>
      <c r="D1545" s="3">
        <f>in_parking_demand_data_ver1!D1545*calibration!$I$31</f>
        <v>21.695225557136784</v>
      </c>
      <c r="E1545" s="3">
        <f>in_parking_demand_data_ver1!E1545*calibration!$I$31</f>
        <v>20.317750918588416</v>
      </c>
      <c r="F1545" s="3">
        <f t="shared" si="24"/>
        <v>42.012976475725196</v>
      </c>
      <c r="G1545">
        <v>28</v>
      </c>
    </row>
    <row r="1546" spans="1:7" x14ac:dyDescent="0.25">
      <c r="A1546">
        <v>18129</v>
      </c>
      <c r="B1546" t="s">
        <v>70</v>
      </c>
      <c r="C1546">
        <v>8</v>
      </c>
      <c r="D1546" s="3">
        <f>in_parking_demand_data_ver1!D1546*calibration!$I$31</f>
        <v>16.874064322217489</v>
      </c>
      <c r="E1546" s="3">
        <f>in_parking_demand_data_ver1!E1546*calibration!$I$31</f>
        <v>36.330893591713277</v>
      </c>
      <c r="F1546" s="3">
        <f t="shared" si="24"/>
        <v>53.20495791393077</v>
      </c>
      <c r="G1546">
        <v>28</v>
      </c>
    </row>
    <row r="1547" spans="1:7" x14ac:dyDescent="0.25">
      <c r="A1547">
        <v>18129</v>
      </c>
      <c r="B1547" t="s">
        <v>70</v>
      </c>
      <c r="C1547">
        <v>9</v>
      </c>
      <c r="D1547" s="3">
        <f>in_parking_demand_data_ver1!D1547*calibration!$I$31</f>
        <v>19.456829269495703</v>
      </c>
      <c r="E1547" s="3">
        <f>in_parking_demand_data_ver1!E1547*calibration!$I$31</f>
        <v>40.291133177539869</v>
      </c>
      <c r="F1547" s="3">
        <f t="shared" si="24"/>
        <v>59.747962447035576</v>
      </c>
      <c r="G1547">
        <v>28</v>
      </c>
    </row>
    <row r="1548" spans="1:7" x14ac:dyDescent="0.25">
      <c r="A1548">
        <v>18129</v>
      </c>
      <c r="B1548" t="s">
        <v>70</v>
      </c>
      <c r="C1548">
        <v>10</v>
      </c>
      <c r="D1548" s="3">
        <f>in_parking_demand_data_ver1!D1548*calibration!$I$31</f>
        <v>22.728331536048103</v>
      </c>
      <c r="E1548" s="3">
        <f>in_parking_demand_data_ver1!E1548*calibration!$I$31</f>
        <v>36.158709261894671</v>
      </c>
      <c r="F1548" s="3">
        <f t="shared" si="24"/>
        <v>58.887040797942774</v>
      </c>
      <c r="G1548">
        <v>28</v>
      </c>
    </row>
    <row r="1549" spans="1:7" x14ac:dyDescent="0.25">
      <c r="A1549">
        <v>18129</v>
      </c>
      <c r="B1549" t="s">
        <v>70</v>
      </c>
      <c r="C1549">
        <v>11</v>
      </c>
      <c r="D1549" s="3">
        <f>in_parking_demand_data_ver1!D1549*calibration!$I$31</f>
        <v>18.768091950221521</v>
      </c>
      <c r="E1549" s="3">
        <f>in_parking_demand_data_ver1!E1549*calibration!$I$31</f>
        <v>36.503077921531805</v>
      </c>
      <c r="F1549" s="3">
        <f t="shared" si="24"/>
        <v>55.27116987175333</v>
      </c>
      <c r="G1549">
        <v>28</v>
      </c>
    </row>
    <row r="1550" spans="1:7" x14ac:dyDescent="0.25">
      <c r="A1550">
        <v>18129</v>
      </c>
      <c r="B1550" t="s">
        <v>70</v>
      </c>
      <c r="C1550">
        <v>12</v>
      </c>
      <c r="D1550" s="3">
        <f>in_parking_demand_data_ver1!D1550*calibration!$I$31</f>
        <v>18.940276280040045</v>
      </c>
      <c r="E1550" s="3">
        <f>in_parking_demand_data_ver1!E1550*calibration!$I$31</f>
        <v>33.920312974253591</v>
      </c>
      <c r="F1550" s="3">
        <f t="shared" si="24"/>
        <v>52.860589254293636</v>
      </c>
      <c r="G1550">
        <v>28</v>
      </c>
    </row>
    <row r="1551" spans="1:7" x14ac:dyDescent="0.25">
      <c r="A1551">
        <v>18129</v>
      </c>
      <c r="B1551" t="s">
        <v>70</v>
      </c>
      <c r="C1551">
        <v>13</v>
      </c>
      <c r="D1551" s="3">
        <f>in_parking_demand_data_ver1!D1551*calibration!$I$31</f>
        <v>17.218432981854622</v>
      </c>
      <c r="E1551" s="3">
        <f>in_parking_demand_data_ver1!E1551*calibration!$I$31</f>
        <v>17.907170301128811</v>
      </c>
      <c r="F1551" s="3">
        <f t="shared" si="24"/>
        <v>35.125603282983434</v>
      </c>
      <c r="G1551">
        <v>28</v>
      </c>
    </row>
    <row r="1552" spans="1:7" x14ac:dyDescent="0.25">
      <c r="A1552">
        <v>18129</v>
      </c>
      <c r="B1552" t="s">
        <v>70</v>
      </c>
      <c r="C1552">
        <v>14</v>
      </c>
      <c r="D1552" s="3">
        <f>in_parking_demand_data_ver1!D1552*calibration!$I$31</f>
        <v>15.324405353850594</v>
      </c>
      <c r="E1552" s="3">
        <f>in_parking_demand_data_ver1!E1552*calibration!$I$31</f>
        <v>10.158875459294165</v>
      </c>
      <c r="F1552" s="3">
        <f t="shared" si="24"/>
        <v>25.483280813144759</v>
      </c>
      <c r="G1552">
        <v>28</v>
      </c>
    </row>
    <row r="1553" spans="1:7" x14ac:dyDescent="0.25">
      <c r="A1553">
        <v>18129</v>
      </c>
      <c r="B1553" t="s">
        <v>70</v>
      </c>
      <c r="C1553">
        <v>15</v>
      </c>
      <c r="D1553" s="3">
        <f>in_parking_demand_data_ver1!D1553*calibration!$I$31</f>
        <v>13.946930715302225</v>
      </c>
      <c r="E1553" s="3">
        <f>in_parking_demand_data_ver1!E1553*calibration!$I$31</f>
        <v>8.7814008207457945</v>
      </c>
      <c r="F1553" s="3">
        <f t="shared" si="24"/>
        <v>22.728331536048017</v>
      </c>
      <c r="G1553">
        <v>28</v>
      </c>
    </row>
    <row r="1554" spans="1:7" x14ac:dyDescent="0.25">
      <c r="A1554">
        <v>18129</v>
      </c>
      <c r="B1554" t="s">
        <v>70</v>
      </c>
      <c r="C1554">
        <v>16</v>
      </c>
      <c r="D1554" s="3">
        <f>in_parking_demand_data_ver1!D1554*calibration!$I$31</f>
        <v>14.291299374939275</v>
      </c>
      <c r="E1554" s="3">
        <f>in_parking_demand_data_ver1!E1554*calibration!$I$31</f>
        <v>6.5430045331047575</v>
      </c>
      <c r="F1554" s="3">
        <f t="shared" si="24"/>
        <v>20.834303908044031</v>
      </c>
      <c r="G1554">
        <v>28</v>
      </c>
    </row>
    <row r="1555" spans="1:7" x14ac:dyDescent="0.25">
      <c r="A1555">
        <v>18129</v>
      </c>
      <c r="B1555" t="s">
        <v>70</v>
      </c>
      <c r="C1555">
        <v>17</v>
      </c>
      <c r="D1555" s="3">
        <f>in_parking_demand_data_ver1!D1555*calibration!$I$31</f>
        <v>15.840958343306253</v>
      </c>
      <c r="E1555" s="3">
        <f>in_parking_demand_data_ver1!E1555*calibration!$I$31</f>
        <v>2.9271336069152816</v>
      </c>
      <c r="F1555" s="3">
        <f t="shared" si="24"/>
        <v>18.768091950221535</v>
      </c>
      <c r="G1555">
        <v>28</v>
      </c>
    </row>
    <row r="1556" spans="1:7" x14ac:dyDescent="0.25">
      <c r="A1556">
        <v>18129</v>
      </c>
      <c r="B1556" t="s">
        <v>70</v>
      </c>
      <c r="C1556">
        <v>18</v>
      </c>
      <c r="D1556" s="3">
        <f>in_parking_demand_data_ver1!D1556*calibration!$I$31</f>
        <v>19.456829269495703</v>
      </c>
      <c r="E1556" s="3">
        <f>in_parking_demand_data_ver1!E1556*calibration!$I$31</f>
        <v>2.238396287641097</v>
      </c>
      <c r="F1556" s="3">
        <f t="shared" si="24"/>
        <v>21.695225557136801</v>
      </c>
      <c r="G1556">
        <v>28</v>
      </c>
    </row>
    <row r="1557" spans="1:7" x14ac:dyDescent="0.25">
      <c r="A1557">
        <v>18129</v>
      </c>
      <c r="B1557" t="s">
        <v>70</v>
      </c>
      <c r="C1557">
        <v>19</v>
      </c>
      <c r="D1557" s="3">
        <f>in_parking_demand_data_ver1!D1557*calibration!$I$31</f>
        <v>22.211778546592445</v>
      </c>
      <c r="E1557" s="3">
        <f>in_parking_demand_data_ver1!E1557*calibration!$I$31</f>
        <v>2.0662119578225551</v>
      </c>
      <c r="F1557" s="3">
        <f t="shared" si="24"/>
        <v>24.277990504415001</v>
      </c>
      <c r="G1557">
        <v>28</v>
      </c>
    </row>
    <row r="1558" spans="1:7" x14ac:dyDescent="0.25">
      <c r="A1558">
        <v>18129</v>
      </c>
      <c r="B1558" t="s">
        <v>70</v>
      </c>
      <c r="C1558">
        <v>20</v>
      </c>
      <c r="D1558" s="3">
        <f>in_parking_demand_data_ver1!D1558*calibration!$I$31</f>
        <v>26.860755451693215</v>
      </c>
      <c r="E1558" s="3">
        <f>in_parking_demand_data_ver1!E1558*calibration!$I$31</f>
        <v>5.1655298945563874</v>
      </c>
      <c r="F1558" s="3">
        <f t="shared" si="24"/>
        <v>32.026285346249601</v>
      </c>
      <c r="G1558">
        <v>28</v>
      </c>
    </row>
    <row r="1559" spans="1:7" x14ac:dyDescent="0.25">
      <c r="A1559">
        <v>18129</v>
      </c>
      <c r="B1559" t="s">
        <v>70</v>
      </c>
      <c r="C1559">
        <v>21</v>
      </c>
      <c r="D1559" s="3">
        <f>in_parking_demand_data_ver1!D1559*calibration!$I$31</f>
        <v>28.410414420060107</v>
      </c>
      <c r="E1559" s="3">
        <f>in_parking_demand_data_ver1!E1559*calibration!$I$31</f>
        <v>7.2317418523789421</v>
      </c>
      <c r="F1559" s="3">
        <f t="shared" si="24"/>
        <v>35.642156272439053</v>
      </c>
      <c r="G1559">
        <v>28</v>
      </c>
    </row>
    <row r="1560" spans="1:7" x14ac:dyDescent="0.25">
      <c r="A1560">
        <v>18129</v>
      </c>
      <c r="B1560" t="s">
        <v>70</v>
      </c>
      <c r="C1560">
        <v>22</v>
      </c>
      <c r="D1560" s="3">
        <f>in_parking_demand_data_ver1!D1560*calibration!$I$31</f>
        <v>29.099151739334292</v>
      </c>
      <c r="E1560" s="3">
        <f>in_parking_demand_data_ver1!E1560*calibration!$I$31</f>
        <v>6.8873731927418502</v>
      </c>
      <c r="F1560" s="3">
        <f t="shared" si="24"/>
        <v>35.986524932076144</v>
      </c>
      <c r="G1560">
        <v>28</v>
      </c>
    </row>
    <row r="1561" spans="1:7" x14ac:dyDescent="0.25">
      <c r="A1561">
        <v>18129</v>
      </c>
      <c r="B1561" t="s">
        <v>70</v>
      </c>
      <c r="C1561">
        <v>23</v>
      </c>
      <c r="D1561" s="3">
        <f>in_parking_demand_data_ver1!D1561*calibration!$I$31</f>
        <v>30.304442048064139</v>
      </c>
      <c r="E1561" s="3">
        <f>in_parking_demand_data_ver1!E1561*calibration!$I$31</f>
        <v>9.47013814001998</v>
      </c>
      <c r="F1561" s="3">
        <f t="shared" si="24"/>
        <v>39.774580188084116</v>
      </c>
      <c r="G1561">
        <v>28</v>
      </c>
    </row>
    <row r="1562" spans="1:7" x14ac:dyDescent="0.25">
      <c r="A1562">
        <v>18131</v>
      </c>
      <c r="B1562" t="s">
        <v>71</v>
      </c>
      <c r="C1562">
        <v>0</v>
      </c>
      <c r="D1562" s="3">
        <f>in_parking_demand_data_ver1!D1562*calibration!$I$31</f>
        <v>1.7809496258893835</v>
      </c>
      <c r="E1562" s="3">
        <f>in_parking_demand_data_ver1!E1562*calibration!$I$31</f>
        <v>0</v>
      </c>
      <c r="F1562" s="3">
        <f t="shared" si="24"/>
        <v>1.7809496258893835</v>
      </c>
      <c r="G1562">
        <v>35</v>
      </c>
    </row>
    <row r="1563" spans="1:7" x14ac:dyDescent="0.25">
      <c r="A1563">
        <v>18131</v>
      </c>
      <c r="B1563" t="s">
        <v>71</v>
      </c>
      <c r="C1563">
        <v>1</v>
      </c>
      <c r="D1563" s="3">
        <f>in_parking_demand_data_ver1!D1563*calibration!$I$31</f>
        <v>1.8290833995620699</v>
      </c>
      <c r="E1563" s="3">
        <f>in_parking_demand_data_ver1!E1563*calibration!$I$31</f>
        <v>0</v>
      </c>
      <c r="F1563" s="3">
        <f t="shared" si="24"/>
        <v>1.8290833995620699</v>
      </c>
      <c r="G1563">
        <v>35</v>
      </c>
    </row>
    <row r="1564" spans="1:7" x14ac:dyDescent="0.25">
      <c r="A1564">
        <v>18131</v>
      </c>
      <c r="B1564" t="s">
        <v>71</v>
      </c>
      <c r="C1564">
        <v>2</v>
      </c>
      <c r="D1564" s="3">
        <f>in_parking_demand_data_ver1!D1564*calibration!$I$31</f>
        <v>1.8290833995620699</v>
      </c>
      <c r="E1564" s="3">
        <f>in_parking_demand_data_ver1!E1564*calibration!$I$31</f>
        <v>0</v>
      </c>
      <c r="F1564" s="3">
        <f t="shared" si="24"/>
        <v>1.8290833995620699</v>
      </c>
      <c r="G1564">
        <v>35</v>
      </c>
    </row>
    <row r="1565" spans="1:7" x14ac:dyDescent="0.25">
      <c r="A1565">
        <v>18131</v>
      </c>
      <c r="B1565" t="s">
        <v>71</v>
      </c>
      <c r="C1565">
        <v>3</v>
      </c>
      <c r="D1565" s="3">
        <f>in_parking_demand_data_ver1!D1565*calibration!$I$31</f>
        <v>1.8290833995620699</v>
      </c>
      <c r="E1565" s="3">
        <f>in_parking_demand_data_ver1!E1565*calibration!$I$31</f>
        <v>0</v>
      </c>
      <c r="F1565" s="3">
        <f t="shared" si="24"/>
        <v>1.8290833995620699</v>
      </c>
      <c r="G1565">
        <v>35</v>
      </c>
    </row>
    <row r="1566" spans="1:7" x14ac:dyDescent="0.25">
      <c r="A1566">
        <v>18131</v>
      </c>
      <c r="B1566" t="s">
        <v>71</v>
      </c>
      <c r="C1566">
        <v>4</v>
      </c>
      <c r="D1566" s="3">
        <f>in_parking_demand_data_ver1!D1566*calibration!$I$31</f>
        <v>1.7809496258893835</v>
      </c>
      <c r="E1566" s="3">
        <f>in_parking_demand_data_ver1!E1566*calibration!$I$31</f>
        <v>0</v>
      </c>
      <c r="F1566" s="3">
        <f t="shared" si="24"/>
        <v>1.7809496258893835</v>
      </c>
      <c r="G1566">
        <v>35</v>
      </c>
    </row>
    <row r="1567" spans="1:7" x14ac:dyDescent="0.25">
      <c r="A1567">
        <v>18131</v>
      </c>
      <c r="B1567" t="s">
        <v>71</v>
      </c>
      <c r="C1567">
        <v>5</v>
      </c>
      <c r="D1567" s="3">
        <f>in_parking_demand_data_ver1!D1567*calibration!$I$31</f>
        <v>1.6846820785440104</v>
      </c>
      <c r="E1567" s="3">
        <f>in_parking_demand_data_ver1!E1567*calibration!$I$31</f>
        <v>0</v>
      </c>
      <c r="F1567" s="3">
        <f t="shared" si="24"/>
        <v>1.6846820785440104</v>
      </c>
      <c r="G1567">
        <v>35</v>
      </c>
    </row>
    <row r="1568" spans="1:7" x14ac:dyDescent="0.25">
      <c r="A1568">
        <v>18131</v>
      </c>
      <c r="B1568" t="s">
        <v>71</v>
      </c>
      <c r="C1568">
        <v>6</v>
      </c>
      <c r="D1568" s="3">
        <f>in_parking_demand_data_ver1!D1568*calibration!$I$31</f>
        <v>3.3212303834153345</v>
      </c>
      <c r="E1568" s="3">
        <f>in_parking_demand_data_ver1!E1568*calibration!$I$31</f>
        <v>0</v>
      </c>
      <c r="F1568" s="3">
        <f t="shared" si="24"/>
        <v>3.3212303834153345</v>
      </c>
      <c r="G1568">
        <v>35</v>
      </c>
    </row>
    <row r="1569" spans="1:7" x14ac:dyDescent="0.25">
      <c r="A1569">
        <v>18131</v>
      </c>
      <c r="B1569" t="s">
        <v>71</v>
      </c>
      <c r="C1569">
        <v>7</v>
      </c>
      <c r="D1569" s="3">
        <f>in_parking_demand_data_ver1!D1569*calibration!$I$31</f>
        <v>2.9842939677065377</v>
      </c>
      <c r="E1569" s="3">
        <f>in_parking_demand_data_ver1!E1569*calibration!$I$31</f>
        <v>0</v>
      </c>
      <c r="F1569" s="3">
        <f t="shared" si="24"/>
        <v>2.9842939677065377</v>
      </c>
      <c r="G1569">
        <v>35</v>
      </c>
    </row>
    <row r="1570" spans="1:7" x14ac:dyDescent="0.25">
      <c r="A1570">
        <v>18131</v>
      </c>
      <c r="B1570" t="s">
        <v>71</v>
      </c>
      <c r="C1570">
        <v>8</v>
      </c>
      <c r="D1570" s="3">
        <f>in_parking_demand_data_ver1!D1570*calibration!$I$31</f>
        <v>2.1178860415981804</v>
      </c>
      <c r="E1570" s="3">
        <f>in_parking_demand_data_ver1!E1570*calibration!$I$31</f>
        <v>0.1444013210180578</v>
      </c>
      <c r="F1570" s="3">
        <f t="shared" si="24"/>
        <v>2.2622873626162381</v>
      </c>
      <c r="G1570">
        <v>35</v>
      </c>
    </row>
    <row r="1571" spans="1:7" x14ac:dyDescent="0.25">
      <c r="A1571">
        <v>18131</v>
      </c>
      <c r="B1571" t="s">
        <v>71</v>
      </c>
      <c r="C1571">
        <v>9</v>
      </c>
      <c r="D1571" s="3">
        <f>in_parking_demand_data_ver1!D1571*calibration!$I$31</f>
        <v>2.8398926466884777</v>
      </c>
      <c r="E1571" s="3">
        <f>in_parking_demand_data_ver1!E1571*calibration!$I$31</f>
        <v>0</v>
      </c>
      <c r="F1571" s="3">
        <f t="shared" si="24"/>
        <v>2.8398926466884777</v>
      </c>
      <c r="G1571">
        <v>35</v>
      </c>
    </row>
    <row r="1572" spans="1:7" x14ac:dyDescent="0.25">
      <c r="A1572">
        <v>18131</v>
      </c>
      <c r="B1572" t="s">
        <v>71</v>
      </c>
      <c r="C1572">
        <v>10</v>
      </c>
      <c r="D1572" s="3">
        <f>in_parking_demand_data_ver1!D1572*calibration!$I$31</f>
        <v>3.5618992517787671</v>
      </c>
      <c r="E1572" s="3">
        <f>in_parking_demand_data_ver1!E1572*calibration!$I$31</f>
        <v>0.67387283141760501</v>
      </c>
      <c r="F1572" s="3">
        <f t="shared" si="24"/>
        <v>4.2357720831963723</v>
      </c>
      <c r="G1572">
        <v>35</v>
      </c>
    </row>
    <row r="1573" spans="1:7" x14ac:dyDescent="0.25">
      <c r="A1573">
        <v>18131</v>
      </c>
      <c r="B1573" t="s">
        <v>71</v>
      </c>
      <c r="C1573">
        <v>11</v>
      </c>
      <c r="D1573" s="3">
        <f>in_parking_demand_data_ver1!D1573*calibration!$I$31</f>
        <v>4.5245747252324886</v>
      </c>
      <c r="E1573" s="3">
        <f>in_parking_demand_data_ver1!E1573*calibration!$I$31</f>
        <v>1.9253509469074428</v>
      </c>
      <c r="F1573" s="3">
        <f t="shared" si="24"/>
        <v>6.4499256721399316</v>
      </c>
      <c r="G1573">
        <v>35</v>
      </c>
    </row>
    <row r="1574" spans="1:7" x14ac:dyDescent="0.25">
      <c r="A1574">
        <v>18131</v>
      </c>
      <c r="B1574" t="s">
        <v>71</v>
      </c>
      <c r="C1574">
        <v>12</v>
      </c>
      <c r="D1574" s="3">
        <f>in_parking_demand_data_ver1!D1574*calibration!$I$31</f>
        <v>3.2730966097426477</v>
      </c>
      <c r="E1574" s="3">
        <f>in_parking_demand_data_ver1!E1574*calibration!$I$31</f>
        <v>2.3104211362889262</v>
      </c>
      <c r="F1574" s="3">
        <f t="shared" si="24"/>
        <v>5.5835177460315739</v>
      </c>
      <c r="G1574">
        <v>35</v>
      </c>
    </row>
    <row r="1575" spans="1:7" x14ac:dyDescent="0.25">
      <c r="A1575">
        <v>18131</v>
      </c>
      <c r="B1575" t="s">
        <v>71</v>
      </c>
      <c r="C1575">
        <v>13</v>
      </c>
      <c r="D1575" s="3">
        <f>in_parking_demand_data_ver1!D1575*calibration!$I$31</f>
        <v>1.444013210180578</v>
      </c>
      <c r="E1575" s="3">
        <f>in_parking_demand_data_ver1!E1575*calibration!$I$31</f>
        <v>1.8290833995620699</v>
      </c>
      <c r="F1575" s="3">
        <f t="shared" si="24"/>
        <v>3.2730966097426482</v>
      </c>
      <c r="G1575">
        <v>35</v>
      </c>
    </row>
    <row r="1576" spans="1:7" x14ac:dyDescent="0.25">
      <c r="A1576">
        <v>18131</v>
      </c>
      <c r="B1576" t="s">
        <v>71</v>
      </c>
      <c r="C1576">
        <v>14</v>
      </c>
      <c r="D1576" s="3">
        <f>in_parking_demand_data_ver1!D1576*calibration!$I$31</f>
        <v>1.1070767944717725</v>
      </c>
      <c r="E1576" s="3">
        <f>in_parking_demand_data_ver1!E1576*calibration!$I$31</f>
        <v>0.57760528407223288</v>
      </c>
      <c r="F1576" s="3">
        <f t="shared" si="24"/>
        <v>1.6846820785440055</v>
      </c>
      <c r="G1576">
        <v>35</v>
      </c>
    </row>
    <row r="1577" spans="1:7" x14ac:dyDescent="0.25">
      <c r="A1577">
        <v>18131</v>
      </c>
      <c r="B1577" t="s">
        <v>71</v>
      </c>
      <c r="C1577">
        <v>15</v>
      </c>
      <c r="D1577" s="3">
        <f>in_parking_demand_data_ver1!D1577*calibration!$I$31</f>
        <v>1.3958794365078915</v>
      </c>
      <c r="E1577" s="3">
        <f>in_parking_demand_data_ver1!E1577*calibration!$I$31</f>
        <v>0.19253509469074429</v>
      </c>
      <c r="F1577" s="3">
        <f t="shared" si="24"/>
        <v>1.5884145311986357</v>
      </c>
      <c r="G1577">
        <v>35</v>
      </c>
    </row>
    <row r="1578" spans="1:7" x14ac:dyDescent="0.25">
      <c r="A1578">
        <v>18131</v>
      </c>
      <c r="B1578" t="s">
        <v>71</v>
      </c>
      <c r="C1578">
        <v>16</v>
      </c>
      <c r="D1578" s="3">
        <f>in_parking_demand_data_ver1!D1578*calibration!$I$31</f>
        <v>1.444013210180578</v>
      </c>
      <c r="E1578" s="3">
        <f>in_parking_demand_data_ver1!E1578*calibration!$I$31</f>
        <v>0</v>
      </c>
      <c r="F1578" s="3">
        <f t="shared" si="24"/>
        <v>1.444013210180578</v>
      </c>
      <c r="G1578">
        <v>35</v>
      </c>
    </row>
    <row r="1579" spans="1:7" x14ac:dyDescent="0.25">
      <c r="A1579">
        <v>18131</v>
      </c>
      <c r="B1579" t="s">
        <v>71</v>
      </c>
      <c r="C1579">
        <v>17</v>
      </c>
      <c r="D1579" s="3">
        <f>in_parking_demand_data_ver1!D1579*calibration!$I$31</f>
        <v>1.7809496258893835</v>
      </c>
      <c r="E1579" s="3">
        <f>in_parking_demand_data_ver1!E1579*calibration!$I$31</f>
        <v>0</v>
      </c>
      <c r="F1579" s="3">
        <f t="shared" si="24"/>
        <v>1.7809496258893835</v>
      </c>
      <c r="G1579">
        <v>35</v>
      </c>
    </row>
    <row r="1580" spans="1:7" x14ac:dyDescent="0.25">
      <c r="A1580">
        <v>18131</v>
      </c>
      <c r="B1580" t="s">
        <v>71</v>
      </c>
      <c r="C1580">
        <v>18</v>
      </c>
      <c r="D1580" s="3">
        <f>in_parking_demand_data_ver1!D1580*calibration!$I$31</f>
        <v>1.3477456628352049</v>
      </c>
      <c r="E1580" s="3">
        <f>in_parking_demand_data_ver1!E1580*calibration!$I$31</f>
        <v>0</v>
      </c>
      <c r="F1580" s="3">
        <f t="shared" si="24"/>
        <v>1.3477456628352049</v>
      </c>
      <c r="G1580">
        <v>35</v>
      </c>
    </row>
    <row r="1581" spans="1:7" x14ac:dyDescent="0.25">
      <c r="A1581">
        <v>18131</v>
      </c>
      <c r="B1581" t="s">
        <v>71</v>
      </c>
      <c r="C1581">
        <v>19</v>
      </c>
      <c r="D1581" s="3">
        <f>in_parking_demand_data_ver1!D1581*calibration!$I$31</f>
        <v>1.5402807575259509</v>
      </c>
      <c r="E1581" s="3">
        <f>in_parking_demand_data_ver1!E1581*calibration!$I$31</f>
        <v>0</v>
      </c>
      <c r="F1581" s="3">
        <f t="shared" si="24"/>
        <v>1.5402807575259509</v>
      </c>
      <c r="G1581">
        <v>35</v>
      </c>
    </row>
    <row r="1582" spans="1:7" x14ac:dyDescent="0.25">
      <c r="A1582">
        <v>18131</v>
      </c>
      <c r="B1582" t="s">
        <v>71</v>
      </c>
      <c r="C1582">
        <v>20</v>
      </c>
      <c r="D1582" s="3">
        <f>in_parking_demand_data_ver1!D1582*calibration!$I$31</f>
        <v>3.032427741379224</v>
      </c>
      <c r="E1582" s="3">
        <f>in_parking_demand_data_ver1!E1582*calibration!$I$31</f>
        <v>0</v>
      </c>
      <c r="F1582" s="3">
        <f t="shared" si="24"/>
        <v>3.032427741379224</v>
      </c>
      <c r="G1582">
        <v>35</v>
      </c>
    </row>
    <row r="1583" spans="1:7" x14ac:dyDescent="0.25">
      <c r="A1583">
        <v>18131</v>
      </c>
      <c r="B1583" t="s">
        <v>71</v>
      </c>
      <c r="C1583">
        <v>21</v>
      </c>
      <c r="D1583" s="3">
        <f>in_parking_demand_data_ver1!D1583*calibration!$I$31</f>
        <v>5.7760528407223291</v>
      </c>
      <c r="E1583" s="3">
        <f>in_parking_demand_data_ver1!E1583*calibration!$I$31</f>
        <v>0</v>
      </c>
      <c r="F1583" s="3">
        <f t="shared" si="24"/>
        <v>5.7760528407223291</v>
      </c>
      <c r="G1583">
        <v>35</v>
      </c>
    </row>
    <row r="1584" spans="1:7" x14ac:dyDescent="0.25">
      <c r="A1584">
        <v>18131</v>
      </c>
      <c r="B1584" t="s">
        <v>71</v>
      </c>
      <c r="C1584">
        <v>22</v>
      </c>
      <c r="D1584" s="3">
        <f>in_parking_demand_data_ver1!D1584*calibration!$I$31</f>
        <v>2.7917588730157914</v>
      </c>
      <c r="E1584" s="3">
        <f>in_parking_demand_data_ver1!E1584*calibration!$I$31</f>
        <v>0</v>
      </c>
      <c r="F1584" s="3">
        <f t="shared" si="24"/>
        <v>2.7917588730157914</v>
      </c>
      <c r="G1584">
        <v>35</v>
      </c>
    </row>
    <row r="1585" spans="1:7" x14ac:dyDescent="0.25">
      <c r="A1585">
        <v>18131</v>
      </c>
      <c r="B1585" t="s">
        <v>71</v>
      </c>
      <c r="C1585">
        <v>23</v>
      </c>
      <c r="D1585" s="3">
        <f>in_parking_demand_data_ver1!D1585*calibration!$I$31</f>
        <v>1.7328158522166968</v>
      </c>
      <c r="E1585" s="3">
        <f>in_parking_demand_data_ver1!E1585*calibration!$I$31</f>
        <v>0</v>
      </c>
      <c r="F1585" s="3">
        <f t="shared" si="24"/>
        <v>1.7328158522166968</v>
      </c>
      <c r="G1585">
        <v>35</v>
      </c>
    </row>
    <row r="1586" spans="1:7" x14ac:dyDescent="0.25">
      <c r="A1586">
        <v>18133</v>
      </c>
      <c r="B1586" t="s">
        <v>72</v>
      </c>
      <c r="C1586">
        <v>0</v>
      </c>
      <c r="D1586" s="3">
        <f>in_parking_demand_data_ver1!D1586*calibration!$I$31</f>
        <v>58.680829168751856</v>
      </c>
      <c r="E1586" s="3">
        <f>in_parking_demand_data_ver1!E1586*calibration!$I$31</f>
        <v>8.069543681634439</v>
      </c>
      <c r="F1586" s="3">
        <f t="shared" si="24"/>
        <v>66.750372850386299</v>
      </c>
      <c r="G1586">
        <v>90</v>
      </c>
    </row>
    <row r="1587" spans="1:7" x14ac:dyDescent="0.25">
      <c r="A1587">
        <v>18133</v>
      </c>
      <c r="B1587" t="s">
        <v>72</v>
      </c>
      <c r="C1587">
        <v>1</v>
      </c>
      <c r="D1587" s="3">
        <f>in_parking_demand_data_ver1!D1587*calibration!$I$31</f>
        <v>59.722060611543355</v>
      </c>
      <c r="E1587" s="3">
        <f>in_parking_demand_data_ver1!E1587*calibration!$I$31</f>
        <v>9.5198303340940296</v>
      </c>
      <c r="F1587" s="3">
        <f t="shared" si="24"/>
        <v>69.24189094563738</v>
      </c>
      <c r="G1587">
        <v>90</v>
      </c>
    </row>
    <row r="1588" spans="1:7" x14ac:dyDescent="0.25">
      <c r="A1588">
        <v>18133</v>
      </c>
      <c r="B1588" t="s">
        <v>72</v>
      </c>
      <c r="C1588">
        <v>2</v>
      </c>
      <c r="D1588" s="3">
        <f>in_parking_demand_data_ver1!D1588*calibration!$I$31</f>
        <v>60.131115821211502</v>
      </c>
      <c r="E1588" s="3">
        <f>in_parking_demand_data_ver1!E1588*calibration!$I$31</f>
        <v>10.598248614128121</v>
      </c>
      <c r="F1588" s="3">
        <f t="shared" si="24"/>
        <v>70.729364435339619</v>
      </c>
      <c r="G1588">
        <v>90</v>
      </c>
    </row>
    <row r="1589" spans="1:7" x14ac:dyDescent="0.25">
      <c r="A1589">
        <v>18133</v>
      </c>
      <c r="B1589" t="s">
        <v>72</v>
      </c>
      <c r="C1589">
        <v>3</v>
      </c>
      <c r="D1589" s="3">
        <f>in_parking_demand_data_ver1!D1589*calibration!$I$31</f>
        <v>59.722060611543355</v>
      </c>
      <c r="E1589" s="3">
        <f>in_parking_demand_data_ver1!E1589*calibration!$I$31</f>
        <v>13.721942942502789</v>
      </c>
      <c r="F1589" s="3">
        <f t="shared" si="24"/>
        <v>73.444003554046148</v>
      </c>
      <c r="G1589">
        <v>90</v>
      </c>
    </row>
    <row r="1590" spans="1:7" x14ac:dyDescent="0.25">
      <c r="A1590">
        <v>18133</v>
      </c>
      <c r="B1590" t="s">
        <v>72</v>
      </c>
      <c r="C1590">
        <v>4</v>
      </c>
      <c r="D1590" s="3">
        <f>in_parking_demand_data_ver1!D1590*calibration!$I$31</f>
        <v>58.048652935628418</v>
      </c>
      <c r="E1590" s="3">
        <f>in_parking_demand_data_ver1!E1590*calibration!$I$31</f>
        <v>14.874734897021973</v>
      </c>
      <c r="F1590" s="3">
        <f t="shared" si="24"/>
        <v>72.923387832650391</v>
      </c>
      <c r="G1590">
        <v>90</v>
      </c>
    </row>
    <row r="1591" spans="1:7" x14ac:dyDescent="0.25">
      <c r="A1591">
        <v>18133</v>
      </c>
      <c r="B1591" t="s">
        <v>72</v>
      </c>
      <c r="C1591">
        <v>5</v>
      </c>
      <c r="D1591" s="3">
        <f>in_parking_demand_data_ver1!D1591*calibration!$I$31</f>
        <v>54.329969211372898</v>
      </c>
      <c r="E1591" s="3">
        <f>in_parking_demand_data_ver1!E1591*calibration!$I$31</f>
        <v>14.725987548051783</v>
      </c>
      <c r="F1591" s="3">
        <f t="shared" si="24"/>
        <v>69.055956759424674</v>
      </c>
      <c r="G1591">
        <v>90</v>
      </c>
    </row>
    <row r="1592" spans="1:7" x14ac:dyDescent="0.25">
      <c r="A1592">
        <v>18133</v>
      </c>
      <c r="B1592" t="s">
        <v>72</v>
      </c>
      <c r="C1592">
        <v>6</v>
      </c>
      <c r="D1592" s="3">
        <f>in_parking_demand_data_ver1!D1592*calibration!$I$31</f>
        <v>49.01225148568755</v>
      </c>
      <c r="E1592" s="3">
        <f>in_parking_demand_data_ver1!E1592*calibration!$I$31</f>
        <v>14.130998152170855</v>
      </c>
      <c r="F1592" s="3">
        <f t="shared" si="24"/>
        <v>63.143249637858403</v>
      </c>
      <c r="G1592">
        <v>90</v>
      </c>
    </row>
    <row r="1593" spans="1:7" x14ac:dyDescent="0.25">
      <c r="A1593">
        <v>18133</v>
      </c>
      <c r="B1593" t="s">
        <v>72</v>
      </c>
      <c r="C1593">
        <v>7</v>
      </c>
      <c r="D1593" s="3">
        <f>in_parking_demand_data_ver1!D1593*calibration!$I$31</f>
        <v>40.087410547474278</v>
      </c>
      <c r="E1593" s="3">
        <f>in_parking_demand_data_ver1!E1593*calibration!$I$31</f>
        <v>11.899787917617578</v>
      </c>
      <c r="F1593" s="3">
        <f t="shared" si="24"/>
        <v>51.987198465091858</v>
      </c>
      <c r="G1593">
        <v>90</v>
      </c>
    </row>
    <row r="1594" spans="1:7" x14ac:dyDescent="0.25">
      <c r="A1594">
        <v>18133</v>
      </c>
      <c r="B1594" t="s">
        <v>72</v>
      </c>
      <c r="C1594">
        <v>8</v>
      </c>
      <c r="D1594" s="3">
        <f>in_parking_demand_data_ver1!D1594*calibration!$I$31</f>
        <v>30.679140725107853</v>
      </c>
      <c r="E1594" s="3">
        <f>in_parking_demand_data_ver1!E1594*calibration!$I$31</f>
        <v>10.598248614128121</v>
      </c>
      <c r="F1594" s="3">
        <f t="shared" si="24"/>
        <v>41.277389339235974</v>
      </c>
      <c r="G1594">
        <v>90</v>
      </c>
    </row>
    <row r="1595" spans="1:7" x14ac:dyDescent="0.25">
      <c r="A1595">
        <v>18133</v>
      </c>
      <c r="B1595" t="s">
        <v>72</v>
      </c>
      <c r="C1595">
        <v>9</v>
      </c>
      <c r="D1595" s="3">
        <f>in_parking_demand_data_ver1!D1595*calibration!$I$31</f>
        <v>22.683970717958566</v>
      </c>
      <c r="E1595" s="3">
        <f>in_parking_demand_data_ver1!E1595*calibration!$I$31</f>
        <v>9.9660723810046843</v>
      </c>
      <c r="F1595" s="3">
        <f t="shared" si="24"/>
        <v>32.650043098963252</v>
      </c>
      <c r="G1595">
        <v>90</v>
      </c>
    </row>
    <row r="1596" spans="1:7" x14ac:dyDescent="0.25">
      <c r="A1596">
        <v>18133</v>
      </c>
      <c r="B1596" t="s">
        <v>72</v>
      </c>
      <c r="C1596">
        <v>10</v>
      </c>
      <c r="D1596" s="3">
        <f>in_parking_demand_data_ver1!D1596*calibration!$I$31</f>
        <v>16.139087363268843</v>
      </c>
      <c r="E1596" s="3">
        <f>in_parking_demand_data_ver1!E1596*calibration!$I$31</f>
        <v>8.181104193362108</v>
      </c>
      <c r="F1596" s="3">
        <f t="shared" si="24"/>
        <v>24.320191556630952</v>
      </c>
      <c r="G1596">
        <v>90</v>
      </c>
    </row>
    <row r="1597" spans="1:7" x14ac:dyDescent="0.25">
      <c r="A1597">
        <v>18133</v>
      </c>
      <c r="B1597" t="s">
        <v>72</v>
      </c>
      <c r="C1597">
        <v>11</v>
      </c>
      <c r="D1597" s="3">
        <f>in_parking_demand_data_ver1!D1597*calibration!$I$31</f>
        <v>14.98629540874966</v>
      </c>
      <c r="E1597" s="3">
        <f>in_parking_demand_data_ver1!E1597*calibration!$I$31</f>
        <v>7.8092358209365553</v>
      </c>
      <c r="F1597" s="3">
        <f t="shared" si="24"/>
        <v>22.795531229686215</v>
      </c>
      <c r="G1597">
        <v>90</v>
      </c>
    </row>
    <row r="1598" spans="1:7" x14ac:dyDescent="0.25">
      <c r="A1598">
        <v>18133</v>
      </c>
      <c r="B1598" t="s">
        <v>72</v>
      </c>
      <c r="C1598">
        <v>12</v>
      </c>
      <c r="D1598" s="3">
        <f>in_parking_demand_data_ver1!D1598*calibration!$I$31</f>
        <v>13.536008756290011</v>
      </c>
      <c r="E1598" s="3">
        <f>in_parking_demand_data_ver1!E1598*calibration!$I$31</f>
        <v>7.8464226581791117</v>
      </c>
      <c r="F1598" s="3">
        <f t="shared" si="24"/>
        <v>21.382431414469124</v>
      </c>
      <c r="G1598">
        <v>90</v>
      </c>
    </row>
    <row r="1599" spans="1:7" x14ac:dyDescent="0.25">
      <c r="A1599">
        <v>18133</v>
      </c>
      <c r="B1599" t="s">
        <v>72</v>
      </c>
      <c r="C1599">
        <v>13</v>
      </c>
      <c r="D1599" s="3">
        <f>in_parking_demand_data_ver1!D1599*calibration!$I$31</f>
        <v>13.387261407319734</v>
      </c>
      <c r="E1599" s="3">
        <f>in_parking_demand_data_ver1!E1599*calibration!$I$31</f>
        <v>6.358949168476915</v>
      </c>
      <c r="F1599" s="3">
        <f t="shared" si="24"/>
        <v>19.746210575796649</v>
      </c>
      <c r="G1599">
        <v>90</v>
      </c>
    </row>
    <row r="1600" spans="1:7" x14ac:dyDescent="0.25">
      <c r="A1600">
        <v>18133</v>
      </c>
      <c r="B1600" t="s">
        <v>72</v>
      </c>
      <c r="C1600">
        <v>14</v>
      </c>
      <c r="D1600" s="3">
        <f>in_parking_demand_data_ver1!D1600*calibration!$I$31</f>
        <v>15.878779502570968</v>
      </c>
      <c r="E1600" s="3">
        <f>in_parking_demand_data_ver1!E1600*calibration!$I$31</f>
        <v>4.5367941435917132</v>
      </c>
      <c r="F1600" s="3">
        <f t="shared" si="24"/>
        <v>20.415573646162681</v>
      </c>
      <c r="G1600">
        <v>90</v>
      </c>
    </row>
    <row r="1601" spans="1:7" x14ac:dyDescent="0.25">
      <c r="A1601">
        <v>18133</v>
      </c>
      <c r="B1601" t="s">
        <v>72</v>
      </c>
      <c r="C1601">
        <v>15</v>
      </c>
      <c r="D1601" s="3">
        <f>in_parking_demand_data_ver1!D1601*calibration!$I$31</f>
        <v>16.808450433634871</v>
      </c>
      <c r="E1601" s="3">
        <f>in_parking_demand_data_ver1!E1601*calibration!$I$31</f>
        <v>2.6030786069788516</v>
      </c>
      <c r="F1601" s="3">
        <f t="shared" si="24"/>
        <v>19.411529040613722</v>
      </c>
      <c r="G1601">
        <v>90</v>
      </c>
    </row>
    <row r="1602" spans="1:7" x14ac:dyDescent="0.25">
      <c r="A1602">
        <v>18133</v>
      </c>
      <c r="B1602" t="s">
        <v>72</v>
      </c>
      <c r="C1602">
        <v>16</v>
      </c>
      <c r="D1602" s="3">
        <f>in_parking_demand_data_ver1!D1602*calibration!$I$31</f>
        <v>17.440626666758305</v>
      </c>
      <c r="E1602" s="3">
        <f>in_parking_demand_data_ver1!E1602*calibration!$I$31</f>
        <v>2.8633864676767353</v>
      </c>
      <c r="F1602" s="3">
        <f t="shared" si="24"/>
        <v>20.304013134435042</v>
      </c>
      <c r="G1602">
        <v>90</v>
      </c>
    </row>
    <row r="1603" spans="1:7" x14ac:dyDescent="0.25">
      <c r="A1603">
        <v>18133</v>
      </c>
      <c r="B1603" t="s">
        <v>72</v>
      </c>
      <c r="C1603">
        <v>17</v>
      </c>
      <c r="D1603" s="3">
        <f>in_parking_demand_data_ver1!D1603*calibration!$I$31</f>
        <v>21.605552437924473</v>
      </c>
      <c r="E1603" s="3">
        <f>in_parking_demand_data_ver1!E1603*calibration!$I$31</f>
        <v>2.7518259559490676</v>
      </c>
      <c r="F1603" s="3">
        <f t="shared" ref="F1603:F1666" si="25">SUM(D1603:E1603)</f>
        <v>24.357378393873539</v>
      </c>
      <c r="G1603">
        <v>90</v>
      </c>
    </row>
    <row r="1604" spans="1:7" x14ac:dyDescent="0.25">
      <c r="A1604">
        <v>18133</v>
      </c>
      <c r="B1604" t="s">
        <v>72</v>
      </c>
      <c r="C1604">
        <v>18</v>
      </c>
      <c r="D1604" s="3">
        <f>in_parking_demand_data_ver1!D1604*calibration!$I$31</f>
        <v>28.559491002282257</v>
      </c>
      <c r="E1604" s="3">
        <f>in_parking_demand_data_ver1!E1604*calibration!$I$31</f>
        <v>2.4543312580086281</v>
      </c>
      <c r="F1604" s="3">
        <f t="shared" si="25"/>
        <v>31.013822260290887</v>
      </c>
      <c r="G1604">
        <v>90</v>
      </c>
    </row>
    <row r="1605" spans="1:7" x14ac:dyDescent="0.25">
      <c r="A1605">
        <v>18133</v>
      </c>
      <c r="B1605" t="s">
        <v>72</v>
      </c>
      <c r="C1605">
        <v>19</v>
      </c>
      <c r="D1605" s="3">
        <f>in_parking_demand_data_ver1!D1605*calibration!$I$31</f>
        <v>36.443100497703945</v>
      </c>
      <c r="E1605" s="3">
        <f>in_parking_demand_data_ver1!E1605*calibration!$I$31</f>
        <v>2.9005733049192917</v>
      </c>
      <c r="F1605" s="3">
        <f t="shared" si="25"/>
        <v>39.343673802623236</v>
      </c>
      <c r="G1605">
        <v>90</v>
      </c>
    </row>
    <row r="1606" spans="1:7" x14ac:dyDescent="0.25">
      <c r="A1606">
        <v>18133</v>
      </c>
      <c r="B1606" t="s">
        <v>72</v>
      </c>
      <c r="C1606">
        <v>20</v>
      </c>
      <c r="D1606" s="3">
        <f>in_parking_demand_data_ver1!D1606*calibration!$I$31</f>
        <v>43.843281108972384</v>
      </c>
      <c r="E1606" s="3">
        <f>in_parking_demand_data_ver1!E1606*calibration!$I$31</f>
        <v>3.6071232125278381</v>
      </c>
      <c r="F1606" s="3">
        <f t="shared" si="25"/>
        <v>47.450404321500223</v>
      </c>
      <c r="G1606">
        <v>90</v>
      </c>
    </row>
    <row r="1607" spans="1:7" x14ac:dyDescent="0.25">
      <c r="A1607">
        <v>18133</v>
      </c>
      <c r="B1607" t="s">
        <v>72</v>
      </c>
      <c r="C1607">
        <v>21</v>
      </c>
      <c r="D1607" s="3">
        <f>in_parking_demand_data_ver1!D1607*calibration!$I$31</f>
        <v>49.718801393296076</v>
      </c>
      <c r="E1607" s="3">
        <f>in_parking_demand_data_ver1!E1607*calibration!$I$31</f>
        <v>5.1317835394725924</v>
      </c>
      <c r="F1607" s="3">
        <f t="shared" si="25"/>
        <v>54.850584932768669</v>
      </c>
      <c r="G1607">
        <v>90</v>
      </c>
    </row>
    <row r="1608" spans="1:7" x14ac:dyDescent="0.25">
      <c r="A1608">
        <v>18133</v>
      </c>
      <c r="B1608" t="s">
        <v>72</v>
      </c>
      <c r="C1608">
        <v>22</v>
      </c>
      <c r="D1608" s="3">
        <f>in_parking_demand_data_ver1!D1608*calibration!$I$31</f>
        <v>54.292782374130311</v>
      </c>
      <c r="E1608" s="3">
        <f>in_parking_demand_data_ver1!E1608*calibration!$I$31</f>
        <v>6.1730149822641343</v>
      </c>
      <c r="F1608" s="3">
        <f t="shared" si="25"/>
        <v>60.465797356394447</v>
      </c>
      <c r="G1608">
        <v>90</v>
      </c>
    </row>
    <row r="1609" spans="1:7" x14ac:dyDescent="0.25">
      <c r="A1609">
        <v>18133</v>
      </c>
      <c r="B1609" t="s">
        <v>72</v>
      </c>
      <c r="C1609">
        <v>23</v>
      </c>
      <c r="D1609" s="3">
        <f>in_parking_demand_data_ver1!D1609*calibration!$I$31</f>
        <v>57.490850376990082</v>
      </c>
      <c r="E1609" s="3">
        <f>in_parking_demand_data_ver1!E1609*calibration!$I$31</f>
        <v>6.6192570291747979</v>
      </c>
      <c r="F1609" s="3">
        <f t="shared" si="25"/>
        <v>64.110107406164886</v>
      </c>
      <c r="G1609">
        <v>90</v>
      </c>
    </row>
    <row r="1610" spans="1:7" x14ac:dyDescent="0.25">
      <c r="A1610">
        <v>18135</v>
      </c>
      <c r="B1610" t="s">
        <v>73</v>
      </c>
      <c r="C1610">
        <v>0</v>
      </c>
      <c r="D1610" s="3">
        <f>in_parking_demand_data_ver1!D1610*calibration!$I$31</f>
        <v>18.85089430035908</v>
      </c>
      <c r="E1610" s="3">
        <f>in_parking_demand_data_ver1!E1610*calibration!$I$31</f>
        <v>0.32752519054677992</v>
      </c>
      <c r="F1610" s="3">
        <f t="shared" si="25"/>
        <v>19.17841949090586</v>
      </c>
      <c r="G1610">
        <v>30</v>
      </c>
    </row>
    <row r="1611" spans="1:7" x14ac:dyDescent="0.25">
      <c r="A1611">
        <v>18135</v>
      </c>
      <c r="B1611" t="s">
        <v>73</v>
      </c>
      <c r="C1611">
        <v>1</v>
      </c>
      <c r="D1611" s="3">
        <f>in_parking_demand_data_ver1!D1611*calibration!$I$31</f>
        <v>18.778110924682057</v>
      </c>
      <c r="E1611" s="3">
        <f>in_parking_demand_data_ver1!E1611*calibration!$I$31</f>
        <v>0.29113350270824878</v>
      </c>
      <c r="F1611" s="3">
        <f t="shared" si="25"/>
        <v>19.069244427390306</v>
      </c>
      <c r="G1611">
        <v>30</v>
      </c>
    </row>
    <row r="1612" spans="1:7" x14ac:dyDescent="0.25">
      <c r="A1612">
        <v>18135</v>
      </c>
      <c r="B1612" t="s">
        <v>73</v>
      </c>
      <c r="C1612">
        <v>2</v>
      </c>
      <c r="D1612" s="3">
        <f>in_parking_demand_data_ver1!D1612*calibration!$I$31</f>
        <v>18.814502612520609</v>
      </c>
      <c r="E1612" s="3">
        <f>in_parking_demand_data_ver1!E1612*calibration!$I$31</f>
        <v>0.29113350270824878</v>
      </c>
      <c r="F1612" s="3">
        <f t="shared" si="25"/>
        <v>19.105636115228858</v>
      </c>
      <c r="G1612">
        <v>30</v>
      </c>
    </row>
    <row r="1613" spans="1:7" x14ac:dyDescent="0.25">
      <c r="A1613">
        <v>18135</v>
      </c>
      <c r="B1613" t="s">
        <v>73</v>
      </c>
      <c r="C1613">
        <v>3</v>
      </c>
      <c r="D1613" s="3">
        <f>in_parking_demand_data_ver1!D1613*calibration!$I$31</f>
        <v>18.778110924682057</v>
      </c>
      <c r="E1613" s="3">
        <f>in_parking_demand_data_ver1!E1613*calibration!$I$31</f>
        <v>0.29113350270824878</v>
      </c>
      <c r="F1613" s="3">
        <f t="shared" si="25"/>
        <v>19.069244427390306</v>
      </c>
      <c r="G1613">
        <v>30</v>
      </c>
    </row>
    <row r="1614" spans="1:7" x14ac:dyDescent="0.25">
      <c r="A1614">
        <v>18135</v>
      </c>
      <c r="B1614" t="s">
        <v>73</v>
      </c>
      <c r="C1614">
        <v>4</v>
      </c>
      <c r="D1614" s="3">
        <f>in_parking_demand_data_ver1!D1614*calibration!$I$31</f>
        <v>18.778110924682057</v>
      </c>
      <c r="E1614" s="3">
        <f>in_parking_demand_data_ver1!E1614*calibration!$I$31</f>
        <v>0.54587531757796715</v>
      </c>
      <c r="F1614" s="3">
        <f t="shared" si="25"/>
        <v>19.323986242260023</v>
      </c>
      <c r="G1614">
        <v>30</v>
      </c>
    </row>
    <row r="1615" spans="1:7" x14ac:dyDescent="0.25">
      <c r="A1615">
        <v>18135</v>
      </c>
      <c r="B1615" t="s">
        <v>73</v>
      </c>
      <c r="C1615">
        <v>5</v>
      </c>
      <c r="D1615" s="3">
        <f>in_parking_demand_data_ver1!D1615*calibration!$I$31</f>
        <v>18.41419404629676</v>
      </c>
      <c r="E1615" s="3">
        <f>in_parking_demand_data_ver1!E1615*calibration!$I$31</f>
        <v>0.69144206893209192</v>
      </c>
      <c r="F1615" s="3">
        <f t="shared" si="25"/>
        <v>19.105636115228851</v>
      </c>
      <c r="G1615">
        <v>30</v>
      </c>
    </row>
    <row r="1616" spans="1:7" x14ac:dyDescent="0.25">
      <c r="A1616">
        <v>18135</v>
      </c>
      <c r="B1616" t="s">
        <v>73</v>
      </c>
      <c r="C1616">
        <v>6</v>
      </c>
      <c r="D1616" s="3">
        <f>in_parking_demand_data_ver1!D1616*calibration!$I$31</f>
        <v>19.069244427390323</v>
      </c>
      <c r="E1616" s="3">
        <f>in_parking_demand_data_ver1!E1616*calibration!$I$31</f>
        <v>0.54587531757796715</v>
      </c>
      <c r="F1616" s="3">
        <f t="shared" si="25"/>
        <v>19.61511974496829</v>
      </c>
      <c r="G1616">
        <v>30</v>
      </c>
    </row>
    <row r="1617" spans="1:7" x14ac:dyDescent="0.25">
      <c r="A1617">
        <v>18135</v>
      </c>
      <c r="B1617" t="s">
        <v>73</v>
      </c>
      <c r="C1617">
        <v>7</v>
      </c>
      <c r="D1617" s="3">
        <f>in_parking_demand_data_ver1!D1617*calibration!$I$31</f>
        <v>24.891914481555297</v>
      </c>
      <c r="E1617" s="3">
        <f>in_parking_demand_data_ver1!E1617*calibration!$I$31</f>
        <v>2.8385516514054281</v>
      </c>
      <c r="F1617" s="3">
        <f t="shared" si="25"/>
        <v>27.730466132960725</v>
      </c>
      <c r="G1617">
        <v>30</v>
      </c>
    </row>
    <row r="1618" spans="1:7" x14ac:dyDescent="0.25">
      <c r="A1618">
        <v>18135</v>
      </c>
      <c r="B1618" t="s">
        <v>73</v>
      </c>
      <c r="C1618">
        <v>8</v>
      </c>
      <c r="D1618" s="3">
        <f>in_parking_demand_data_ver1!D1618*calibration!$I$31</f>
        <v>10.95389803939783</v>
      </c>
      <c r="E1618" s="3">
        <f>in_parking_demand_data_ver1!E1618*calibration!$I$31</f>
        <v>3.8575189108842967</v>
      </c>
      <c r="F1618" s="3">
        <f t="shared" si="25"/>
        <v>14.811416950282126</v>
      </c>
      <c r="G1618">
        <v>30</v>
      </c>
    </row>
    <row r="1619" spans="1:7" x14ac:dyDescent="0.25">
      <c r="A1619">
        <v>18135</v>
      </c>
      <c r="B1619" t="s">
        <v>73</v>
      </c>
      <c r="C1619">
        <v>9</v>
      </c>
      <c r="D1619" s="3">
        <f>in_parking_demand_data_ver1!D1619*calibration!$I$31</f>
        <v>4.585352667654921</v>
      </c>
      <c r="E1619" s="3">
        <f>in_parking_demand_data_ver1!E1619*calibration!$I$31</f>
        <v>4.0030856622384237</v>
      </c>
      <c r="F1619" s="3">
        <f t="shared" si="25"/>
        <v>8.5884383298933447</v>
      </c>
      <c r="G1619">
        <v>30</v>
      </c>
    </row>
    <row r="1620" spans="1:7" x14ac:dyDescent="0.25">
      <c r="A1620">
        <v>18135</v>
      </c>
      <c r="B1620" t="s">
        <v>73</v>
      </c>
      <c r="C1620">
        <v>10</v>
      </c>
      <c r="D1620" s="3">
        <f>in_parking_demand_data_ver1!D1620*calibration!$I$31</f>
        <v>4.4761776041393322</v>
      </c>
      <c r="E1620" s="3">
        <f>in_parking_demand_data_ver1!E1620*calibration!$I$31</f>
        <v>4.0758690379154912</v>
      </c>
      <c r="F1620" s="3">
        <f t="shared" si="25"/>
        <v>8.5520466420548225</v>
      </c>
      <c r="G1620">
        <v>30</v>
      </c>
    </row>
    <row r="1621" spans="1:7" x14ac:dyDescent="0.25">
      <c r="A1621">
        <v>18135</v>
      </c>
      <c r="B1621" t="s">
        <v>73</v>
      </c>
      <c r="C1621">
        <v>11</v>
      </c>
      <c r="D1621" s="3">
        <f>in_parking_demand_data_ver1!D1621*calibration!$I$31</f>
        <v>5.3131864244255445</v>
      </c>
      <c r="E1621" s="3">
        <f>in_parking_demand_data_ver1!E1621*calibration!$I$31</f>
        <v>4.8764861703631732</v>
      </c>
      <c r="F1621" s="3">
        <f t="shared" si="25"/>
        <v>10.189672594788718</v>
      </c>
      <c r="G1621">
        <v>30</v>
      </c>
    </row>
    <row r="1622" spans="1:7" x14ac:dyDescent="0.25">
      <c r="A1622">
        <v>18135</v>
      </c>
      <c r="B1622" t="s">
        <v>73</v>
      </c>
      <c r="C1622">
        <v>12</v>
      </c>
      <c r="D1622" s="3">
        <f>in_parking_demand_data_ver1!D1622*calibration!$I$31</f>
        <v>6.0410201811961688</v>
      </c>
      <c r="E1622" s="3">
        <f>in_parking_demand_data_ver1!E1622*calibration!$I$31</f>
        <v>3.23886021762927</v>
      </c>
      <c r="F1622" s="3">
        <f t="shared" si="25"/>
        <v>9.2798803988254388</v>
      </c>
      <c r="G1622">
        <v>30</v>
      </c>
    </row>
    <row r="1623" spans="1:7" x14ac:dyDescent="0.25">
      <c r="A1623">
        <v>18135</v>
      </c>
      <c r="B1623" t="s">
        <v>73</v>
      </c>
      <c r="C1623">
        <v>13</v>
      </c>
      <c r="D1623" s="3">
        <f>in_parking_demand_data_ver1!D1623*calibration!$I$31</f>
        <v>4.9856612338787709</v>
      </c>
      <c r="E1623" s="3">
        <f>in_parking_demand_data_ver1!E1623*calibration!$I$31</f>
        <v>1.9287594554421483</v>
      </c>
      <c r="F1623" s="3">
        <f t="shared" si="25"/>
        <v>6.9144206893209192</v>
      </c>
      <c r="G1623">
        <v>30</v>
      </c>
    </row>
    <row r="1624" spans="1:7" x14ac:dyDescent="0.25">
      <c r="A1624">
        <v>18135</v>
      </c>
      <c r="B1624" t="s">
        <v>73</v>
      </c>
      <c r="C1624">
        <v>14</v>
      </c>
      <c r="D1624" s="3">
        <f>in_parking_demand_data_ver1!D1624*calibration!$I$31</f>
        <v>4.039477350076953</v>
      </c>
      <c r="E1624" s="3">
        <f>in_parking_demand_data_ver1!E1624*calibration!$I$31</f>
        <v>0.8370088202862167</v>
      </c>
      <c r="F1624" s="3">
        <f t="shared" si="25"/>
        <v>4.8764861703631697</v>
      </c>
      <c r="G1624">
        <v>30</v>
      </c>
    </row>
    <row r="1625" spans="1:7" x14ac:dyDescent="0.25">
      <c r="A1625">
        <v>18135</v>
      </c>
      <c r="B1625" t="s">
        <v>73</v>
      </c>
      <c r="C1625">
        <v>15</v>
      </c>
      <c r="D1625" s="3">
        <f>in_parking_demand_data_ver1!D1625*calibration!$I$31</f>
        <v>4.039477350076953</v>
      </c>
      <c r="E1625" s="3">
        <f>in_parking_demand_data_ver1!E1625*calibration!$I$31</f>
        <v>0.40030856622384237</v>
      </c>
      <c r="F1625" s="3">
        <f t="shared" si="25"/>
        <v>4.4397859163007958</v>
      </c>
      <c r="G1625">
        <v>30</v>
      </c>
    </row>
    <row r="1626" spans="1:7" x14ac:dyDescent="0.25">
      <c r="A1626">
        <v>18135</v>
      </c>
      <c r="B1626" t="s">
        <v>73</v>
      </c>
      <c r="C1626">
        <v>16</v>
      </c>
      <c r="D1626" s="3">
        <f>in_parking_demand_data_ver1!D1626*calibration!$I$31</f>
        <v>4.0030856622384237</v>
      </c>
      <c r="E1626" s="3">
        <f>in_parking_demand_data_ver1!E1626*calibration!$I$31</f>
        <v>7.2783375677062306E-2</v>
      </c>
      <c r="F1626" s="3">
        <f t="shared" si="25"/>
        <v>4.0758690379154858</v>
      </c>
      <c r="G1626">
        <v>30</v>
      </c>
    </row>
    <row r="1627" spans="1:7" x14ac:dyDescent="0.25">
      <c r="A1627">
        <v>18135</v>
      </c>
      <c r="B1627" t="s">
        <v>73</v>
      </c>
      <c r="C1627">
        <v>17</v>
      </c>
      <c r="D1627" s="3">
        <f>in_parking_demand_data_ver1!D1627*calibration!$I$31</f>
        <v>6.8416373136438606</v>
      </c>
      <c r="E1627" s="3">
        <f>in_parking_demand_data_ver1!E1627*calibration!$I$31</f>
        <v>0.29113350270824878</v>
      </c>
      <c r="F1627" s="3">
        <f t="shared" si="25"/>
        <v>7.1327708163521093</v>
      </c>
      <c r="G1627">
        <v>30</v>
      </c>
    </row>
    <row r="1628" spans="1:7" x14ac:dyDescent="0.25">
      <c r="A1628">
        <v>18135</v>
      </c>
      <c r="B1628" t="s">
        <v>73</v>
      </c>
      <c r="C1628">
        <v>18</v>
      </c>
      <c r="D1628" s="3">
        <f>in_parking_demand_data_ver1!D1628*calibration!$I$31</f>
        <v>13.646882939449116</v>
      </c>
      <c r="E1628" s="3">
        <f>in_parking_demand_data_ver1!E1628*calibration!$I$31</f>
        <v>0.10917506351559275</v>
      </c>
      <c r="F1628" s="3">
        <f t="shared" si="25"/>
        <v>13.756058002964709</v>
      </c>
      <c r="G1628">
        <v>30</v>
      </c>
    </row>
    <row r="1629" spans="1:7" x14ac:dyDescent="0.25">
      <c r="A1629">
        <v>18135</v>
      </c>
      <c r="B1629" t="s">
        <v>73</v>
      </c>
      <c r="C1629">
        <v>19</v>
      </c>
      <c r="D1629" s="3">
        <f>in_parking_demand_data_ver1!D1629*calibration!$I$31</f>
        <v>17.759143665203197</v>
      </c>
      <c r="E1629" s="3">
        <f>in_parking_demand_data_ver1!E1629*calibration!$I$31</f>
        <v>0.18195843919265514</v>
      </c>
      <c r="F1629" s="3">
        <f t="shared" si="25"/>
        <v>17.941102104395853</v>
      </c>
      <c r="G1629">
        <v>30</v>
      </c>
    </row>
    <row r="1630" spans="1:7" x14ac:dyDescent="0.25">
      <c r="A1630">
        <v>18135</v>
      </c>
      <c r="B1630" t="s">
        <v>73</v>
      </c>
      <c r="C1630">
        <v>20</v>
      </c>
      <c r="D1630" s="3">
        <f>in_parking_demand_data_ver1!D1630*calibration!$I$31</f>
        <v>18.159452231427046</v>
      </c>
      <c r="E1630" s="3">
        <f>in_parking_demand_data_ver1!E1630*calibration!$I$31</f>
        <v>0.14556675135412395</v>
      </c>
      <c r="F1630" s="3">
        <f t="shared" si="25"/>
        <v>18.305018982781171</v>
      </c>
      <c r="G1630">
        <v>30</v>
      </c>
    </row>
    <row r="1631" spans="1:7" x14ac:dyDescent="0.25">
      <c r="A1631">
        <v>18135</v>
      </c>
      <c r="B1631" t="s">
        <v>73</v>
      </c>
      <c r="C1631">
        <v>21</v>
      </c>
      <c r="D1631" s="3">
        <f>in_parking_demand_data_ver1!D1631*calibration!$I$31</f>
        <v>18.377802358458204</v>
      </c>
      <c r="E1631" s="3">
        <f>in_parking_demand_data_ver1!E1631*calibration!$I$31</f>
        <v>0.25474181486971753</v>
      </c>
      <c r="F1631" s="3">
        <f t="shared" si="25"/>
        <v>18.632544173327922</v>
      </c>
      <c r="G1631">
        <v>30</v>
      </c>
    </row>
    <row r="1632" spans="1:7" x14ac:dyDescent="0.25">
      <c r="A1632">
        <v>18135</v>
      </c>
      <c r="B1632" t="s">
        <v>73</v>
      </c>
      <c r="C1632">
        <v>22</v>
      </c>
      <c r="D1632" s="3">
        <f>in_parking_demand_data_ver1!D1632*calibration!$I$31</f>
        <v>18.450585734135231</v>
      </c>
      <c r="E1632" s="3">
        <f>in_parking_demand_data_ver1!E1632*calibration!$I$31</f>
        <v>0.32752519054677992</v>
      </c>
      <c r="F1632" s="3">
        <f t="shared" si="25"/>
        <v>18.778110924682011</v>
      </c>
      <c r="G1632">
        <v>30</v>
      </c>
    </row>
    <row r="1633" spans="1:7" x14ac:dyDescent="0.25">
      <c r="A1633">
        <v>18135</v>
      </c>
      <c r="B1633" t="s">
        <v>73</v>
      </c>
      <c r="C1633">
        <v>23</v>
      </c>
      <c r="D1633" s="3">
        <f>in_parking_demand_data_ver1!D1633*calibration!$I$31</f>
        <v>18.668935861166474</v>
      </c>
      <c r="E1633" s="3">
        <f>in_parking_demand_data_ver1!E1633*calibration!$I$31</f>
        <v>0.32752519054677992</v>
      </c>
      <c r="F1633" s="3">
        <f t="shared" si="25"/>
        <v>18.996461051713254</v>
      </c>
      <c r="G1633">
        <v>30</v>
      </c>
    </row>
    <row r="1634" spans="1:7" x14ac:dyDescent="0.25">
      <c r="A1634">
        <v>18137</v>
      </c>
      <c r="B1634" t="s">
        <v>74</v>
      </c>
      <c r="C1634">
        <v>0</v>
      </c>
      <c r="D1634" s="3">
        <f>in_parking_demand_data_ver1!D1634*calibration!$I$31</f>
        <v>92.936970490791794</v>
      </c>
      <c r="E1634" s="3">
        <f>in_parking_demand_data_ver1!E1634*calibration!$I$31</f>
        <v>10.93926111410722</v>
      </c>
      <c r="F1634" s="3">
        <f t="shared" si="25"/>
        <v>103.87623160489902</v>
      </c>
      <c r="G1634">
        <v>80</v>
      </c>
    </row>
    <row r="1635" spans="1:7" x14ac:dyDescent="0.25">
      <c r="A1635">
        <v>18137</v>
      </c>
      <c r="B1635" t="s">
        <v>74</v>
      </c>
      <c r="C1635">
        <v>1</v>
      </c>
      <c r="D1635" s="3">
        <f>in_parking_demand_data_ver1!D1635*calibration!$I$31</f>
        <v>95.367917405037147</v>
      </c>
      <c r="E1635" s="3">
        <f>in_parking_demand_data_ver1!E1635*calibration!$I$31</f>
        <v>11.96773865474983</v>
      </c>
      <c r="F1635" s="3">
        <f t="shared" si="25"/>
        <v>107.33565605978697</v>
      </c>
      <c r="G1635">
        <v>80</v>
      </c>
    </row>
    <row r="1636" spans="1:7" x14ac:dyDescent="0.25">
      <c r="A1636">
        <v>18137</v>
      </c>
      <c r="B1636" t="s">
        <v>74</v>
      </c>
      <c r="C1636">
        <v>2</v>
      </c>
      <c r="D1636" s="3">
        <f>in_parking_demand_data_ver1!D1636*calibration!$I$31</f>
        <v>95.928905154478457</v>
      </c>
      <c r="E1636" s="3">
        <f>in_parking_demand_data_ver1!E1636*calibration!$I$31</f>
        <v>13.837697819554476</v>
      </c>
      <c r="F1636" s="3">
        <f t="shared" si="25"/>
        <v>109.76660297403293</v>
      </c>
      <c r="G1636">
        <v>80</v>
      </c>
    </row>
    <row r="1637" spans="1:7" x14ac:dyDescent="0.25">
      <c r="A1637">
        <v>18137</v>
      </c>
      <c r="B1637" t="s">
        <v>74</v>
      </c>
      <c r="C1637">
        <v>3</v>
      </c>
      <c r="D1637" s="3">
        <f>in_parking_demand_data_ver1!D1637*calibration!$I$31</f>
        <v>95.461415363277652</v>
      </c>
      <c r="E1637" s="3">
        <f>in_parking_demand_data_ver1!E1637*calibration!$I$31</f>
        <v>14.959673318437243</v>
      </c>
      <c r="F1637" s="3">
        <f t="shared" si="25"/>
        <v>110.42108868171489</v>
      </c>
      <c r="G1637">
        <v>80</v>
      </c>
    </row>
    <row r="1638" spans="1:7" x14ac:dyDescent="0.25">
      <c r="A1638">
        <v>18137</v>
      </c>
      <c r="B1638" t="s">
        <v>74</v>
      </c>
      <c r="C1638">
        <v>4</v>
      </c>
      <c r="D1638" s="3">
        <f>in_parking_demand_data_ver1!D1638*calibration!$I$31</f>
        <v>95.835407196238791</v>
      </c>
      <c r="E1638" s="3">
        <f>in_parking_demand_data_ver1!E1638*calibration!$I$31</f>
        <v>15.988150859079855</v>
      </c>
      <c r="F1638" s="3">
        <f t="shared" si="25"/>
        <v>111.82355805531864</v>
      </c>
      <c r="G1638">
        <v>80</v>
      </c>
    </row>
    <row r="1639" spans="1:7" x14ac:dyDescent="0.25">
      <c r="A1639">
        <v>18137</v>
      </c>
      <c r="B1639" t="s">
        <v>74</v>
      </c>
      <c r="C1639">
        <v>5</v>
      </c>
      <c r="D1639" s="3">
        <f>in_parking_demand_data_ver1!D1639*calibration!$I$31</f>
        <v>99.855819400568407</v>
      </c>
      <c r="E1639" s="3">
        <f>in_parking_demand_data_ver1!E1639*calibration!$I$31</f>
        <v>17.297122274443115</v>
      </c>
      <c r="F1639" s="3">
        <f t="shared" si="25"/>
        <v>117.15294167501152</v>
      </c>
      <c r="G1639">
        <v>80</v>
      </c>
    </row>
    <row r="1640" spans="1:7" x14ac:dyDescent="0.25">
      <c r="A1640">
        <v>18137</v>
      </c>
      <c r="B1640" t="s">
        <v>74</v>
      </c>
      <c r="C1640">
        <v>6</v>
      </c>
      <c r="D1640" s="3">
        <f>in_parking_demand_data_ver1!D1640*calibration!$I$31</f>
        <v>92.375982741349645</v>
      </c>
      <c r="E1640" s="3">
        <f>in_parking_demand_data_ver1!E1640*calibration!$I$31</f>
        <v>19.16708143924776</v>
      </c>
      <c r="F1640" s="3">
        <f t="shared" si="25"/>
        <v>111.54306418059741</v>
      </c>
      <c r="G1640">
        <v>80</v>
      </c>
    </row>
    <row r="1641" spans="1:7" x14ac:dyDescent="0.25">
      <c r="A1641">
        <v>18137</v>
      </c>
      <c r="B1641" t="s">
        <v>74</v>
      </c>
      <c r="C1641">
        <v>7</v>
      </c>
      <c r="D1641" s="3">
        <f>in_parking_demand_data_ver1!D1641*calibration!$I$31</f>
        <v>75.826844132829081</v>
      </c>
      <c r="E1641" s="3">
        <f>in_parking_demand_data_ver1!E1641*calibration!$I$31</f>
        <v>23.561485476538763</v>
      </c>
      <c r="F1641" s="3">
        <f t="shared" si="25"/>
        <v>99.388329609367844</v>
      </c>
      <c r="G1641">
        <v>80</v>
      </c>
    </row>
    <row r="1642" spans="1:7" x14ac:dyDescent="0.25">
      <c r="A1642">
        <v>18137</v>
      </c>
      <c r="B1642" t="s">
        <v>74</v>
      </c>
      <c r="C1642">
        <v>8</v>
      </c>
      <c r="D1642" s="3">
        <f>in_parking_demand_data_ver1!D1642*calibration!$I$31</f>
        <v>59.745195315508994</v>
      </c>
      <c r="E1642" s="3">
        <f>in_parking_demand_data_ver1!E1642*calibration!$I$31</f>
        <v>20.382554896370774</v>
      </c>
      <c r="F1642" s="3">
        <f t="shared" si="25"/>
        <v>80.127750211879771</v>
      </c>
      <c r="G1642">
        <v>80</v>
      </c>
    </row>
    <row r="1643" spans="1:7" x14ac:dyDescent="0.25">
      <c r="A1643">
        <v>18137</v>
      </c>
      <c r="B1643" t="s">
        <v>74</v>
      </c>
      <c r="C1643">
        <v>9</v>
      </c>
      <c r="D1643" s="3">
        <f>in_parking_demand_data_ver1!D1643*calibration!$I$31</f>
        <v>53.013342322212196</v>
      </c>
      <c r="E1643" s="3">
        <f>in_parking_demand_data_ver1!E1643*calibration!$I$31</f>
        <v>15.89465290083961</v>
      </c>
      <c r="F1643" s="3">
        <f t="shared" si="25"/>
        <v>68.907995223051813</v>
      </c>
      <c r="G1643">
        <v>80</v>
      </c>
    </row>
    <row r="1644" spans="1:7" x14ac:dyDescent="0.25">
      <c r="A1644">
        <v>18137</v>
      </c>
      <c r="B1644" t="s">
        <v>74</v>
      </c>
      <c r="C1644">
        <v>10</v>
      </c>
      <c r="D1644" s="3">
        <f>in_parking_demand_data_ver1!D1644*calibration!$I$31</f>
        <v>48.712436243161434</v>
      </c>
      <c r="E1644" s="3">
        <f>in_parking_demand_data_ver1!E1644*calibration!$I$31</f>
        <v>8.0408244086600504</v>
      </c>
      <c r="F1644" s="3">
        <f t="shared" si="25"/>
        <v>56.753260651821485</v>
      </c>
      <c r="G1644">
        <v>80</v>
      </c>
    </row>
    <row r="1645" spans="1:7" x14ac:dyDescent="0.25">
      <c r="A1645">
        <v>18137</v>
      </c>
      <c r="B1645" t="s">
        <v>74</v>
      </c>
      <c r="C1645">
        <v>11</v>
      </c>
      <c r="D1645" s="3">
        <f>in_parking_demand_data_ver1!D1645*calibration!$I$31</f>
        <v>44.785521997071655</v>
      </c>
      <c r="E1645" s="3">
        <f>in_parking_demand_data_ver1!E1645*calibration!$I$31</f>
        <v>6.4513591185760886</v>
      </c>
      <c r="F1645" s="3">
        <f t="shared" si="25"/>
        <v>51.236881115647741</v>
      </c>
      <c r="G1645">
        <v>80</v>
      </c>
    </row>
    <row r="1646" spans="1:7" x14ac:dyDescent="0.25">
      <c r="A1646">
        <v>18137</v>
      </c>
      <c r="B1646" t="s">
        <v>74</v>
      </c>
      <c r="C1646">
        <v>12</v>
      </c>
      <c r="D1646" s="3">
        <f>in_parking_demand_data_ver1!D1646*calibration!$I$31</f>
        <v>44.505028122351007</v>
      </c>
      <c r="E1646" s="3">
        <f>in_parking_demand_data_ver1!E1646*calibration!$I$31</f>
        <v>6.3578611603358528</v>
      </c>
      <c r="F1646" s="3">
        <f t="shared" si="25"/>
        <v>50.862889282686858</v>
      </c>
      <c r="G1646">
        <v>80</v>
      </c>
    </row>
    <row r="1647" spans="1:7" x14ac:dyDescent="0.25">
      <c r="A1647">
        <v>18137</v>
      </c>
      <c r="B1647" t="s">
        <v>74</v>
      </c>
      <c r="C1647">
        <v>13</v>
      </c>
      <c r="D1647" s="3">
        <f>in_parking_demand_data_ver1!D1647*calibration!$I$31</f>
        <v>43.196056706987662</v>
      </c>
      <c r="E1647" s="3">
        <f>in_parking_demand_data_ver1!E1647*calibration!$I$31</f>
        <v>3.4594244548886226</v>
      </c>
      <c r="F1647" s="3">
        <f t="shared" si="25"/>
        <v>46.655481161876281</v>
      </c>
      <c r="G1647">
        <v>80</v>
      </c>
    </row>
    <row r="1648" spans="1:7" x14ac:dyDescent="0.25">
      <c r="A1648">
        <v>18137</v>
      </c>
      <c r="B1648" t="s">
        <v>74</v>
      </c>
      <c r="C1648">
        <v>14</v>
      </c>
      <c r="D1648" s="3">
        <f>in_parking_demand_data_ver1!D1648*calibration!$I$31</f>
        <v>43.570048539948644</v>
      </c>
      <c r="E1648" s="3">
        <f>in_parking_demand_data_ver1!E1648*calibration!$I$31</f>
        <v>3.0854326219276937</v>
      </c>
      <c r="F1648" s="3">
        <f t="shared" si="25"/>
        <v>46.655481161876338</v>
      </c>
      <c r="G1648">
        <v>80</v>
      </c>
    </row>
    <row r="1649" spans="1:7" x14ac:dyDescent="0.25">
      <c r="A1649">
        <v>18137</v>
      </c>
      <c r="B1649" t="s">
        <v>74</v>
      </c>
      <c r="C1649">
        <v>15</v>
      </c>
      <c r="D1649" s="3">
        <f>in_parking_demand_data_ver1!D1649*calibration!$I$31</f>
        <v>40.952105709222124</v>
      </c>
      <c r="E1649" s="3">
        <f>in_parking_demand_data_ver1!E1649*calibration!$I$31</f>
        <v>1.6829632483241974</v>
      </c>
      <c r="F1649" s="3">
        <f t="shared" si="25"/>
        <v>42.635068957546324</v>
      </c>
      <c r="G1649">
        <v>80</v>
      </c>
    </row>
    <row r="1650" spans="1:7" x14ac:dyDescent="0.25">
      <c r="A1650">
        <v>18137</v>
      </c>
      <c r="B1650" t="s">
        <v>74</v>
      </c>
      <c r="C1650">
        <v>16</v>
      </c>
      <c r="D1650" s="3">
        <f>in_parking_demand_data_ver1!D1650*calibration!$I$31</f>
        <v>38.334162878495604</v>
      </c>
      <c r="E1650" s="3">
        <f>in_parking_demand_data_ver1!E1650*calibration!$I$31</f>
        <v>1.3089714153632599</v>
      </c>
      <c r="F1650" s="3">
        <f t="shared" si="25"/>
        <v>39.643134293858864</v>
      </c>
      <c r="G1650">
        <v>80</v>
      </c>
    </row>
    <row r="1651" spans="1:7" x14ac:dyDescent="0.25">
      <c r="A1651">
        <v>18137</v>
      </c>
      <c r="B1651" t="s">
        <v>74</v>
      </c>
      <c r="C1651">
        <v>17</v>
      </c>
      <c r="D1651" s="3">
        <f>in_parking_demand_data_ver1!D1651*calibration!$I$31</f>
        <v>41.045603667462373</v>
      </c>
      <c r="E1651" s="3">
        <f>in_parking_demand_data_ver1!E1651*calibration!$I$31</f>
        <v>1.2154734571230235</v>
      </c>
      <c r="F1651" s="3">
        <f t="shared" si="25"/>
        <v>42.261077124585398</v>
      </c>
      <c r="G1651">
        <v>80</v>
      </c>
    </row>
    <row r="1652" spans="1:7" x14ac:dyDescent="0.25">
      <c r="A1652">
        <v>18137</v>
      </c>
      <c r="B1652" t="s">
        <v>74</v>
      </c>
      <c r="C1652">
        <v>18</v>
      </c>
      <c r="D1652" s="3">
        <f>in_parking_demand_data_ver1!D1652*calibration!$I$31</f>
        <v>48.338444410200545</v>
      </c>
      <c r="E1652" s="3">
        <f>in_parking_demand_data_ver1!E1652*calibration!$I$31</f>
        <v>1.6829632483241974</v>
      </c>
      <c r="F1652" s="3">
        <f t="shared" si="25"/>
        <v>50.021407658524744</v>
      </c>
      <c r="G1652">
        <v>80</v>
      </c>
    </row>
    <row r="1653" spans="1:7" x14ac:dyDescent="0.25">
      <c r="A1653">
        <v>18137</v>
      </c>
      <c r="B1653" t="s">
        <v>74</v>
      </c>
      <c r="C1653">
        <v>19</v>
      </c>
      <c r="D1653" s="3">
        <f>in_parking_demand_data_ver1!D1653*calibration!$I$31</f>
        <v>62.830627937436731</v>
      </c>
      <c r="E1653" s="3">
        <f>in_parking_demand_data_ver1!E1653*calibration!$I$31</f>
        <v>5.6098774944139862</v>
      </c>
      <c r="F1653" s="3">
        <f t="shared" si="25"/>
        <v>68.44050543185071</v>
      </c>
      <c r="G1653">
        <v>80</v>
      </c>
    </row>
    <row r="1654" spans="1:7" x14ac:dyDescent="0.25">
      <c r="A1654">
        <v>18137</v>
      </c>
      <c r="B1654" t="s">
        <v>74</v>
      </c>
      <c r="C1654">
        <v>20</v>
      </c>
      <c r="D1654" s="3">
        <f>in_parking_demand_data_ver1!D1654*calibration!$I$31</f>
        <v>73.395897218583059</v>
      </c>
      <c r="E1654" s="3">
        <f>in_parking_demand_data_ver1!E1654*calibration!$I$31</f>
        <v>4.3944040372909541</v>
      </c>
      <c r="F1654" s="3">
        <f t="shared" si="25"/>
        <v>77.790301255874013</v>
      </c>
      <c r="G1654">
        <v>80</v>
      </c>
    </row>
    <row r="1655" spans="1:7" x14ac:dyDescent="0.25">
      <c r="A1655">
        <v>18137</v>
      </c>
      <c r="B1655" t="s">
        <v>74</v>
      </c>
      <c r="C1655">
        <v>21</v>
      </c>
      <c r="D1655" s="3">
        <f>in_parking_demand_data_ver1!D1655*calibration!$I$31</f>
        <v>78.818778796516597</v>
      </c>
      <c r="E1655" s="3">
        <f>in_parking_demand_data_ver1!E1655*calibration!$I$31</f>
        <v>6.0773672856151517</v>
      </c>
      <c r="F1655" s="3">
        <f t="shared" si="25"/>
        <v>84.89614608213175</v>
      </c>
      <c r="G1655">
        <v>80</v>
      </c>
    </row>
    <row r="1656" spans="1:7" x14ac:dyDescent="0.25">
      <c r="A1656">
        <v>18137</v>
      </c>
      <c r="B1656" t="s">
        <v>74</v>
      </c>
      <c r="C1656">
        <v>22</v>
      </c>
      <c r="D1656" s="3">
        <f>in_parking_demand_data_ver1!D1656*calibration!$I$31</f>
        <v>83.867668541489138</v>
      </c>
      <c r="E1656" s="3">
        <f>in_parking_demand_data_ver1!E1656*calibration!$I$31</f>
        <v>6.4513591185760886</v>
      </c>
      <c r="F1656" s="3">
        <f t="shared" si="25"/>
        <v>90.319027660065231</v>
      </c>
      <c r="G1656">
        <v>80</v>
      </c>
    </row>
    <row r="1657" spans="1:7" x14ac:dyDescent="0.25">
      <c r="A1657">
        <v>18137</v>
      </c>
      <c r="B1657" t="s">
        <v>74</v>
      </c>
      <c r="C1657">
        <v>23</v>
      </c>
      <c r="D1657" s="3">
        <f>in_parking_demand_data_ver1!D1657*calibration!$I$31</f>
        <v>89.664541952383644</v>
      </c>
      <c r="E1657" s="3">
        <f>in_parking_demand_data_ver1!E1657*calibration!$I$31</f>
        <v>8.227820325140522</v>
      </c>
      <c r="F1657" s="3">
        <f t="shared" si="25"/>
        <v>97.892362277524171</v>
      </c>
      <c r="G1657">
        <v>80</v>
      </c>
    </row>
    <row r="1658" spans="1:7" x14ac:dyDescent="0.25">
      <c r="A1658">
        <v>18139</v>
      </c>
      <c r="B1658" t="s">
        <v>75</v>
      </c>
      <c r="C1658">
        <v>0</v>
      </c>
      <c r="D1658" s="3">
        <f>in_parking_demand_data_ver1!D1658*calibration!$I$31</f>
        <v>0</v>
      </c>
      <c r="E1658" s="3">
        <f>in_parking_demand_data_ver1!E1658*calibration!$I$31</f>
        <v>1.2476567704331369</v>
      </c>
      <c r="F1658" s="3">
        <f t="shared" si="25"/>
        <v>1.2476567704331369</v>
      </c>
      <c r="G1658">
        <v>15</v>
      </c>
    </row>
    <row r="1659" spans="1:7" x14ac:dyDescent="0.25">
      <c r="A1659">
        <v>18139</v>
      </c>
      <c r="B1659" t="s">
        <v>75</v>
      </c>
      <c r="C1659">
        <v>1</v>
      </c>
      <c r="D1659" s="3">
        <f>in_parking_demand_data_ver1!D1659*calibration!$I$31</f>
        <v>0</v>
      </c>
      <c r="E1659" s="3">
        <f>in_parking_demand_data_ver1!E1659*calibration!$I$31</f>
        <v>1.2476567704331369</v>
      </c>
      <c r="F1659" s="3">
        <f t="shared" si="25"/>
        <v>1.2476567704331369</v>
      </c>
      <c r="G1659">
        <v>15</v>
      </c>
    </row>
    <row r="1660" spans="1:7" x14ac:dyDescent="0.25">
      <c r="A1660">
        <v>18139</v>
      </c>
      <c r="B1660" t="s">
        <v>75</v>
      </c>
      <c r="C1660">
        <v>2</v>
      </c>
      <c r="D1660" s="3">
        <f>in_parking_demand_data_ver1!D1660*calibration!$I$31</f>
        <v>0.35647336298089577</v>
      </c>
      <c r="E1660" s="3">
        <f>in_parking_demand_data_ver1!E1660*calibration!$I$31</f>
        <v>0.77235895312527469</v>
      </c>
      <c r="F1660" s="3">
        <f t="shared" si="25"/>
        <v>1.1288323161061704</v>
      </c>
      <c r="G1660">
        <v>15</v>
      </c>
    </row>
    <row r="1661" spans="1:7" x14ac:dyDescent="0.25">
      <c r="A1661">
        <v>18139</v>
      </c>
      <c r="B1661" t="s">
        <v>75</v>
      </c>
      <c r="C1661">
        <v>3</v>
      </c>
      <c r="D1661" s="3">
        <f>in_parking_demand_data_ver1!D1661*calibration!$I$31</f>
        <v>0.71294672596179243</v>
      </c>
      <c r="E1661" s="3">
        <f>in_parking_demand_data_ver1!E1661*calibration!$I$31</f>
        <v>1.0694200889426839</v>
      </c>
      <c r="F1661" s="3">
        <f t="shared" si="25"/>
        <v>1.7823668149044765</v>
      </c>
      <c r="G1661">
        <v>15</v>
      </c>
    </row>
    <row r="1662" spans="1:7" x14ac:dyDescent="0.25">
      <c r="A1662">
        <v>18139</v>
      </c>
      <c r="B1662" t="s">
        <v>75</v>
      </c>
      <c r="C1662">
        <v>4</v>
      </c>
      <c r="D1662" s="3">
        <f>in_parking_demand_data_ver1!D1662*calibration!$I$31</f>
        <v>1.1288323161061655</v>
      </c>
      <c r="E1662" s="3">
        <f>in_parking_demand_data_ver1!E1662*calibration!$I$31</f>
        <v>1.1882445432696469</v>
      </c>
      <c r="F1662" s="3">
        <f t="shared" si="25"/>
        <v>2.3170768593758124</v>
      </c>
      <c r="G1662">
        <v>15</v>
      </c>
    </row>
    <row r="1663" spans="1:7" x14ac:dyDescent="0.25">
      <c r="A1663">
        <v>18139</v>
      </c>
      <c r="B1663" t="s">
        <v>75</v>
      </c>
      <c r="C1663">
        <v>5</v>
      </c>
      <c r="D1663" s="3">
        <f>in_parking_demand_data_ver1!D1663*calibration!$I$31</f>
        <v>3.445909175481995</v>
      </c>
      <c r="E1663" s="3">
        <f>in_parking_demand_data_ver1!E1663*calibration!$I$31</f>
        <v>1.0694200889426839</v>
      </c>
      <c r="F1663" s="3">
        <f t="shared" si="25"/>
        <v>4.515329264424679</v>
      </c>
      <c r="G1663">
        <v>15</v>
      </c>
    </row>
    <row r="1664" spans="1:7" x14ac:dyDescent="0.25">
      <c r="A1664">
        <v>18139</v>
      </c>
      <c r="B1664" t="s">
        <v>75</v>
      </c>
      <c r="C1664">
        <v>6</v>
      </c>
      <c r="D1664" s="3">
        <f>in_parking_demand_data_ver1!D1664*calibration!$I$31</f>
        <v>8.1394751213971261</v>
      </c>
      <c r="E1664" s="3">
        <f>in_parking_demand_data_ver1!E1664*calibration!$I$31</f>
        <v>1.4853056790870629</v>
      </c>
      <c r="F1664" s="3">
        <f t="shared" si="25"/>
        <v>9.6247808004841886</v>
      </c>
      <c r="G1664">
        <v>15</v>
      </c>
    </row>
    <row r="1665" spans="1:7" x14ac:dyDescent="0.25">
      <c r="A1665">
        <v>18139</v>
      </c>
      <c r="B1665" t="s">
        <v>75</v>
      </c>
      <c r="C1665">
        <v>7</v>
      </c>
      <c r="D1665" s="3">
        <f>in_parking_demand_data_ver1!D1665*calibration!$I$31</f>
        <v>4.2182681286072716</v>
      </c>
      <c r="E1665" s="3">
        <f>in_parking_demand_data_ver1!E1665*calibration!$I$31</f>
        <v>2.0200157235584051</v>
      </c>
      <c r="F1665" s="3">
        <f t="shared" si="25"/>
        <v>6.2382838521656767</v>
      </c>
      <c r="G1665">
        <v>15</v>
      </c>
    </row>
    <row r="1666" spans="1:7" x14ac:dyDescent="0.25">
      <c r="A1666">
        <v>18139</v>
      </c>
      <c r="B1666" t="s">
        <v>75</v>
      </c>
      <c r="C1666">
        <v>8</v>
      </c>
      <c r="D1666" s="3">
        <f>in_parking_demand_data_ver1!D1666*calibration!$I$31</f>
        <v>1.5447179062505443</v>
      </c>
      <c r="E1666" s="3">
        <f>in_parking_demand_data_ver1!E1666*calibration!$I$31</f>
        <v>1.8417790420679605</v>
      </c>
      <c r="F1666" s="3">
        <f t="shared" si="25"/>
        <v>3.3864969483185048</v>
      </c>
      <c r="G1666">
        <v>15</v>
      </c>
    </row>
    <row r="1667" spans="1:7" x14ac:dyDescent="0.25">
      <c r="A1667">
        <v>18139</v>
      </c>
      <c r="B1667" t="s">
        <v>75</v>
      </c>
      <c r="C1667">
        <v>9</v>
      </c>
      <c r="D1667" s="3">
        <f>in_parking_demand_data_ver1!D1667*calibration!$I$31</f>
        <v>0.89118340745223945</v>
      </c>
      <c r="E1667" s="3">
        <f>in_parking_demand_data_ver1!E1667*calibration!$I$31</f>
        <v>1.6041301334140261</v>
      </c>
      <c r="F1667" s="3">
        <f t="shared" ref="F1667:F1730" si="26">SUM(D1667:E1667)</f>
        <v>2.4953135408662654</v>
      </c>
      <c r="G1667">
        <v>15</v>
      </c>
    </row>
    <row r="1668" spans="1:7" x14ac:dyDescent="0.25">
      <c r="A1668">
        <v>18139</v>
      </c>
      <c r="B1668" t="s">
        <v>75</v>
      </c>
      <c r="C1668">
        <v>10</v>
      </c>
      <c r="D1668" s="3">
        <f>in_parking_demand_data_ver1!D1668*calibration!$I$31</f>
        <v>0.53471004447134374</v>
      </c>
      <c r="E1668" s="3">
        <f>in_parking_demand_data_ver1!E1668*calibration!$I$31</f>
        <v>2.5547257680297553</v>
      </c>
      <c r="F1668" s="3">
        <f t="shared" si="26"/>
        <v>3.0894358125010992</v>
      </c>
      <c r="G1668">
        <v>15</v>
      </c>
    </row>
    <row r="1669" spans="1:7" x14ac:dyDescent="0.25">
      <c r="A1669">
        <v>18139</v>
      </c>
      <c r="B1669" t="s">
        <v>75</v>
      </c>
      <c r="C1669">
        <v>11</v>
      </c>
      <c r="D1669" s="3">
        <f>in_parking_demand_data_ver1!D1669*calibration!$I$31</f>
        <v>0.47529781730786136</v>
      </c>
      <c r="E1669" s="3">
        <f>in_parking_demand_data_ver1!E1669*calibration!$I$31</f>
        <v>2.9706113581741342</v>
      </c>
      <c r="F1669" s="3">
        <f t="shared" si="26"/>
        <v>3.4459091754819955</v>
      </c>
      <c r="G1669">
        <v>15</v>
      </c>
    </row>
    <row r="1670" spans="1:7" x14ac:dyDescent="0.25">
      <c r="A1670">
        <v>18139</v>
      </c>
      <c r="B1670" t="s">
        <v>75</v>
      </c>
      <c r="C1670">
        <v>12</v>
      </c>
      <c r="D1670" s="3">
        <f>in_parking_demand_data_ver1!D1670*calibration!$I$31</f>
        <v>0.53471004447134374</v>
      </c>
      <c r="E1670" s="3">
        <f>in_parking_demand_data_ver1!E1670*calibration!$I$31</f>
        <v>1.7229545877409975</v>
      </c>
      <c r="F1670" s="3">
        <f t="shared" si="26"/>
        <v>2.2576646322123413</v>
      </c>
      <c r="G1670">
        <v>15</v>
      </c>
    </row>
    <row r="1671" spans="1:7" x14ac:dyDescent="0.25">
      <c r="A1671">
        <v>18139</v>
      </c>
      <c r="B1671" t="s">
        <v>75</v>
      </c>
      <c r="C1671">
        <v>13</v>
      </c>
      <c r="D1671" s="3">
        <f>in_parking_demand_data_ver1!D1671*calibration!$I$31</f>
        <v>0.35647336298089577</v>
      </c>
      <c r="E1671" s="3">
        <f>in_parking_demand_data_ver1!E1671*calibration!$I$31</f>
        <v>1.3664812247600999</v>
      </c>
      <c r="F1671" s="3">
        <f t="shared" si="26"/>
        <v>1.7229545877409957</v>
      </c>
      <c r="G1671">
        <v>15</v>
      </c>
    </row>
    <row r="1672" spans="1:7" x14ac:dyDescent="0.25">
      <c r="A1672">
        <v>18139</v>
      </c>
      <c r="B1672" t="s">
        <v>75</v>
      </c>
      <c r="C1672">
        <v>14</v>
      </c>
      <c r="D1672" s="3">
        <f>in_parking_demand_data_ver1!D1672*calibration!$I$31</f>
        <v>0</v>
      </c>
      <c r="E1672" s="3">
        <f>in_parking_demand_data_ver1!E1672*calibration!$I$31</f>
        <v>0.71294672596179243</v>
      </c>
      <c r="F1672" s="3">
        <f t="shared" si="26"/>
        <v>0.71294672596179243</v>
      </c>
      <c r="G1672">
        <v>15</v>
      </c>
    </row>
    <row r="1673" spans="1:7" x14ac:dyDescent="0.25">
      <c r="A1673">
        <v>18139</v>
      </c>
      <c r="B1673" t="s">
        <v>75</v>
      </c>
      <c r="C1673">
        <v>15</v>
      </c>
      <c r="D1673" s="3">
        <f>in_parking_demand_data_ver1!D1673*calibration!$I$31</f>
        <v>0</v>
      </c>
      <c r="E1673" s="3">
        <f>in_parking_demand_data_ver1!E1673*calibration!$I$31</f>
        <v>0.53471004447134374</v>
      </c>
      <c r="F1673" s="3">
        <f t="shared" si="26"/>
        <v>0.53471004447134374</v>
      </c>
      <c r="G1673">
        <v>15</v>
      </c>
    </row>
    <row r="1674" spans="1:7" x14ac:dyDescent="0.25">
      <c r="A1674">
        <v>18139</v>
      </c>
      <c r="B1674" t="s">
        <v>75</v>
      </c>
      <c r="C1674">
        <v>16</v>
      </c>
      <c r="D1674" s="3">
        <f>in_parking_demand_data_ver1!D1674*calibration!$I$31</f>
        <v>0</v>
      </c>
      <c r="E1674" s="3">
        <f>in_parking_demand_data_ver1!E1674*calibration!$I$31</f>
        <v>0.47529781730786136</v>
      </c>
      <c r="F1674" s="3">
        <f t="shared" si="26"/>
        <v>0.47529781730786136</v>
      </c>
      <c r="G1674">
        <v>15</v>
      </c>
    </row>
    <row r="1675" spans="1:7" x14ac:dyDescent="0.25">
      <c r="A1675">
        <v>18139</v>
      </c>
      <c r="B1675" t="s">
        <v>75</v>
      </c>
      <c r="C1675">
        <v>17</v>
      </c>
      <c r="D1675" s="3">
        <f>in_parking_demand_data_ver1!D1675*calibration!$I$31</f>
        <v>0.29706113581741345</v>
      </c>
      <c r="E1675" s="3">
        <f>in_parking_demand_data_ver1!E1675*calibration!$I$31</f>
        <v>0.77235895312527469</v>
      </c>
      <c r="F1675" s="3">
        <f t="shared" si="26"/>
        <v>1.0694200889426881</v>
      </c>
      <c r="G1675">
        <v>15</v>
      </c>
    </row>
    <row r="1676" spans="1:7" x14ac:dyDescent="0.25">
      <c r="A1676">
        <v>18139</v>
      </c>
      <c r="B1676" t="s">
        <v>75</v>
      </c>
      <c r="C1676">
        <v>18</v>
      </c>
      <c r="D1676" s="3">
        <f>in_parking_demand_data_ver1!D1676*calibration!$I$31</f>
        <v>0</v>
      </c>
      <c r="E1676" s="3">
        <f>in_parking_demand_data_ver1!E1676*calibration!$I$31</f>
        <v>0.47529781730786136</v>
      </c>
      <c r="F1676" s="3">
        <f t="shared" si="26"/>
        <v>0.47529781730786136</v>
      </c>
      <c r="G1676">
        <v>15</v>
      </c>
    </row>
    <row r="1677" spans="1:7" x14ac:dyDescent="0.25">
      <c r="A1677">
        <v>18139</v>
      </c>
      <c r="B1677" t="s">
        <v>75</v>
      </c>
      <c r="C1677">
        <v>19</v>
      </c>
      <c r="D1677" s="3">
        <f>in_parking_demand_data_ver1!D1677*calibration!$I$31</f>
        <v>0</v>
      </c>
      <c r="E1677" s="3">
        <f>in_parking_demand_data_ver1!E1677*calibration!$I$31</f>
        <v>0.71294672596179243</v>
      </c>
      <c r="F1677" s="3">
        <f t="shared" si="26"/>
        <v>0.71294672596179243</v>
      </c>
      <c r="G1677">
        <v>15</v>
      </c>
    </row>
    <row r="1678" spans="1:7" x14ac:dyDescent="0.25">
      <c r="A1678">
        <v>18139</v>
      </c>
      <c r="B1678" t="s">
        <v>75</v>
      </c>
      <c r="C1678">
        <v>20</v>
      </c>
      <c r="D1678" s="3">
        <f>in_parking_demand_data_ver1!D1678*calibration!$I$31</f>
        <v>0</v>
      </c>
      <c r="E1678" s="3">
        <f>in_parking_demand_data_ver1!E1678*calibration!$I$31</f>
        <v>0.71294672596179243</v>
      </c>
      <c r="F1678" s="3">
        <f t="shared" si="26"/>
        <v>0.71294672596179243</v>
      </c>
      <c r="G1678">
        <v>15</v>
      </c>
    </row>
    <row r="1679" spans="1:7" x14ac:dyDescent="0.25">
      <c r="A1679">
        <v>18139</v>
      </c>
      <c r="B1679" t="s">
        <v>75</v>
      </c>
      <c r="C1679">
        <v>21</v>
      </c>
      <c r="D1679" s="3">
        <f>in_parking_demand_data_ver1!D1679*calibration!$I$31</f>
        <v>0.29706113581741345</v>
      </c>
      <c r="E1679" s="3">
        <f>in_parking_demand_data_ver1!E1679*calibration!$I$31</f>
        <v>1.1288323161061655</v>
      </c>
      <c r="F1679" s="3">
        <f t="shared" si="26"/>
        <v>1.4258934519235789</v>
      </c>
      <c r="G1679">
        <v>15</v>
      </c>
    </row>
    <row r="1680" spans="1:7" x14ac:dyDescent="0.25">
      <c r="A1680">
        <v>18139</v>
      </c>
      <c r="B1680" t="s">
        <v>75</v>
      </c>
      <c r="C1680">
        <v>22</v>
      </c>
      <c r="D1680" s="3">
        <f>in_parking_demand_data_ver1!D1680*calibration!$I$31</f>
        <v>0.23764890865393024</v>
      </c>
      <c r="E1680" s="3">
        <f>in_parking_demand_data_ver1!E1680*calibration!$I$31</f>
        <v>1.1288323161061655</v>
      </c>
      <c r="F1680" s="3">
        <f t="shared" si="26"/>
        <v>1.3664812247600957</v>
      </c>
      <c r="G1680">
        <v>15</v>
      </c>
    </row>
    <row r="1681" spans="1:7" x14ac:dyDescent="0.25">
      <c r="A1681">
        <v>18139</v>
      </c>
      <c r="B1681" t="s">
        <v>75</v>
      </c>
      <c r="C1681">
        <v>23</v>
      </c>
      <c r="D1681" s="3">
        <f>in_parking_demand_data_ver1!D1681*calibration!$I$31</f>
        <v>0</v>
      </c>
      <c r="E1681" s="3">
        <f>in_parking_demand_data_ver1!E1681*calibration!$I$31</f>
        <v>1.1882445432696469</v>
      </c>
      <c r="F1681" s="3">
        <f t="shared" si="26"/>
        <v>1.1882445432696469</v>
      </c>
      <c r="G1681">
        <v>15</v>
      </c>
    </row>
    <row r="1682" spans="1:7" x14ac:dyDescent="0.25">
      <c r="A1682">
        <v>18141</v>
      </c>
      <c r="B1682" t="s">
        <v>76</v>
      </c>
      <c r="C1682">
        <v>0</v>
      </c>
      <c r="D1682" s="3">
        <f>in_parking_demand_data_ver1!D1682*calibration!$I$31</f>
        <v>66.166789074159624</v>
      </c>
      <c r="E1682" s="3">
        <f>in_parking_demand_data_ver1!E1682*calibration!$I$31</f>
        <v>9.1898318158554648</v>
      </c>
      <c r="F1682" s="3">
        <f t="shared" si="26"/>
        <v>75.356620890015094</v>
      </c>
      <c r="G1682">
        <v>70</v>
      </c>
    </row>
    <row r="1683" spans="1:7" x14ac:dyDescent="0.25">
      <c r="A1683">
        <v>18141</v>
      </c>
      <c r="B1683" t="s">
        <v>76</v>
      </c>
      <c r="C1683">
        <v>1</v>
      </c>
      <c r="D1683" s="3">
        <f>in_parking_demand_data_ver1!D1683*calibration!$I$31</f>
        <v>66.271815723483712</v>
      </c>
      <c r="E1683" s="3">
        <f>in_parking_demand_data_ver1!E1683*calibration!$I$31</f>
        <v>9.1898318158554648</v>
      </c>
      <c r="F1683" s="3">
        <f t="shared" si="26"/>
        <v>75.461647539339182</v>
      </c>
      <c r="G1683">
        <v>70</v>
      </c>
    </row>
    <row r="1684" spans="1:7" x14ac:dyDescent="0.25">
      <c r="A1684">
        <v>18141</v>
      </c>
      <c r="B1684" t="s">
        <v>76</v>
      </c>
      <c r="C1684">
        <v>2</v>
      </c>
      <c r="D1684" s="3">
        <f>in_parking_demand_data_ver1!D1684*calibration!$I$31</f>
        <v>64.486362684974608</v>
      </c>
      <c r="E1684" s="3">
        <f>in_parking_demand_data_ver1!E1684*calibration!$I$31</f>
        <v>8.7697252185592536</v>
      </c>
      <c r="F1684" s="3">
        <f t="shared" si="26"/>
        <v>73.256087903533867</v>
      </c>
      <c r="G1684">
        <v>70</v>
      </c>
    </row>
    <row r="1685" spans="1:7" x14ac:dyDescent="0.25">
      <c r="A1685">
        <v>18141</v>
      </c>
      <c r="B1685" t="s">
        <v>76</v>
      </c>
      <c r="C1685">
        <v>3</v>
      </c>
      <c r="D1685" s="3">
        <f>in_parking_demand_data_ver1!D1685*calibration!$I$31</f>
        <v>62.280803049169293</v>
      </c>
      <c r="E1685" s="3">
        <f>in_parking_demand_data_ver1!E1685*calibration!$I$31</f>
        <v>10.135071659772066</v>
      </c>
      <c r="F1685" s="3">
        <f t="shared" si="26"/>
        <v>72.415874708941359</v>
      </c>
      <c r="G1685">
        <v>70</v>
      </c>
    </row>
    <row r="1686" spans="1:7" x14ac:dyDescent="0.25">
      <c r="A1686">
        <v>18141</v>
      </c>
      <c r="B1686" t="s">
        <v>76</v>
      </c>
      <c r="C1686">
        <v>4</v>
      </c>
      <c r="D1686" s="3">
        <f>in_parking_demand_data_ver1!D1686*calibration!$I$31</f>
        <v>60.862943283294477</v>
      </c>
      <c r="E1686" s="3">
        <f>in_parking_demand_data_ver1!E1686*calibration!$I$31</f>
        <v>13.390897788817989</v>
      </c>
      <c r="F1686" s="3">
        <f t="shared" si="26"/>
        <v>74.253841072112465</v>
      </c>
      <c r="G1686">
        <v>70</v>
      </c>
    </row>
    <row r="1687" spans="1:7" x14ac:dyDescent="0.25">
      <c r="A1687">
        <v>18141</v>
      </c>
      <c r="B1687" t="s">
        <v>76</v>
      </c>
      <c r="C1687">
        <v>5</v>
      </c>
      <c r="D1687" s="3">
        <f>in_parking_demand_data_ver1!D1687*calibration!$I$31</f>
        <v>57.239523881614261</v>
      </c>
      <c r="E1687" s="3">
        <f>in_parking_demand_data_ver1!E1687*calibration!$I$31</f>
        <v>16.016564021919599</v>
      </c>
      <c r="F1687" s="3">
        <f t="shared" si="26"/>
        <v>73.256087903533853</v>
      </c>
      <c r="G1687">
        <v>70</v>
      </c>
    </row>
    <row r="1688" spans="1:7" x14ac:dyDescent="0.25">
      <c r="A1688">
        <v>18141</v>
      </c>
      <c r="B1688" t="s">
        <v>76</v>
      </c>
      <c r="C1688">
        <v>6</v>
      </c>
      <c r="D1688" s="3">
        <f>in_parking_demand_data_ver1!D1688*calibration!$I$31</f>
        <v>55.244017544457044</v>
      </c>
      <c r="E1688" s="3">
        <f>in_parking_demand_data_ver1!E1688*calibration!$I$31</f>
        <v>26.361688980339771</v>
      </c>
      <c r="F1688" s="3">
        <f t="shared" si="26"/>
        <v>81.605706524796815</v>
      </c>
      <c r="G1688">
        <v>70</v>
      </c>
    </row>
    <row r="1689" spans="1:7" x14ac:dyDescent="0.25">
      <c r="A1689">
        <v>18141</v>
      </c>
      <c r="B1689" t="s">
        <v>76</v>
      </c>
      <c r="C1689">
        <v>7</v>
      </c>
      <c r="D1689" s="3">
        <f>in_parking_demand_data_ver1!D1689*calibration!$I$31</f>
        <v>48.522311987717011</v>
      </c>
      <c r="E1689" s="3">
        <f>in_parking_demand_data_ver1!E1689*calibration!$I$31</f>
        <v>42.535792976245467</v>
      </c>
      <c r="F1689" s="3">
        <f t="shared" si="26"/>
        <v>91.058104963962478</v>
      </c>
      <c r="G1689">
        <v>70</v>
      </c>
    </row>
    <row r="1690" spans="1:7" x14ac:dyDescent="0.25">
      <c r="A1690">
        <v>18141</v>
      </c>
      <c r="B1690" t="s">
        <v>76</v>
      </c>
      <c r="C1690">
        <v>8</v>
      </c>
      <c r="D1690" s="3">
        <f>in_parking_demand_data_ver1!D1690*calibration!$I$31</f>
        <v>41.485526483004861</v>
      </c>
      <c r="E1690" s="3">
        <f>in_parking_demand_data_ver1!E1690*calibration!$I$31</f>
        <v>41.643066456990958</v>
      </c>
      <c r="F1690" s="3">
        <f t="shared" si="26"/>
        <v>83.128592939995826</v>
      </c>
      <c r="G1690">
        <v>70</v>
      </c>
    </row>
    <row r="1691" spans="1:7" x14ac:dyDescent="0.25">
      <c r="A1691">
        <v>18141</v>
      </c>
      <c r="B1691" t="s">
        <v>76</v>
      </c>
      <c r="C1691">
        <v>9</v>
      </c>
      <c r="D1691" s="3">
        <f>in_parking_demand_data_ver1!D1691*calibration!$I$31</f>
        <v>38.334727003282943</v>
      </c>
      <c r="E1691" s="3">
        <f>in_parking_demand_data_ver1!E1691*calibration!$I$31</f>
        <v>41.905633080301072</v>
      </c>
      <c r="F1691" s="3">
        <f t="shared" si="26"/>
        <v>80.240360083584022</v>
      </c>
      <c r="G1691">
        <v>70</v>
      </c>
    </row>
    <row r="1692" spans="1:7" x14ac:dyDescent="0.25">
      <c r="A1692">
        <v>18141</v>
      </c>
      <c r="B1692" t="s">
        <v>76</v>
      </c>
      <c r="C1692">
        <v>10</v>
      </c>
      <c r="D1692" s="3">
        <f>in_parking_demand_data_ver1!D1692*calibration!$I$31</f>
        <v>36.129167367477628</v>
      </c>
      <c r="E1692" s="3">
        <f>in_parking_demand_data_ver1!E1692*calibration!$I$31</f>
        <v>46.10669905326359</v>
      </c>
      <c r="F1692" s="3">
        <f t="shared" si="26"/>
        <v>82.235866420741218</v>
      </c>
      <c r="G1692">
        <v>70</v>
      </c>
    </row>
    <row r="1693" spans="1:7" x14ac:dyDescent="0.25">
      <c r="A1693">
        <v>18141</v>
      </c>
      <c r="B1693" t="s">
        <v>76</v>
      </c>
      <c r="C1693">
        <v>11</v>
      </c>
      <c r="D1693" s="3">
        <f>in_parking_demand_data_ver1!D1693*calibration!$I$31</f>
        <v>33.030881212417803</v>
      </c>
      <c r="E1693" s="3">
        <f>in_parking_demand_data_ver1!E1693*calibration!$I$31</f>
        <v>44.583812638064686</v>
      </c>
      <c r="F1693" s="3">
        <f t="shared" si="26"/>
        <v>77.614693850482496</v>
      </c>
      <c r="G1693">
        <v>70</v>
      </c>
    </row>
    <row r="1694" spans="1:7" x14ac:dyDescent="0.25">
      <c r="A1694">
        <v>18141</v>
      </c>
      <c r="B1694" t="s">
        <v>76</v>
      </c>
      <c r="C1694">
        <v>12</v>
      </c>
      <c r="D1694" s="3">
        <f>in_parking_demand_data_ver1!D1694*calibration!$I$31</f>
        <v>31.665534771204911</v>
      </c>
      <c r="E1694" s="3">
        <f>in_parking_demand_data_ver1!E1694*calibration!$I$31</f>
        <v>44.268732690092484</v>
      </c>
      <c r="F1694" s="3">
        <f t="shared" si="26"/>
        <v>75.934267461297395</v>
      </c>
      <c r="G1694">
        <v>70</v>
      </c>
    </row>
    <row r="1695" spans="1:7" x14ac:dyDescent="0.25">
      <c r="A1695">
        <v>18141</v>
      </c>
      <c r="B1695" t="s">
        <v>76</v>
      </c>
      <c r="C1695">
        <v>13</v>
      </c>
      <c r="D1695" s="3">
        <f>in_parking_demand_data_ver1!D1695*calibration!$I$31</f>
        <v>34.133661030320418</v>
      </c>
      <c r="E1695" s="3">
        <f>in_parking_demand_data_ver1!E1695*calibration!$I$31</f>
        <v>30.667781602626388</v>
      </c>
      <c r="F1695" s="3">
        <f t="shared" si="26"/>
        <v>64.801442632946802</v>
      </c>
      <c r="G1695">
        <v>70</v>
      </c>
    </row>
    <row r="1696" spans="1:7" x14ac:dyDescent="0.25">
      <c r="A1696">
        <v>18141</v>
      </c>
      <c r="B1696" t="s">
        <v>76</v>
      </c>
      <c r="C1696">
        <v>14</v>
      </c>
      <c r="D1696" s="3">
        <f>in_parking_demand_data_ver1!D1696*calibration!$I$31</f>
        <v>37.074407211394231</v>
      </c>
      <c r="E1696" s="3">
        <f>in_parking_demand_data_ver1!E1696*calibration!$I$31</f>
        <v>22.895809552645655</v>
      </c>
      <c r="F1696" s="3">
        <f t="shared" si="26"/>
        <v>59.97021676403989</v>
      </c>
      <c r="G1696">
        <v>70</v>
      </c>
    </row>
    <row r="1697" spans="1:7" x14ac:dyDescent="0.25">
      <c r="A1697">
        <v>18141</v>
      </c>
      <c r="B1697" t="s">
        <v>76</v>
      </c>
      <c r="C1697">
        <v>15</v>
      </c>
      <c r="D1697" s="3">
        <f>in_parking_demand_data_ver1!D1697*calibration!$I$31</f>
        <v>41.905633080301072</v>
      </c>
      <c r="E1697" s="3">
        <f>in_parking_demand_data_ver1!E1697*calibration!$I$31</f>
        <v>19.219876826303519</v>
      </c>
      <c r="F1697" s="3">
        <f t="shared" si="26"/>
        <v>61.125509906604591</v>
      </c>
      <c r="G1697">
        <v>70</v>
      </c>
    </row>
    <row r="1698" spans="1:7" x14ac:dyDescent="0.25">
      <c r="A1698">
        <v>18141</v>
      </c>
      <c r="B1698" t="s">
        <v>76</v>
      </c>
      <c r="C1698">
        <v>16</v>
      </c>
      <c r="D1698" s="3">
        <f>in_parking_demand_data_ver1!D1698*calibration!$I$31</f>
        <v>48.259745364406903</v>
      </c>
      <c r="E1698" s="3">
        <f>in_parking_demand_data_ver1!E1698*calibration!$I$31</f>
        <v>13.705977736790189</v>
      </c>
      <c r="F1698" s="3">
        <f t="shared" si="26"/>
        <v>61.965723101197092</v>
      </c>
      <c r="G1698">
        <v>70</v>
      </c>
    </row>
    <row r="1699" spans="1:7" x14ac:dyDescent="0.25">
      <c r="A1699">
        <v>18141</v>
      </c>
      <c r="B1699" t="s">
        <v>76</v>
      </c>
      <c r="C1699">
        <v>17</v>
      </c>
      <c r="D1699" s="3">
        <f>in_parking_demand_data_ver1!D1699*calibration!$I$31</f>
        <v>54.456317674526638</v>
      </c>
      <c r="E1699" s="3">
        <f>in_parking_demand_data_ver1!E1699*calibration!$I$31</f>
        <v>11.447904776322785</v>
      </c>
      <c r="F1699" s="3">
        <f t="shared" si="26"/>
        <v>65.904222450849417</v>
      </c>
      <c r="G1699">
        <v>70</v>
      </c>
    </row>
    <row r="1700" spans="1:7" x14ac:dyDescent="0.25">
      <c r="A1700">
        <v>18141</v>
      </c>
      <c r="B1700" t="s">
        <v>76</v>
      </c>
      <c r="C1700">
        <v>18</v>
      </c>
      <c r="D1700" s="3">
        <f>in_parking_demand_data_ver1!D1700*calibration!$I$31</f>
        <v>58.604870322827068</v>
      </c>
      <c r="E1700" s="3">
        <f>in_parking_demand_data_ver1!E1700*calibration!$I$31</f>
        <v>5.6714390634993963</v>
      </c>
      <c r="F1700" s="3">
        <f t="shared" si="26"/>
        <v>64.27630938632646</v>
      </c>
      <c r="G1700">
        <v>70</v>
      </c>
    </row>
    <row r="1701" spans="1:7" x14ac:dyDescent="0.25">
      <c r="A1701">
        <v>18141</v>
      </c>
      <c r="B1701" t="s">
        <v>76</v>
      </c>
      <c r="C1701">
        <v>19</v>
      </c>
      <c r="D1701" s="3">
        <f>in_parking_demand_data_ver1!D1701*calibration!$I$31</f>
        <v>62.070749750521195</v>
      </c>
      <c r="E1701" s="3">
        <f>in_parking_demand_data_ver1!E1701*calibration!$I$31</f>
        <v>5.9340056868095568</v>
      </c>
      <c r="F1701" s="3">
        <f t="shared" si="26"/>
        <v>68.004755437330758</v>
      </c>
      <c r="G1701">
        <v>70</v>
      </c>
    </row>
    <row r="1702" spans="1:7" x14ac:dyDescent="0.25">
      <c r="A1702">
        <v>18141</v>
      </c>
      <c r="B1702" t="s">
        <v>76</v>
      </c>
      <c r="C1702">
        <v>20</v>
      </c>
      <c r="D1702" s="3">
        <f>in_parking_demand_data_ver1!D1702*calibration!$I$31</f>
        <v>64.958982606932906</v>
      </c>
      <c r="E1702" s="3">
        <f>in_parking_demand_data_ver1!E1702*calibration!$I$31</f>
        <v>10.660204906392369</v>
      </c>
      <c r="F1702" s="3">
        <f t="shared" si="26"/>
        <v>75.619187513325272</v>
      </c>
      <c r="G1702">
        <v>70</v>
      </c>
    </row>
    <row r="1703" spans="1:7" x14ac:dyDescent="0.25">
      <c r="A1703">
        <v>18141</v>
      </c>
      <c r="B1703" t="s">
        <v>76</v>
      </c>
      <c r="C1703">
        <v>21</v>
      </c>
      <c r="D1703" s="3">
        <f>in_parking_demand_data_ver1!D1703*calibration!$I$31</f>
        <v>66.166789074159624</v>
      </c>
      <c r="E1703" s="3">
        <f>in_parking_demand_data_ver1!E1703*calibration!$I$31</f>
        <v>11.605444750308886</v>
      </c>
      <c r="F1703" s="3">
        <f t="shared" si="26"/>
        <v>77.772233824468515</v>
      </c>
      <c r="G1703">
        <v>70</v>
      </c>
    </row>
    <row r="1704" spans="1:7" x14ac:dyDescent="0.25">
      <c r="A1704">
        <v>18141</v>
      </c>
      <c r="B1704" t="s">
        <v>76</v>
      </c>
      <c r="C1704">
        <v>22</v>
      </c>
      <c r="D1704" s="3">
        <f>in_parking_demand_data_ver1!D1704*calibration!$I$31</f>
        <v>67.742188814020608</v>
      </c>
      <c r="E1704" s="3">
        <f>in_parking_demand_data_ver1!E1704*calibration!$I$31</f>
        <v>6.9842721800501844</v>
      </c>
      <c r="F1704" s="3">
        <f t="shared" si="26"/>
        <v>74.726460994070791</v>
      </c>
      <c r="G1704">
        <v>70</v>
      </c>
    </row>
    <row r="1705" spans="1:7" x14ac:dyDescent="0.25">
      <c r="A1705">
        <v>18141</v>
      </c>
      <c r="B1705" t="s">
        <v>76</v>
      </c>
      <c r="C1705">
        <v>23</v>
      </c>
      <c r="D1705" s="3">
        <f>in_parking_demand_data_ver1!D1705*calibration!$I$31</f>
        <v>68.267322060640922</v>
      </c>
      <c r="E1705" s="3">
        <f>in_parking_demand_data_ver1!E1705*calibration!$I$31</f>
        <v>8.2445919719389416</v>
      </c>
      <c r="F1705" s="3">
        <f t="shared" si="26"/>
        <v>76.511914032579867</v>
      </c>
      <c r="G1705">
        <v>70</v>
      </c>
    </row>
    <row r="1706" spans="1:7" x14ac:dyDescent="0.25">
      <c r="A1706">
        <v>18143</v>
      </c>
      <c r="B1706" t="s">
        <v>77</v>
      </c>
      <c r="C1706">
        <v>0</v>
      </c>
      <c r="D1706" s="3">
        <f>in_parking_demand_data_ver1!D1706*calibration!$I$31</f>
        <v>9.1356308227009748</v>
      </c>
      <c r="E1706" s="3">
        <f>in_parking_demand_data_ver1!E1706*calibration!$I$31</f>
        <v>1.1202253440098475</v>
      </c>
      <c r="F1706" s="3">
        <f t="shared" si="26"/>
        <v>10.255856166710823</v>
      </c>
      <c r="G1706">
        <v>20</v>
      </c>
    </row>
    <row r="1707" spans="1:7" x14ac:dyDescent="0.25">
      <c r="A1707">
        <v>18143</v>
      </c>
      <c r="B1707" t="s">
        <v>77</v>
      </c>
      <c r="C1707">
        <v>1</v>
      </c>
      <c r="D1707" s="3">
        <f>in_parking_demand_data_ver1!D1707*calibration!$I$31</f>
        <v>9.2128877429775251</v>
      </c>
      <c r="E1707" s="3">
        <f>in_parking_demand_data_ver1!E1707*calibration!$I$31</f>
        <v>0.92708304331848956</v>
      </c>
      <c r="F1707" s="3">
        <f t="shared" si="26"/>
        <v>10.139970786296015</v>
      </c>
      <c r="G1707">
        <v>20</v>
      </c>
    </row>
    <row r="1708" spans="1:7" x14ac:dyDescent="0.25">
      <c r="A1708">
        <v>18143</v>
      </c>
      <c r="B1708" t="s">
        <v>77</v>
      </c>
      <c r="C1708">
        <v>2</v>
      </c>
      <c r="D1708" s="3">
        <f>in_parking_demand_data_ver1!D1708*calibration!$I$31</f>
        <v>9.2322019730466209</v>
      </c>
      <c r="E1708" s="3">
        <f>in_parking_demand_data_ver1!E1708*calibration!$I$31</f>
        <v>1.1202253440098475</v>
      </c>
      <c r="F1708" s="3">
        <f t="shared" si="26"/>
        <v>10.352427317056469</v>
      </c>
      <c r="G1708">
        <v>20</v>
      </c>
    </row>
    <row r="1709" spans="1:7" x14ac:dyDescent="0.25">
      <c r="A1709">
        <v>18143</v>
      </c>
      <c r="B1709" t="s">
        <v>77</v>
      </c>
      <c r="C1709">
        <v>3</v>
      </c>
      <c r="D1709" s="3">
        <f>in_parking_demand_data_ver1!D1709*calibration!$I$31</f>
        <v>9.5026011940145452</v>
      </c>
      <c r="E1709" s="3">
        <f>in_parking_demand_data_ver1!E1709*calibration!$I$31</f>
        <v>1.1395395740789764</v>
      </c>
      <c r="F1709" s="3">
        <f t="shared" si="26"/>
        <v>10.642140768093522</v>
      </c>
      <c r="G1709">
        <v>20</v>
      </c>
    </row>
    <row r="1710" spans="1:7" x14ac:dyDescent="0.25">
      <c r="A1710">
        <v>18143</v>
      </c>
      <c r="B1710" t="s">
        <v>77</v>
      </c>
      <c r="C1710">
        <v>4</v>
      </c>
      <c r="D1710" s="3">
        <f>in_parking_demand_data_ver1!D1710*calibration!$I$31</f>
        <v>9.6764292646367398</v>
      </c>
      <c r="E1710" s="3">
        <f>in_parking_demand_data_ver1!E1710*calibration!$I$31</f>
        <v>1.4485672551851423</v>
      </c>
      <c r="F1710" s="3">
        <f t="shared" si="26"/>
        <v>11.124996519821883</v>
      </c>
      <c r="G1710">
        <v>20</v>
      </c>
    </row>
    <row r="1711" spans="1:7" x14ac:dyDescent="0.25">
      <c r="A1711">
        <v>18143</v>
      </c>
      <c r="B1711" t="s">
        <v>77</v>
      </c>
      <c r="C1711">
        <v>5</v>
      </c>
      <c r="D1711" s="3">
        <f>in_parking_demand_data_ver1!D1711*calibration!$I$31</f>
        <v>9.6184865744293688</v>
      </c>
      <c r="E1711" s="3">
        <f>in_parking_demand_data_ver1!E1711*calibration!$I$31</f>
        <v>1.4292530251160049</v>
      </c>
      <c r="F1711" s="3">
        <f t="shared" si="26"/>
        <v>11.047739599545373</v>
      </c>
      <c r="G1711">
        <v>20</v>
      </c>
    </row>
    <row r="1712" spans="1:7" x14ac:dyDescent="0.25">
      <c r="A1712">
        <v>18143</v>
      </c>
      <c r="B1712" t="s">
        <v>77</v>
      </c>
      <c r="C1712">
        <v>6</v>
      </c>
      <c r="D1712" s="3">
        <f>in_parking_demand_data_ver1!D1712*calibration!$I$31</f>
        <v>8.440318540212127</v>
      </c>
      <c r="E1712" s="3">
        <f>in_parking_demand_data_ver1!E1712*calibration!$I$31</f>
        <v>1.3133676447011968</v>
      </c>
      <c r="F1712" s="3">
        <f t="shared" si="26"/>
        <v>9.7536861849133238</v>
      </c>
      <c r="G1712">
        <v>20</v>
      </c>
    </row>
    <row r="1713" spans="1:7" x14ac:dyDescent="0.25">
      <c r="A1713">
        <v>18143</v>
      </c>
      <c r="B1713" t="s">
        <v>77</v>
      </c>
      <c r="C1713">
        <v>7</v>
      </c>
      <c r="D1713" s="3">
        <f>in_parking_demand_data_ver1!D1713*calibration!$I$31</f>
        <v>6.180553622123294</v>
      </c>
      <c r="E1713" s="3">
        <f>in_parking_demand_data_ver1!E1713*calibration!$I$31</f>
        <v>2.0859368474666118</v>
      </c>
      <c r="F1713" s="3">
        <f t="shared" si="26"/>
        <v>8.2664904695899057</v>
      </c>
      <c r="G1713">
        <v>20</v>
      </c>
    </row>
    <row r="1714" spans="1:7" x14ac:dyDescent="0.25">
      <c r="A1714">
        <v>18143</v>
      </c>
      <c r="B1714" t="s">
        <v>77</v>
      </c>
      <c r="C1714">
        <v>8</v>
      </c>
      <c r="D1714" s="3">
        <f>in_parking_demand_data_ver1!D1714*calibration!$I$31</f>
        <v>5.2727848088739337</v>
      </c>
      <c r="E1714" s="3">
        <f>in_parking_demand_data_ver1!E1714*calibration!$I$31</f>
        <v>2.7426206698172106</v>
      </c>
      <c r="F1714" s="3">
        <f t="shared" si="26"/>
        <v>8.0154054786911448</v>
      </c>
      <c r="G1714">
        <v>20</v>
      </c>
    </row>
    <row r="1715" spans="1:7" x14ac:dyDescent="0.25">
      <c r="A1715">
        <v>18143</v>
      </c>
      <c r="B1715" t="s">
        <v>77</v>
      </c>
      <c r="C1715">
        <v>9</v>
      </c>
      <c r="D1715" s="3">
        <f>in_parking_demand_data_ver1!D1715*calibration!$I$31</f>
        <v>3.6890179432048376</v>
      </c>
      <c r="E1715" s="3">
        <f>in_parking_demand_data_ver1!E1715*calibration!$I$31</f>
        <v>2.7812491299554769</v>
      </c>
      <c r="F1715" s="3">
        <f t="shared" si="26"/>
        <v>6.4702670731603149</v>
      </c>
      <c r="G1715">
        <v>20</v>
      </c>
    </row>
    <row r="1716" spans="1:7" x14ac:dyDescent="0.25">
      <c r="A1716">
        <v>18143</v>
      </c>
      <c r="B1716" t="s">
        <v>77</v>
      </c>
      <c r="C1716">
        <v>10</v>
      </c>
      <c r="D1716" s="3">
        <f>in_parking_demand_data_ver1!D1716*calibration!$I$31</f>
        <v>2.916448740439431</v>
      </c>
      <c r="E1716" s="3">
        <f>in_parking_demand_data_ver1!E1716*calibration!$I$31</f>
        <v>2.5301641390567235</v>
      </c>
      <c r="F1716" s="3">
        <f t="shared" si="26"/>
        <v>5.4466128794961541</v>
      </c>
      <c r="G1716">
        <v>20</v>
      </c>
    </row>
    <row r="1717" spans="1:7" x14ac:dyDescent="0.25">
      <c r="A1717">
        <v>18143</v>
      </c>
      <c r="B1717" t="s">
        <v>77</v>
      </c>
      <c r="C1717">
        <v>11</v>
      </c>
      <c r="D1717" s="3">
        <f>in_parking_demand_data_ver1!D1717*calibration!$I$31</f>
        <v>2.3949645285727779</v>
      </c>
      <c r="E1717" s="3">
        <f>in_parking_demand_data_ver1!E1717*calibration!$I$31</f>
        <v>2.4529072187801821</v>
      </c>
      <c r="F1717" s="3">
        <f t="shared" si="26"/>
        <v>4.8478717473529596</v>
      </c>
      <c r="G1717">
        <v>20</v>
      </c>
    </row>
    <row r="1718" spans="1:7" x14ac:dyDescent="0.25">
      <c r="A1718">
        <v>18143</v>
      </c>
      <c r="B1718" t="s">
        <v>77</v>
      </c>
      <c r="C1718">
        <v>12</v>
      </c>
      <c r="D1718" s="3">
        <f>in_parking_demand_data_ver1!D1718*calibration!$I$31</f>
        <v>2.7039922096789355</v>
      </c>
      <c r="E1718" s="3">
        <f>in_parking_demand_data_ver1!E1718*calibration!$I$31</f>
        <v>1.9121087768443914</v>
      </c>
      <c r="F1718" s="3">
        <f t="shared" si="26"/>
        <v>4.6161009865233265</v>
      </c>
      <c r="G1718">
        <v>20</v>
      </c>
    </row>
    <row r="1719" spans="1:7" x14ac:dyDescent="0.25">
      <c r="A1719">
        <v>18143</v>
      </c>
      <c r="B1719" t="s">
        <v>77</v>
      </c>
      <c r="C1719">
        <v>13</v>
      </c>
      <c r="D1719" s="3">
        <f>in_parking_demand_data_ver1!D1719*calibration!$I$31</f>
        <v>2.510849908987586</v>
      </c>
      <c r="E1719" s="3">
        <f>in_parking_demand_data_ver1!E1719*calibration!$I$31</f>
        <v>1.1974822642863889</v>
      </c>
      <c r="F1719" s="3">
        <f t="shared" si="26"/>
        <v>3.7083321732739751</v>
      </c>
      <c r="G1719">
        <v>20</v>
      </c>
    </row>
    <row r="1720" spans="1:7" x14ac:dyDescent="0.25">
      <c r="A1720">
        <v>18143</v>
      </c>
      <c r="B1720" t="s">
        <v>77</v>
      </c>
      <c r="C1720">
        <v>14</v>
      </c>
      <c r="D1720" s="3">
        <f>in_parking_demand_data_ver1!D1720*calibration!$I$31</f>
        <v>2.0666226173974742</v>
      </c>
      <c r="E1720" s="3">
        <f>in_parking_demand_data_ver1!E1720*calibration!$I$31</f>
        <v>1.409938795046876</v>
      </c>
      <c r="F1720" s="3">
        <f t="shared" si="26"/>
        <v>3.47656141244435</v>
      </c>
      <c r="G1720">
        <v>20</v>
      </c>
    </row>
    <row r="1721" spans="1:7" x14ac:dyDescent="0.25">
      <c r="A1721">
        <v>18143</v>
      </c>
      <c r="B1721" t="s">
        <v>77</v>
      </c>
      <c r="C1721">
        <v>15</v>
      </c>
      <c r="D1721" s="3">
        <f>in_parking_demand_data_ver1!D1721*calibration!$I$31</f>
        <v>2.1052510775357409</v>
      </c>
      <c r="E1721" s="3">
        <f>in_parking_demand_data_ver1!E1721*calibration!$I$31</f>
        <v>1.1781680342172514</v>
      </c>
      <c r="F1721" s="3">
        <f t="shared" si="26"/>
        <v>3.2834191117529921</v>
      </c>
      <c r="G1721">
        <v>20</v>
      </c>
    </row>
    <row r="1722" spans="1:7" x14ac:dyDescent="0.25">
      <c r="A1722">
        <v>18143</v>
      </c>
      <c r="B1722" t="s">
        <v>77</v>
      </c>
      <c r="C1722">
        <v>16</v>
      </c>
      <c r="D1722" s="3">
        <f>in_parking_demand_data_ver1!D1722*calibration!$I$31</f>
        <v>2.3177076082962365</v>
      </c>
      <c r="E1722" s="3">
        <f>in_parking_demand_data_ver1!E1722*calibration!$I$31</f>
        <v>0.56011267200492376</v>
      </c>
      <c r="F1722" s="3">
        <f t="shared" si="26"/>
        <v>2.8778202803011603</v>
      </c>
      <c r="G1722">
        <v>20</v>
      </c>
    </row>
    <row r="1723" spans="1:7" x14ac:dyDescent="0.25">
      <c r="A1723">
        <v>18143</v>
      </c>
      <c r="B1723" t="s">
        <v>77</v>
      </c>
      <c r="C1723">
        <v>17</v>
      </c>
      <c r="D1723" s="3">
        <f>in_parking_demand_data_ver1!D1723*calibration!$I$31</f>
        <v>2.510849908987586</v>
      </c>
      <c r="E1723" s="3">
        <f>in_parking_demand_data_ver1!E1723*calibration!$I$31</f>
        <v>0.15451384055308215</v>
      </c>
      <c r="F1723" s="3">
        <f t="shared" si="26"/>
        <v>2.6653637495406679</v>
      </c>
      <c r="G1723">
        <v>20</v>
      </c>
    </row>
    <row r="1724" spans="1:7" x14ac:dyDescent="0.25">
      <c r="A1724">
        <v>18143</v>
      </c>
      <c r="B1724" t="s">
        <v>77</v>
      </c>
      <c r="C1724">
        <v>18</v>
      </c>
      <c r="D1724" s="3">
        <f>in_parking_demand_data_ver1!D1724*calibration!$I$31</f>
        <v>3.4765614124443505</v>
      </c>
      <c r="E1724" s="3">
        <f>in_parking_demand_data_ver1!E1724*calibration!$I$31</f>
        <v>0.34765614124443506</v>
      </c>
      <c r="F1724" s="3">
        <f t="shared" si="26"/>
        <v>3.8242175536887855</v>
      </c>
      <c r="G1724">
        <v>20</v>
      </c>
    </row>
    <row r="1725" spans="1:7" x14ac:dyDescent="0.25">
      <c r="A1725">
        <v>18143</v>
      </c>
      <c r="B1725" t="s">
        <v>77</v>
      </c>
      <c r="C1725">
        <v>19</v>
      </c>
      <c r="D1725" s="3">
        <f>in_parking_demand_data_ver1!D1725*calibration!$I$31</f>
        <v>5.3307274990813376</v>
      </c>
      <c r="E1725" s="3">
        <f>in_parking_demand_data_ver1!E1725*calibration!$I$31</f>
        <v>0.17382807062221708</v>
      </c>
      <c r="F1725" s="3">
        <f t="shared" si="26"/>
        <v>5.5045555697035544</v>
      </c>
      <c r="G1725">
        <v>20</v>
      </c>
    </row>
    <row r="1726" spans="1:7" x14ac:dyDescent="0.25">
      <c r="A1726">
        <v>18143</v>
      </c>
      <c r="B1726" t="s">
        <v>77</v>
      </c>
      <c r="C1726">
        <v>20</v>
      </c>
      <c r="D1726" s="3">
        <f>in_parking_demand_data_ver1!D1726*calibration!$I$31</f>
        <v>6.8758659046121675</v>
      </c>
      <c r="E1726" s="3">
        <f>in_parking_demand_data_ver1!E1726*calibration!$I$31</f>
        <v>0.27039922096789354</v>
      </c>
      <c r="F1726" s="3">
        <f t="shared" si="26"/>
        <v>7.1462651255800607</v>
      </c>
      <c r="G1726">
        <v>20</v>
      </c>
    </row>
    <row r="1727" spans="1:7" x14ac:dyDescent="0.25">
      <c r="A1727">
        <v>18143</v>
      </c>
      <c r="B1727" t="s">
        <v>77</v>
      </c>
      <c r="C1727">
        <v>21</v>
      </c>
      <c r="D1727" s="3">
        <f>in_parking_demand_data_ver1!D1727*calibration!$I$31</f>
        <v>7.9188343283454738</v>
      </c>
      <c r="E1727" s="3">
        <f>in_parking_demand_data_ver1!E1727*calibration!$I$31</f>
        <v>0.54079844193578797</v>
      </c>
      <c r="F1727" s="3">
        <f t="shared" si="26"/>
        <v>8.4596327702812619</v>
      </c>
      <c r="G1727">
        <v>20</v>
      </c>
    </row>
    <row r="1728" spans="1:7" x14ac:dyDescent="0.25">
      <c r="A1728">
        <v>18143</v>
      </c>
      <c r="B1728" t="s">
        <v>77</v>
      </c>
      <c r="C1728">
        <v>22</v>
      </c>
      <c r="D1728" s="3">
        <f>in_parking_demand_data_ver1!D1728*calibration!$I$31</f>
        <v>8.4210043101429886</v>
      </c>
      <c r="E1728" s="3">
        <f>in_parking_demand_data_ver1!E1728*calibration!$I$31</f>
        <v>0.88845458318022286</v>
      </c>
      <c r="F1728" s="3">
        <f t="shared" si="26"/>
        <v>9.3094588933232121</v>
      </c>
      <c r="G1728">
        <v>20</v>
      </c>
    </row>
    <row r="1729" spans="1:7" x14ac:dyDescent="0.25">
      <c r="A1729">
        <v>18143</v>
      </c>
      <c r="B1729" t="s">
        <v>77</v>
      </c>
      <c r="C1729">
        <v>23</v>
      </c>
      <c r="D1729" s="3">
        <f>in_parking_demand_data_ver1!D1729*calibration!$I$31</f>
        <v>8.981116982147876</v>
      </c>
      <c r="E1729" s="3">
        <f>in_parking_demand_data_ver1!E1729*calibration!$I$31</f>
        <v>1.10091111394071</v>
      </c>
      <c r="F1729" s="3">
        <f t="shared" si="26"/>
        <v>10.082028096088585</v>
      </c>
      <c r="G1729">
        <v>20</v>
      </c>
    </row>
    <row r="1730" spans="1:7" x14ac:dyDescent="0.25">
      <c r="A1730">
        <v>18145</v>
      </c>
      <c r="B1730" t="s">
        <v>78</v>
      </c>
      <c r="C1730">
        <v>0</v>
      </c>
      <c r="D1730" s="3">
        <f>in_parking_demand_data_ver1!D1730*calibration!$I$31</f>
        <v>130.08752900516214</v>
      </c>
      <c r="E1730" s="3">
        <f>in_parking_demand_data_ver1!E1730*calibration!$I$31</f>
        <v>23.097301956891457</v>
      </c>
      <c r="F1730" s="3">
        <f t="shared" si="26"/>
        <v>153.18483096205358</v>
      </c>
      <c r="G1730">
        <v>84</v>
      </c>
    </row>
    <row r="1731" spans="1:7" x14ac:dyDescent="0.25">
      <c r="A1731">
        <v>18145</v>
      </c>
      <c r="B1731" t="s">
        <v>78</v>
      </c>
      <c r="C1731">
        <v>1</v>
      </c>
      <c r="D1731" s="3">
        <f>in_parking_demand_data_ver1!D1731*calibration!$I$31</f>
        <v>129.33230387305684</v>
      </c>
      <c r="E1731" s="3">
        <f>in_parking_demand_data_ver1!E1731*calibration!$I$31</f>
        <v>26.873427617418635</v>
      </c>
      <c r="F1731" s="3">
        <f t="shared" ref="F1731:F1794" si="27">SUM(D1731:E1731)</f>
        <v>156.20573149047547</v>
      </c>
      <c r="G1731">
        <v>84</v>
      </c>
    </row>
    <row r="1732" spans="1:7" x14ac:dyDescent="0.25">
      <c r="A1732">
        <v>18145</v>
      </c>
      <c r="B1732" t="s">
        <v>78</v>
      </c>
      <c r="C1732">
        <v>2</v>
      </c>
      <c r="D1732" s="3">
        <f>in_parking_demand_data_ver1!D1732*calibration!$I$31</f>
        <v>125.11563021880154</v>
      </c>
      <c r="E1732" s="3">
        <f>in_parking_demand_data_ver1!E1732*calibration!$I$31</f>
        <v>27.502781894173161</v>
      </c>
      <c r="F1732" s="3">
        <f t="shared" si="27"/>
        <v>152.61841211297471</v>
      </c>
      <c r="G1732">
        <v>84</v>
      </c>
    </row>
    <row r="1733" spans="1:7" x14ac:dyDescent="0.25">
      <c r="A1733">
        <v>18145</v>
      </c>
      <c r="B1733" t="s">
        <v>78</v>
      </c>
      <c r="C1733">
        <v>3</v>
      </c>
      <c r="D1733" s="3">
        <f>in_parking_demand_data_ver1!D1733*calibration!$I$31</f>
        <v>121.4653754136248</v>
      </c>
      <c r="E1733" s="3">
        <f>in_parking_demand_data_ver1!E1733*calibration!$I$31</f>
        <v>26.558750479041368</v>
      </c>
      <c r="F1733" s="3">
        <f t="shared" si="27"/>
        <v>148.02412589266618</v>
      </c>
      <c r="G1733">
        <v>84</v>
      </c>
    </row>
    <row r="1734" spans="1:7" x14ac:dyDescent="0.25">
      <c r="A1734">
        <v>18145</v>
      </c>
      <c r="B1734" t="s">
        <v>78</v>
      </c>
      <c r="C1734">
        <v>4</v>
      </c>
      <c r="D1734" s="3">
        <f>in_parking_demand_data_ver1!D1734*calibration!$I$31</f>
        <v>114.47954294164948</v>
      </c>
      <c r="E1734" s="3">
        <f>in_parking_demand_data_ver1!E1734*calibration!$I$31</f>
        <v>28.258007026278634</v>
      </c>
      <c r="F1734" s="3">
        <f t="shared" si="27"/>
        <v>142.73754996792812</v>
      </c>
      <c r="G1734">
        <v>84</v>
      </c>
    </row>
    <row r="1735" spans="1:7" x14ac:dyDescent="0.25">
      <c r="A1735">
        <v>18145</v>
      </c>
      <c r="B1735" t="s">
        <v>78</v>
      </c>
      <c r="C1735">
        <v>5</v>
      </c>
      <c r="D1735" s="3">
        <f>in_parking_demand_data_ver1!D1735*calibration!$I$31</f>
        <v>107.68251675270095</v>
      </c>
      <c r="E1735" s="3">
        <f>in_parking_demand_data_ver1!E1735*calibration!$I$31</f>
        <v>33.418712095665818</v>
      </c>
      <c r="F1735" s="3">
        <f t="shared" si="27"/>
        <v>141.10122884836676</v>
      </c>
      <c r="G1735">
        <v>84</v>
      </c>
    </row>
    <row r="1736" spans="1:7" x14ac:dyDescent="0.25">
      <c r="A1736">
        <v>18145</v>
      </c>
      <c r="B1736" t="s">
        <v>78</v>
      </c>
      <c r="C1736">
        <v>6</v>
      </c>
      <c r="D1736" s="3">
        <f>in_parking_demand_data_ver1!D1736*calibration!$I$31</f>
        <v>102.20713454493625</v>
      </c>
      <c r="E1736" s="3">
        <f>in_parking_demand_data_ver1!E1736*calibration!$I$31</f>
        <v>34.803291504525816</v>
      </c>
      <c r="F1736" s="3">
        <f t="shared" si="27"/>
        <v>137.01042604946207</v>
      </c>
      <c r="G1736">
        <v>84</v>
      </c>
    </row>
    <row r="1737" spans="1:7" x14ac:dyDescent="0.25">
      <c r="A1737">
        <v>18145</v>
      </c>
      <c r="B1737" t="s">
        <v>78</v>
      </c>
      <c r="C1737">
        <v>7</v>
      </c>
      <c r="D1737" s="3">
        <f>in_parking_demand_data_ver1!D1737*calibration!$I$31</f>
        <v>98.808621450461558</v>
      </c>
      <c r="E1737" s="3">
        <f>in_parking_demand_data_ver1!E1737*calibration!$I$31</f>
        <v>28.069200743252221</v>
      </c>
      <c r="F1737" s="3">
        <f t="shared" si="27"/>
        <v>126.87782219371378</v>
      </c>
      <c r="G1737">
        <v>84</v>
      </c>
    </row>
    <row r="1738" spans="1:7" x14ac:dyDescent="0.25">
      <c r="A1738">
        <v>18145</v>
      </c>
      <c r="B1738" t="s">
        <v>78</v>
      </c>
      <c r="C1738">
        <v>8</v>
      </c>
      <c r="D1738" s="3">
        <f>in_parking_demand_data_ver1!D1738*calibration!$I$31</f>
        <v>90.8158221356789</v>
      </c>
      <c r="E1738" s="3">
        <f>in_parking_demand_data_ver1!E1738*calibration!$I$31</f>
        <v>18.880628302635987</v>
      </c>
      <c r="F1738" s="3">
        <f t="shared" si="27"/>
        <v>109.69645043831488</v>
      </c>
      <c r="G1738">
        <v>84</v>
      </c>
    </row>
    <row r="1739" spans="1:7" x14ac:dyDescent="0.25">
      <c r="A1739">
        <v>18145</v>
      </c>
      <c r="B1739" t="s">
        <v>78</v>
      </c>
      <c r="C1739">
        <v>9</v>
      </c>
      <c r="D1739" s="3">
        <f>in_parking_demand_data_ver1!D1739*calibration!$I$31</f>
        <v>85.655117066291552</v>
      </c>
      <c r="E1739" s="3">
        <f>in_parking_demand_data_ver1!E1739*calibration!$I$31</f>
        <v>13.027633528818805</v>
      </c>
      <c r="F1739" s="3">
        <f t="shared" si="27"/>
        <v>98.682750595110363</v>
      </c>
      <c r="G1739">
        <v>84</v>
      </c>
    </row>
    <row r="1740" spans="1:7" x14ac:dyDescent="0.25">
      <c r="A1740">
        <v>18145</v>
      </c>
      <c r="B1740" t="s">
        <v>78</v>
      </c>
      <c r="C1740">
        <v>10</v>
      </c>
      <c r="D1740" s="3">
        <f>in_parking_demand_data_ver1!D1740*calibration!$I$31</f>
        <v>84.459343940458638</v>
      </c>
      <c r="E1740" s="3">
        <f>in_parking_demand_data_ver1!E1740*calibration!$I$31</f>
        <v>9.9437975727216248</v>
      </c>
      <c r="F1740" s="3">
        <f t="shared" si="27"/>
        <v>94.403141513180259</v>
      </c>
      <c r="G1740">
        <v>84</v>
      </c>
    </row>
    <row r="1741" spans="1:7" x14ac:dyDescent="0.25">
      <c r="A1741">
        <v>18145</v>
      </c>
      <c r="B1741" t="s">
        <v>78</v>
      </c>
      <c r="C1741">
        <v>11</v>
      </c>
      <c r="D1741" s="3">
        <f>in_parking_demand_data_ver1!D1741*calibration!$I$31</f>
        <v>84.459343940458638</v>
      </c>
      <c r="E1741" s="3">
        <f>in_parking_demand_data_ver1!E1741*calibration!$I$31</f>
        <v>7.8039930317562396</v>
      </c>
      <c r="F1741" s="3">
        <f t="shared" si="27"/>
        <v>92.263336972214873</v>
      </c>
      <c r="G1741">
        <v>84</v>
      </c>
    </row>
    <row r="1742" spans="1:7" x14ac:dyDescent="0.25">
      <c r="A1742">
        <v>18145</v>
      </c>
      <c r="B1742" t="s">
        <v>78</v>
      </c>
      <c r="C1742">
        <v>12</v>
      </c>
      <c r="D1742" s="3">
        <f>in_parking_demand_data_ver1!D1742*calibration!$I$31</f>
        <v>87.480244468880358</v>
      </c>
      <c r="E1742" s="3">
        <f>in_parking_demand_data_ver1!E1742*calibration!$I$31</f>
        <v>7.4893158933789739</v>
      </c>
      <c r="F1742" s="3">
        <f t="shared" si="27"/>
        <v>94.96956036225933</v>
      </c>
      <c r="G1742">
        <v>84</v>
      </c>
    </row>
    <row r="1743" spans="1:7" x14ac:dyDescent="0.25">
      <c r="A1743">
        <v>18145</v>
      </c>
      <c r="B1743" t="s">
        <v>78</v>
      </c>
      <c r="C1743">
        <v>13</v>
      </c>
      <c r="D1743" s="3">
        <f>in_parking_demand_data_ver1!D1743*calibration!$I$31</f>
        <v>90.312338714275654</v>
      </c>
      <c r="E1743" s="3">
        <f>in_parking_demand_data_ver1!E1743*calibration!$I$31</f>
        <v>6.4823490505717096</v>
      </c>
      <c r="F1743" s="3">
        <f t="shared" si="27"/>
        <v>96.794687764847367</v>
      </c>
      <c r="G1743">
        <v>84</v>
      </c>
    </row>
    <row r="1744" spans="1:7" x14ac:dyDescent="0.25">
      <c r="A1744">
        <v>18145</v>
      </c>
      <c r="B1744" t="s">
        <v>78</v>
      </c>
      <c r="C1744">
        <v>14</v>
      </c>
      <c r="D1744" s="3">
        <f>in_parking_demand_data_ver1!D1744*calibration!$I$31</f>
        <v>96.039462632741547</v>
      </c>
      <c r="E1744" s="3">
        <f>in_parking_demand_data_ver1!E1744*calibration!$I$31</f>
        <v>5.2865759247380941</v>
      </c>
      <c r="F1744" s="3">
        <f t="shared" si="27"/>
        <v>101.32603855747963</v>
      </c>
      <c r="G1744">
        <v>84</v>
      </c>
    </row>
    <row r="1745" spans="1:7" x14ac:dyDescent="0.25">
      <c r="A1745">
        <v>18145</v>
      </c>
      <c r="B1745" t="s">
        <v>78</v>
      </c>
      <c r="C1745">
        <v>15</v>
      </c>
      <c r="D1745" s="3">
        <f>in_parking_demand_data_ver1!D1745*calibration!$I$31</f>
        <v>106.04619563313889</v>
      </c>
      <c r="E1745" s="3">
        <f>in_parking_demand_data_ver1!E1745*calibration!$I$31</f>
        <v>3.7131902328517525</v>
      </c>
      <c r="F1745" s="3">
        <f t="shared" si="27"/>
        <v>109.75938586599065</v>
      </c>
      <c r="G1745">
        <v>84</v>
      </c>
    </row>
    <row r="1746" spans="1:7" x14ac:dyDescent="0.25">
      <c r="A1746">
        <v>18145</v>
      </c>
      <c r="B1746" t="s">
        <v>78</v>
      </c>
      <c r="C1746">
        <v>16</v>
      </c>
      <c r="D1746" s="3">
        <f>in_parking_demand_data_ver1!D1746*calibration!$I$31</f>
        <v>111.33277155787685</v>
      </c>
      <c r="E1746" s="3">
        <f>in_parking_demand_data_ver1!E1746*calibration!$I$31</f>
        <v>2.9579651007463164</v>
      </c>
      <c r="F1746" s="3">
        <f t="shared" si="27"/>
        <v>114.29073665862317</v>
      </c>
      <c r="G1746">
        <v>84</v>
      </c>
    </row>
    <row r="1747" spans="1:7" x14ac:dyDescent="0.25">
      <c r="A1747">
        <v>18145</v>
      </c>
      <c r="B1747" t="s">
        <v>78</v>
      </c>
      <c r="C1747">
        <v>17</v>
      </c>
      <c r="D1747" s="3">
        <f>in_parking_demand_data_ver1!D1747*calibration!$I$31</f>
        <v>117.94099146379949</v>
      </c>
      <c r="E1747" s="3">
        <f>in_parking_demand_data_ver1!E1747*calibration!$I$31</f>
        <v>2.6432879623690431</v>
      </c>
      <c r="F1747" s="3">
        <f t="shared" si="27"/>
        <v>120.58427942616854</v>
      </c>
      <c r="G1747">
        <v>84</v>
      </c>
    </row>
    <row r="1748" spans="1:7" x14ac:dyDescent="0.25">
      <c r="A1748">
        <v>18145</v>
      </c>
      <c r="B1748" t="s">
        <v>78</v>
      </c>
      <c r="C1748">
        <v>18</v>
      </c>
      <c r="D1748" s="3">
        <f>in_parking_demand_data_ver1!D1748*calibration!$I$31</f>
        <v>123.85692166529216</v>
      </c>
      <c r="E1748" s="3">
        <f>in_parking_demand_data_ver1!E1748*calibration!$I$31</f>
        <v>3.1467713837726756</v>
      </c>
      <c r="F1748" s="3">
        <f t="shared" si="27"/>
        <v>127.00369304906484</v>
      </c>
      <c r="G1748">
        <v>84</v>
      </c>
    </row>
    <row r="1749" spans="1:7" x14ac:dyDescent="0.25">
      <c r="A1749">
        <v>18145</v>
      </c>
      <c r="B1749" t="s">
        <v>78</v>
      </c>
      <c r="C1749">
        <v>19</v>
      </c>
      <c r="D1749" s="3">
        <f>in_parking_demand_data_ver1!D1749*calibration!$I$31</f>
        <v>130.15046443283745</v>
      </c>
      <c r="E1749" s="3">
        <f>in_parking_demand_data_ver1!E1749*calibration!$I$31</f>
        <v>4.8460279310099228</v>
      </c>
      <c r="F1749" s="3">
        <f t="shared" si="27"/>
        <v>134.99649236384738</v>
      </c>
      <c r="G1749">
        <v>84</v>
      </c>
    </row>
    <row r="1750" spans="1:7" x14ac:dyDescent="0.25">
      <c r="A1750">
        <v>18145</v>
      </c>
      <c r="B1750" t="s">
        <v>78</v>
      </c>
      <c r="C1750">
        <v>20</v>
      </c>
      <c r="D1750" s="3">
        <f>in_parking_demand_data_ver1!D1750*calibration!$I$31</f>
        <v>131.66091469704804</v>
      </c>
      <c r="E1750" s="3">
        <f>in_parking_demand_data_ver1!E1750*calibration!$I$31</f>
        <v>6.6711553335980689</v>
      </c>
      <c r="F1750" s="3">
        <f t="shared" si="27"/>
        <v>138.33207003064612</v>
      </c>
      <c r="G1750">
        <v>84</v>
      </c>
    </row>
    <row r="1751" spans="1:7" x14ac:dyDescent="0.25">
      <c r="A1751">
        <v>18145</v>
      </c>
      <c r="B1751" t="s">
        <v>78</v>
      </c>
      <c r="C1751">
        <v>21</v>
      </c>
      <c r="D1751" s="3">
        <f>in_parking_demand_data_ver1!D1751*calibration!$I$31</f>
        <v>131.40917298634685</v>
      </c>
      <c r="E1751" s="3">
        <f>in_parking_demand_data_ver1!E1751*calibration!$I$31</f>
        <v>10.887828987853419</v>
      </c>
      <c r="F1751" s="3">
        <f t="shared" si="27"/>
        <v>142.29700197420027</v>
      </c>
      <c r="G1751">
        <v>84</v>
      </c>
    </row>
    <row r="1752" spans="1:7" x14ac:dyDescent="0.25">
      <c r="A1752">
        <v>18145</v>
      </c>
      <c r="B1752" t="s">
        <v>78</v>
      </c>
      <c r="C1752">
        <v>22</v>
      </c>
      <c r="D1752" s="3">
        <f>in_parking_demand_data_ver1!D1752*calibration!$I$31</f>
        <v>132.79375239520684</v>
      </c>
      <c r="E1752" s="3">
        <f>in_parking_demand_data_ver1!E1752*calibration!$I$31</f>
        <v>14.726890076056071</v>
      </c>
      <c r="F1752" s="3">
        <f t="shared" si="27"/>
        <v>147.5206424712629</v>
      </c>
      <c r="G1752">
        <v>84</v>
      </c>
    </row>
    <row r="1753" spans="1:7" x14ac:dyDescent="0.25">
      <c r="A1753">
        <v>18145</v>
      </c>
      <c r="B1753" t="s">
        <v>78</v>
      </c>
      <c r="C1753">
        <v>23</v>
      </c>
      <c r="D1753" s="3">
        <f>in_parking_demand_data_ver1!D1753*calibration!$I$31</f>
        <v>132.4790752568295</v>
      </c>
      <c r="E1753" s="3">
        <f>in_parking_demand_data_ver1!E1753*calibration!$I$31</f>
        <v>17.999532315179657</v>
      </c>
      <c r="F1753" s="3">
        <f t="shared" si="27"/>
        <v>150.47860757200917</v>
      </c>
      <c r="G1753">
        <v>84</v>
      </c>
    </row>
    <row r="1754" spans="1:7" x14ac:dyDescent="0.25">
      <c r="A1754">
        <v>18147</v>
      </c>
      <c r="B1754" t="s">
        <v>79</v>
      </c>
      <c r="C1754">
        <v>0</v>
      </c>
      <c r="D1754" s="3">
        <f>in_parking_demand_data_ver1!D1754*calibration!$I$31</f>
        <v>9.1879885319310848</v>
      </c>
      <c r="E1754" s="3">
        <f>in_parking_demand_data_ver1!E1754*calibration!$I$31</f>
        <v>10.114508383890525</v>
      </c>
      <c r="F1754" s="3">
        <f t="shared" si="27"/>
        <v>19.30249691582161</v>
      </c>
      <c r="G1754">
        <v>14</v>
      </c>
    </row>
    <row r="1755" spans="1:7" x14ac:dyDescent="0.25">
      <c r="A1755">
        <v>18147</v>
      </c>
      <c r="B1755" t="s">
        <v>79</v>
      </c>
      <c r="C1755">
        <v>1</v>
      </c>
      <c r="D1755" s="3">
        <f>in_parking_demand_data_ver1!D1755*calibration!$I$31</f>
        <v>8.801938593614679</v>
      </c>
      <c r="E1755" s="3">
        <f>in_parking_demand_data_ver1!E1755*calibration!$I$31</f>
        <v>10.4233483345437</v>
      </c>
      <c r="F1755" s="3">
        <f t="shared" si="27"/>
        <v>19.225286928158379</v>
      </c>
      <c r="G1755">
        <v>14</v>
      </c>
    </row>
    <row r="1756" spans="1:7" x14ac:dyDescent="0.25">
      <c r="A1756">
        <v>18147</v>
      </c>
      <c r="B1756" t="s">
        <v>79</v>
      </c>
      <c r="C1756">
        <v>2</v>
      </c>
      <c r="D1756" s="3">
        <f>in_parking_demand_data_ver1!D1756*calibration!$I$31</f>
        <v>8.801938593614679</v>
      </c>
      <c r="E1756" s="3">
        <f>in_parking_demand_data_ver1!E1756*calibration!$I$31</f>
        <v>10.616373303701859</v>
      </c>
      <c r="F1756" s="3">
        <f t="shared" si="27"/>
        <v>19.418311897316539</v>
      </c>
      <c r="G1756">
        <v>14</v>
      </c>
    </row>
    <row r="1757" spans="1:7" x14ac:dyDescent="0.25">
      <c r="A1757">
        <v>18147</v>
      </c>
      <c r="B1757" t="s">
        <v>79</v>
      </c>
      <c r="C1757">
        <v>3</v>
      </c>
      <c r="D1757" s="3">
        <f>in_parking_demand_data_ver1!D1757*calibration!$I$31</f>
        <v>9.1107785442677685</v>
      </c>
      <c r="E1757" s="3">
        <f>in_parking_demand_data_ver1!E1757*calibration!$I$31</f>
        <v>11.5428931556613</v>
      </c>
      <c r="F1757" s="3">
        <f t="shared" si="27"/>
        <v>20.65367169992907</v>
      </c>
      <c r="G1757">
        <v>14</v>
      </c>
    </row>
    <row r="1758" spans="1:7" x14ac:dyDescent="0.25">
      <c r="A1758">
        <v>18147</v>
      </c>
      <c r="B1758" t="s">
        <v>79</v>
      </c>
      <c r="C1758">
        <v>4</v>
      </c>
      <c r="D1758" s="3">
        <f>in_parking_demand_data_ver1!D1758*calibration!$I$31</f>
        <v>8.801938593614679</v>
      </c>
      <c r="E1758" s="3">
        <f>in_parking_demand_data_ver1!E1758*calibration!$I$31</f>
        <v>13.43453785341188</v>
      </c>
      <c r="F1758" s="3">
        <f t="shared" si="27"/>
        <v>22.236476447026561</v>
      </c>
      <c r="G1758">
        <v>14</v>
      </c>
    </row>
    <row r="1759" spans="1:7" x14ac:dyDescent="0.25">
      <c r="A1759">
        <v>18147</v>
      </c>
      <c r="B1759" t="s">
        <v>79</v>
      </c>
      <c r="C1759">
        <v>5</v>
      </c>
      <c r="D1759" s="3">
        <f>in_parking_demand_data_ver1!D1759*calibration!$I$31</f>
        <v>9.0335685566045392</v>
      </c>
      <c r="E1759" s="3">
        <f>in_parking_demand_data_ver1!E1759*calibration!$I$31</f>
        <v>14.129427742381459</v>
      </c>
      <c r="F1759" s="3">
        <f t="shared" si="27"/>
        <v>23.162996298985998</v>
      </c>
      <c r="G1759">
        <v>14</v>
      </c>
    </row>
    <row r="1760" spans="1:7" x14ac:dyDescent="0.25">
      <c r="A1760">
        <v>18147</v>
      </c>
      <c r="B1760" t="s">
        <v>79</v>
      </c>
      <c r="C1760">
        <v>6</v>
      </c>
      <c r="D1760" s="3">
        <f>in_parking_demand_data_ver1!D1760*calibration!$I$31</f>
        <v>8.5703086306248206</v>
      </c>
      <c r="E1760" s="3">
        <f>in_parking_demand_data_ver1!E1760*calibration!$I$31</f>
        <v>15.248972563499144</v>
      </c>
      <c r="F1760" s="3">
        <f t="shared" si="27"/>
        <v>23.819281194123967</v>
      </c>
      <c r="G1760">
        <v>14</v>
      </c>
    </row>
    <row r="1761" spans="1:7" x14ac:dyDescent="0.25">
      <c r="A1761">
        <v>18147</v>
      </c>
      <c r="B1761" t="s">
        <v>79</v>
      </c>
      <c r="C1761">
        <v>7</v>
      </c>
      <c r="D1761" s="3">
        <f>in_parking_demand_data_ver1!D1761*calibration!$I$31</f>
        <v>7.9526287293185369</v>
      </c>
      <c r="E1761" s="3">
        <f>in_parking_demand_data_ver1!E1761*calibration!$I$31</f>
        <v>15.480602526489005</v>
      </c>
      <c r="F1761" s="3">
        <f t="shared" si="27"/>
        <v>23.433231255807542</v>
      </c>
      <c r="G1761">
        <v>14</v>
      </c>
    </row>
    <row r="1762" spans="1:7" x14ac:dyDescent="0.25">
      <c r="A1762">
        <v>18147</v>
      </c>
      <c r="B1762" t="s">
        <v>79</v>
      </c>
      <c r="C1762">
        <v>8</v>
      </c>
      <c r="D1762" s="3">
        <f>in_parking_demand_data_ver1!D1762*calibration!$I$31</f>
        <v>5.9065640562414385</v>
      </c>
      <c r="E1762" s="3">
        <f>in_parking_demand_data_ver1!E1762*calibration!$I$31</f>
        <v>13.125697902758706</v>
      </c>
      <c r="F1762" s="3">
        <f t="shared" si="27"/>
        <v>19.032261959000145</v>
      </c>
      <c r="G1762">
        <v>14</v>
      </c>
    </row>
    <row r="1763" spans="1:7" x14ac:dyDescent="0.25">
      <c r="A1763">
        <v>18147</v>
      </c>
      <c r="B1763" t="s">
        <v>79</v>
      </c>
      <c r="C1763">
        <v>9</v>
      </c>
      <c r="D1763" s="3">
        <f>in_parking_demand_data_ver1!D1763*calibration!$I$31</f>
        <v>5.0572541919452796</v>
      </c>
      <c r="E1763" s="3">
        <f>in_parking_demand_data_ver1!E1763*calibration!$I$31</f>
        <v>11.272658198839824</v>
      </c>
      <c r="F1763" s="3">
        <f t="shared" si="27"/>
        <v>16.329912390785104</v>
      </c>
      <c r="G1763">
        <v>14</v>
      </c>
    </row>
    <row r="1764" spans="1:7" x14ac:dyDescent="0.25">
      <c r="A1764">
        <v>18147</v>
      </c>
      <c r="B1764" t="s">
        <v>79</v>
      </c>
      <c r="C1764">
        <v>10</v>
      </c>
      <c r="D1764" s="3">
        <f>in_parking_demand_data_ver1!D1764*calibration!$I$31</f>
        <v>5.9837740439047282</v>
      </c>
      <c r="E1764" s="3">
        <f>in_parking_demand_data_ver1!E1764*calibration!$I$31</f>
        <v>8.1842586923083971</v>
      </c>
      <c r="F1764" s="3">
        <f t="shared" si="27"/>
        <v>14.168032736213124</v>
      </c>
      <c r="G1764">
        <v>14</v>
      </c>
    </row>
    <row r="1765" spans="1:7" x14ac:dyDescent="0.25">
      <c r="A1765">
        <v>18147</v>
      </c>
      <c r="B1765" t="s">
        <v>79</v>
      </c>
      <c r="C1765">
        <v>11</v>
      </c>
      <c r="D1765" s="3">
        <f>in_parking_demand_data_ver1!D1765*calibration!$I$31</f>
        <v>7.0647138711907385</v>
      </c>
      <c r="E1765" s="3">
        <f>in_parking_demand_data_ver1!E1765*calibration!$I$31</f>
        <v>6.0995890253996583</v>
      </c>
      <c r="F1765" s="3">
        <f t="shared" si="27"/>
        <v>13.164302896590396</v>
      </c>
      <c r="G1765">
        <v>14</v>
      </c>
    </row>
    <row r="1766" spans="1:7" x14ac:dyDescent="0.25">
      <c r="A1766">
        <v>18147</v>
      </c>
      <c r="B1766" t="s">
        <v>79</v>
      </c>
      <c r="C1766">
        <v>12</v>
      </c>
      <c r="D1766" s="3">
        <f>in_parking_demand_data_ver1!D1766*calibration!$I$31</f>
        <v>6.6786639328743078</v>
      </c>
      <c r="E1766" s="3">
        <f>in_parking_demand_data_ver1!E1766*calibration!$I$31</f>
        <v>3.5902644263428298</v>
      </c>
      <c r="F1766" s="3">
        <f t="shared" si="27"/>
        <v>10.268928359217139</v>
      </c>
      <c r="G1766">
        <v>14</v>
      </c>
    </row>
    <row r="1767" spans="1:7" x14ac:dyDescent="0.25">
      <c r="A1767">
        <v>18147</v>
      </c>
      <c r="B1767" t="s">
        <v>79</v>
      </c>
      <c r="C1767">
        <v>13</v>
      </c>
      <c r="D1767" s="3">
        <f>in_parking_demand_data_ver1!D1767*calibration!$I$31</f>
        <v>8.0298387169818266</v>
      </c>
      <c r="E1767" s="3">
        <f>in_parking_demand_data_ver1!E1767*calibration!$I$31</f>
        <v>3.1656094941947588</v>
      </c>
      <c r="F1767" s="3">
        <f t="shared" si="27"/>
        <v>11.195448211176586</v>
      </c>
      <c r="G1767">
        <v>14</v>
      </c>
    </row>
    <row r="1768" spans="1:7" x14ac:dyDescent="0.25">
      <c r="A1768">
        <v>18147</v>
      </c>
      <c r="B1768" t="s">
        <v>79</v>
      </c>
      <c r="C1768">
        <v>14</v>
      </c>
      <c r="D1768" s="3">
        <f>in_parking_demand_data_ver1!D1768*calibration!$I$31</f>
        <v>7.0647138711907385</v>
      </c>
      <c r="E1768" s="3">
        <f>in_parking_demand_data_ver1!E1768*calibration!$I$31</f>
        <v>2.6251395805517492</v>
      </c>
      <c r="F1768" s="3">
        <f t="shared" si="27"/>
        <v>9.6898534517424881</v>
      </c>
      <c r="G1768">
        <v>14</v>
      </c>
    </row>
    <row r="1769" spans="1:7" x14ac:dyDescent="0.25">
      <c r="A1769">
        <v>18147</v>
      </c>
      <c r="B1769" t="s">
        <v>79</v>
      </c>
      <c r="C1769">
        <v>15</v>
      </c>
      <c r="D1769" s="3">
        <f>in_parking_demand_data_ver1!D1769*calibration!$I$31</f>
        <v>5.8679590624097981</v>
      </c>
      <c r="E1769" s="3">
        <f>in_parking_demand_data_ver1!E1769*calibration!$I$31</f>
        <v>3.3200294695213293</v>
      </c>
      <c r="F1769" s="3">
        <f t="shared" si="27"/>
        <v>9.1879885319311274</v>
      </c>
      <c r="G1769">
        <v>14</v>
      </c>
    </row>
    <row r="1770" spans="1:7" x14ac:dyDescent="0.25">
      <c r="A1770">
        <v>18147</v>
      </c>
      <c r="B1770" t="s">
        <v>79</v>
      </c>
      <c r="C1770">
        <v>16</v>
      </c>
      <c r="D1770" s="3">
        <f>in_parking_demand_data_ver1!D1770*calibration!$I$31</f>
        <v>5.7135390870832188</v>
      </c>
      <c r="E1770" s="3">
        <f>in_parking_demand_data_ver1!E1770*calibration!$I$31</f>
        <v>2.6637445743833901</v>
      </c>
      <c r="F1770" s="3">
        <f t="shared" si="27"/>
        <v>8.3772836614666097</v>
      </c>
      <c r="G1770">
        <v>14</v>
      </c>
    </row>
    <row r="1771" spans="1:7" x14ac:dyDescent="0.25">
      <c r="A1771">
        <v>18147</v>
      </c>
      <c r="B1771" t="s">
        <v>79</v>
      </c>
      <c r="C1771">
        <v>17</v>
      </c>
      <c r="D1771" s="3">
        <f>in_parking_demand_data_ver1!D1771*calibration!$I$31</f>
        <v>5.6363290994199371</v>
      </c>
      <c r="E1771" s="3">
        <f>in_parking_demand_data_ver1!E1771*calibration!$I$31</f>
        <v>2.0846696669087401</v>
      </c>
      <c r="F1771" s="3">
        <f t="shared" si="27"/>
        <v>7.7209987663286768</v>
      </c>
      <c r="G1771">
        <v>14</v>
      </c>
    </row>
    <row r="1772" spans="1:7" x14ac:dyDescent="0.25">
      <c r="A1772">
        <v>18147</v>
      </c>
      <c r="B1772" t="s">
        <v>79</v>
      </c>
      <c r="C1772">
        <v>18</v>
      </c>
      <c r="D1772" s="3">
        <f>in_parking_demand_data_ver1!D1772*calibration!$I$31</f>
        <v>5.9451690500730789</v>
      </c>
      <c r="E1772" s="3">
        <f>in_parking_demand_data_ver1!E1772*calibration!$I$31</f>
        <v>3.1656094941947588</v>
      </c>
      <c r="F1772" s="3">
        <f t="shared" si="27"/>
        <v>9.1107785442678377</v>
      </c>
      <c r="G1772">
        <v>14</v>
      </c>
    </row>
    <row r="1773" spans="1:7" x14ac:dyDescent="0.25">
      <c r="A1773">
        <v>18147</v>
      </c>
      <c r="B1773" t="s">
        <v>79</v>
      </c>
      <c r="C1773">
        <v>19</v>
      </c>
      <c r="D1773" s="3">
        <f>in_parking_demand_data_ver1!D1773*calibration!$I$31</f>
        <v>7.2963438341805986</v>
      </c>
      <c r="E1773" s="3">
        <f>in_parking_demand_data_ver1!E1773*calibration!$I$31</f>
        <v>4.3623643029757</v>
      </c>
      <c r="F1773" s="3">
        <f t="shared" si="27"/>
        <v>11.6587081371563</v>
      </c>
      <c r="G1773">
        <v>14</v>
      </c>
    </row>
    <row r="1774" spans="1:7" x14ac:dyDescent="0.25">
      <c r="A1774">
        <v>18147</v>
      </c>
      <c r="B1774" t="s">
        <v>79</v>
      </c>
      <c r="C1774">
        <v>20</v>
      </c>
      <c r="D1774" s="3">
        <f>in_parking_demand_data_ver1!D1774*calibration!$I$31</f>
        <v>7.9912337231501782</v>
      </c>
      <c r="E1774" s="3">
        <f>in_parking_demand_data_ver1!E1774*calibration!$I$31</f>
        <v>5.9837740439047282</v>
      </c>
      <c r="F1774" s="3">
        <f t="shared" si="27"/>
        <v>13.975007767054906</v>
      </c>
      <c r="G1774">
        <v>14</v>
      </c>
    </row>
    <row r="1775" spans="1:7" x14ac:dyDescent="0.25">
      <c r="A1775">
        <v>18147</v>
      </c>
      <c r="B1775" t="s">
        <v>79</v>
      </c>
      <c r="C1775">
        <v>21</v>
      </c>
      <c r="D1775" s="3">
        <f>in_parking_demand_data_ver1!D1775*calibration!$I$31</f>
        <v>8.3772836614666186</v>
      </c>
      <c r="E1775" s="3">
        <f>in_parking_demand_data_ver1!E1775*calibration!$I$31</f>
        <v>7.1033188650223877</v>
      </c>
      <c r="F1775" s="3">
        <f t="shared" si="27"/>
        <v>15.480602526489006</v>
      </c>
      <c r="G1775">
        <v>14</v>
      </c>
    </row>
    <row r="1776" spans="1:7" x14ac:dyDescent="0.25">
      <c r="A1776">
        <v>18147</v>
      </c>
      <c r="B1776" t="s">
        <v>79</v>
      </c>
      <c r="C1776">
        <v>22</v>
      </c>
      <c r="D1776" s="3">
        <f>in_parking_demand_data_ver1!D1776*calibration!$I$31</f>
        <v>9.2265935257627003</v>
      </c>
      <c r="E1776" s="3">
        <f>in_parking_demand_data_ver1!E1776*calibration!$I$31</f>
        <v>7.8754187416552481</v>
      </c>
      <c r="F1776" s="3">
        <f t="shared" si="27"/>
        <v>17.102012267417948</v>
      </c>
      <c r="G1776">
        <v>14</v>
      </c>
    </row>
    <row r="1777" spans="1:7" x14ac:dyDescent="0.25">
      <c r="A1777">
        <v>18147</v>
      </c>
      <c r="B1777" t="s">
        <v>79</v>
      </c>
      <c r="C1777">
        <v>23</v>
      </c>
      <c r="D1777" s="3">
        <f>in_parking_demand_data_ver1!D1777*calibration!$I$31</f>
        <v>9.4582234887525605</v>
      </c>
      <c r="E1777" s="3">
        <f>in_parking_demand_data_ver1!E1777*calibration!$I$31</f>
        <v>9.1493835380994692</v>
      </c>
      <c r="F1777" s="3">
        <f t="shared" si="27"/>
        <v>18.60760702685203</v>
      </c>
      <c r="G1777">
        <v>14</v>
      </c>
    </row>
    <row r="1778" spans="1:7" x14ac:dyDescent="0.25">
      <c r="A1778">
        <v>18149</v>
      </c>
      <c r="B1778" t="s">
        <v>80</v>
      </c>
      <c r="C1778">
        <v>0</v>
      </c>
      <c r="D1778" s="3">
        <f>in_parking_demand_data_ver1!D1778*calibration!$I$31</f>
        <v>79.370220240595458</v>
      </c>
      <c r="E1778" s="3">
        <f>in_parking_demand_data_ver1!E1778*calibration!$I$31</f>
        <v>0</v>
      </c>
      <c r="F1778" s="3">
        <f t="shared" si="27"/>
        <v>79.370220240595458</v>
      </c>
      <c r="G1778">
        <v>65</v>
      </c>
    </row>
    <row r="1779" spans="1:7" x14ac:dyDescent="0.25">
      <c r="A1779">
        <v>18149</v>
      </c>
      <c r="B1779" t="s">
        <v>80</v>
      </c>
      <c r="C1779">
        <v>1</v>
      </c>
      <c r="D1779" s="3">
        <f>in_parking_demand_data_ver1!D1779*calibration!$I$31</f>
        <v>79.237271797981435</v>
      </c>
      <c r="E1779" s="3">
        <f>in_parking_demand_data_ver1!E1779*calibration!$I$31</f>
        <v>0</v>
      </c>
      <c r="F1779" s="3">
        <f t="shared" si="27"/>
        <v>79.237271797981435</v>
      </c>
      <c r="G1779">
        <v>65</v>
      </c>
    </row>
    <row r="1780" spans="1:7" x14ac:dyDescent="0.25">
      <c r="A1780">
        <v>18149</v>
      </c>
      <c r="B1780" t="s">
        <v>80</v>
      </c>
      <c r="C1780">
        <v>2</v>
      </c>
      <c r="D1780" s="3">
        <f>in_parking_demand_data_ver1!D1780*calibration!$I$31</f>
        <v>78.040735814454862</v>
      </c>
      <c r="E1780" s="3">
        <f>in_parking_demand_data_ver1!E1780*calibration!$I$31</f>
        <v>0</v>
      </c>
      <c r="F1780" s="3">
        <f t="shared" si="27"/>
        <v>78.040735814454862</v>
      </c>
      <c r="G1780">
        <v>65</v>
      </c>
    </row>
    <row r="1781" spans="1:7" x14ac:dyDescent="0.25">
      <c r="A1781">
        <v>18149</v>
      </c>
      <c r="B1781" t="s">
        <v>80</v>
      </c>
      <c r="C1781">
        <v>3</v>
      </c>
      <c r="D1781" s="3">
        <f>in_parking_demand_data_ver1!D1781*calibration!$I$31</f>
        <v>75.847086511322814</v>
      </c>
      <c r="E1781" s="3">
        <f>in_parking_demand_data_ver1!E1781*calibration!$I$31</f>
        <v>0</v>
      </c>
      <c r="F1781" s="3">
        <f t="shared" si="27"/>
        <v>75.847086511322814</v>
      </c>
      <c r="G1781">
        <v>65</v>
      </c>
    </row>
    <row r="1782" spans="1:7" x14ac:dyDescent="0.25">
      <c r="A1782">
        <v>18149</v>
      </c>
      <c r="B1782" t="s">
        <v>80</v>
      </c>
      <c r="C1782">
        <v>4</v>
      </c>
      <c r="D1782" s="3">
        <f>in_parking_demand_data_ver1!D1782*calibration!$I$31</f>
        <v>75.115870076945498</v>
      </c>
      <c r="E1782" s="3">
        <f>in_parking_demand_data_ver1!E1782*calibration!$I$31</f>
        <v>0</v>
      </c>
      <c r="F1782" s="3">
        <f t="shared" si="27"/>
        <v>75.115870076945498</v>
      </c>
      <c r="G1782">
        <v>65</v>
      </c>
    </row>
    <row r="1783" spans="1:7" x14ac:dyDescent="0.25">
      <c r="A1783">
        <v>18149</v>
      </c>
      <c r="B1783" t="s">
        <v>80</v>
      </c>
      <c r="C1783">
        <v>5</v>
      </c>
      <c r="D1783" s="3">
        <f>in_parking_demand_data_ver1!D1783*calibration!$I$31</f>
        <v>68.401973724935246</v>
      </c>
      <c r="E1783" s="3">
        <f>in_parking_demand_data_ver1!E1783*calibration!$I$31</f>
        <v>0</v>
      </c>
      <c r="F1783" s="3">
        <f t="shared" si="27"/>
        <v>68.401973724935246</v>
      </c>
      <c r="G1783">
        <v>65</v>
      </c>
    </row>
    <row r="1784" spans="1:7" x14ac:dyDescent="0.25">
      <c r="A1784">
        <v>18149</v>
      </c>
      <c r="B1784" t="s">
        <v>80</v>
      </c>
      <c r="C1784">
        <v>6</v>
      </c>
      <c r="D1784" s="3">
        <f>in_parking_demand_data_ver1!D1784*calibration!$I$31</f>
        <v>49.922140201580554</v>
      </c>
      <c r="E1784" s="3">
        <f>in_parking_demand_data_ver1!E1784*calibration!$I$31</f>
        <v>0.26589688522812527</v>
      </c>
      <c r="F1784" s="3">
        <f t="shared" si="27"/>
        <v>50.188037086808677</v>
      </c>
      <c r="G1784">
        <v>65</v>
      </c>
    </row>
    <row r="1785" spans="1:7" x14ac:dyDescent="0.25">
      <c r="A1785">
        <v>18149</v>
      </c>
      <c r="B1785" t="s">
        <v>80</v>
      </c>
      <c r="C1785">
        <v>7</v>
      </c>
      <c r="D1785" s="3">
        <f>in_parking_demand_data_ver1!D1785*calibration!$I$31</f>
        <v>34.234223973121104</v>
      </c>
      <c r="E1785" s="3">
        <f>in_parking_demand_data_ver1!E1785*calibration!$I$31</f>
        <v>1.528907090061717</v>
      </c>
      <c r="F1785" s="3">
        <f t="shared" si="27"/>
        <v>35.763131063182819</v>
      </c>
      <c r="G1785">
        <v>65</v>
      </c>
    </row>
    <row r="1786" spans="1:7" x14ac:dyDescent="0.25">
      <c r="A1786">
        <v>18149</v>
      </c>
      <c r="B1786" t="s">
        <v>80</v>
      </c>
      <c r="C1786">
        <v>8</v>
      </c>
      <c r="D1786" s="3">
        <f>in_parking_demand_data_ver1!D1786*calibration!$I$31</f>
        <v>24.329564998373421</v>
      </c>
      <c r="E1786" s="3">
        <f>in_parking_demand_data_ver1!E1786*calibration!$I$31</f>
        <v>2.3265977457460969</v>
      </c>
      <c r="F1786" s="3">
        <f t="shared" si="27"/>
        <v>26.656162744119516</v>
      </c>
      <c r="G1786">
        <v>65</v>
      </c>
    </row>
    <row r="1787" spans="1:7" x14ac:dyDescent="0.25">
      <c r="A1787">
        <v>18149</v>
      </c>
      <c r="B1787" t="s">
        <v>80</v>
      </c>
      <c r="C1787">
        <v>9</v>
      </c>
      <c r="D1787" s="3">
        <f>in_parking_demand_data_ver1!D1787*calibration!$I$31</f>
        <v>16.419132662836681</v>
      </c>
      <c r="E1787" s="3">
        <f>in_parking_demand_data_ver1!E1787*calibration!$I$31</f>
        <v>2.5924946309742181</v>
      </c>
      <c r="F1787" s="3">
        <f t="shared" si="27"/>
        <v>19.0116272938109</v>
      </c>
      <c r="G1787">
        <v>65</v>
      </c>
    </row>
    <row r="1788" spans="1:7" x14ac:dyDescent="0.25">
      <c r="A1788">
        <v>18149</v>
      </c>
      <c r="B1788" t="s">
        <v>80</v>
      </c>
      <c r="C1788">
        <v>10</v>
      </c>
      <c r="D1788" s="3">
        <f>in_parking_demand_data_ver1!D1788*calibration!$I$31</f>
        <v>15.289070900617171</v>
      </c>
      <c r="E1788" s="3">
        <f>in_parking_demand_data_ver1!E1788*calibration!$I$31</f>
        <v>2.6589688522812525</v>
      </c>
      <c r="F1788" s="3">
        <f t="shared" si="27"/>
        <v>17.948039752898424</v>
      </c>
      <c r="G1788">
        <v>65</v>
      </c>
    </row>
    <row r="1789" spans="1:7" x14ac:dyDescent="0.25">
      <c r="A1789">
        <v>18149</v>
      </c>
      <c r="B1789" t="s">
        <v>80</v>
      </c>
      <c r="C1789">
        <v>11</v>
      </c>
      <c r="D1789" s="3">
        <f>in_parking_demand_data_ver1!D1789*calibration!$I$31</f>
        <v>13.028947376178149</v>
      </c>
      <c r="E1789" s="3">
        <f>in_parking_demand_data_ver1!E1789*calibration!$I$31</f>
        <v>1.528907090061717</v>
      </c>
      <c r="F1789" s="3">
        <f t="shared" si="27"/>
        <v>14.557854466239865</v>
      </c>
      <c r="G1789">
        <v>65</v>
      </c>
    </row>
    <row r="1790" spans="1:7" x14ac:dyDescent="0.25">
      <c r="A1790">
        <v>18149</v>
      </c>
      <c r="B1790" t="s">
        <v>80</v>
      </c>
      <c r="C1790">
        <v>12</v>
      </c>
      <c r="D1790" s="3">
        <f>in_parking_demand_data_ver1!D1790*calibration!$I$31</f>
        <v>12.16478249918671</v>
      </c>
      <c r="E1790" s="3">
        <f>in_parking_demand_data_ver1!E1790*calibration!$I$31</f>
        <v>0.7312164343773454</v>
      </c>
      <c r="F1790" s="3">
        <f t="shared" si="27"/>
        <v>12.895998933564055</v>
      </c>
      <c r="G1790">
        <v>65</v>
      </c>
    </row>
    <row r="1791" spans="1:7" x14ac:dyDescent="0.25">
      <c r="A1791">
        <v>18149</v>
      </c>
      <c r="B1791" t="s">
        <v>80</v>
      </c>
      <c r="C1791">
        <v>13</v>
      </c>
      <c r="D1791" s="3">
        <f>in_parking_demand_data_ver1!D1791*calibration!$I$31</f>
        <v>13.36131848271328</v>
      </c>
      <c r="E1791" s="3">
        <f>in_parking_demand_data_ver1!E1791*calibration!$I$31</f>
        <v>0.59826799176328238</v>
      </c>
      <c r="F1791" s="3">
        <f t="shared" si="27"/>
        <v>13.959586474476563</v>
      </c>
      <c r="G1791">
        <v>65</v>
      </c>
    </row>
    <row r="1792" spans="1:7" x14ac:dyDescent="0.25">
      <c r="A1792">
        <v>18149</v>
      </c>
      <c r="B1792" t="s">
        <v>80</v>
      </c>
      <c r="C1792">
        <v>14</v>
      </c>
      <c r="D1792" s="3">
        <f>in_parking_demand_data_ver1!D1792*calibration!$I$31</f>
        <v>17.61566864636325</v>
      </c>
      <c r="E1792" s="3">
        <f>in_parking_demand_data_ver1!E1792*calibration!$I$31</f>
        <v>0.26589688522812527</v>
      </c>
      <c r="F1792" s="3">
        <f t="shared" si="27"/>
        <v>17.881565531591377</v>
      </c>
      <c r="G1792">
        <v>65</v>
      </c>
    </row>
    <row r="1793" spans="1:7" x14ac:dyDescent="0.25">
      <c r="A1793">
        <v>18149</v>
      </c>
      <c r="B1793" t="s">
        <v>80</v>
      </c>
      <c r="C1793">
        <v>15</v>
      </c>
      <c r="D1793" s="3">
        <f>in_parking_demand_data_ver1!D1793*calibration!$I$31</f>
        <v>22.80065790831172</v>
      </c>
      <c r="E1793" s="3">
        <f>in_parking_demand_data_ver1!E1793*calibration!$I$31</f>
        <v>0</v>
      </c>
      <c r="F1793" s="3">
        <f t="shared" si="27"/>
        <v>22.80065790831172</v>
      </c>
      <c r="G1793">
        <v>65</v>
      </c>
    </row>
    <row r="1794" spans="1:7" x14ac:dyDescent="0.25">
      <c r="A1794">
        <v>18149</v>
      </c>
      <c r="B1794" t="s">
        <v>80</v>
      </c>
      <c r="C1794">
        <v>16</v>
      </c>
      <c r="D1794" s="3">
        <f>in_parking_demand_data_ver1!D1794*calibration!$I$31</f>
        <v>27.919172948953129</v>
      </c>
      <c r="E1794" s="3">
        <f>in_parking_demand_data_ver1!E1794*calibration!$I$31</f>
        <v>0.19942266392109415</v>
      </c>
      <c r="F1794" s="3">
        <f t="shared" si="27"/>
        <v>28.118595612874223</v>
      </c>
      <c r="G1794">
        <v>65</v>
      </c>
    </row>
    <row r="1795" spans="1:7" x14ac:dyDescent="0.25">
      <c r="A1795">
        <v>18149</v>
      </c>
      <c r="B1795" t="s">
        <v>80</v>
      </c>
      <c r="C1795">
        <v>17</v>
      </c>
      <c r="D1795" s="3">
        <f>in_parking_demand_data_ver1!D1795*calibration!$I$31</f>
        <v>34.101275530507074</v>
      </c>
      <c r="E1795" s="3">
        <f>in_parking_demand_data_ver1!E1795*calibration!$I$31</f>
        <v>0.13294844261406219</v>
      </c>
      <c r="F1795" s="3">
        <f t="shared" ref="F1795:F1858" si="28">SUM(D1795:E1795)</f>
        <v>34.234223973121139</v>
      </c>
      <c r="G1795">
        <v>65</v>
      </c>
    </row>
    <row r="1796" spans="1:7" x14ac:dyDescent="0.25">
      <c r="A1796">
        <v>18149</v>
      </c>
      <c r="B1796" t="s">
        <v>80</v>
      </c>
      <c r="C1796">
        <v>18</v>
      </c>
      <c r="D1796" s="3">
        <f>in_parking_demand_data_ver1!D1796*calibration!$I$31</f>
        <v>41.214017210359437</v>
      </c>
      <c r="E1796" s="3">
        <f>in_parking_demand_data_ver1!E1796*calibration!$I$31</f>
        <v>0.13294844261406219</v>
      </c>
      <c r="F1796" s="3">
        <f t="shared" si="28"/>
        <v>41.346965652973502</v>
      </c>
      <c r="G1796">
        <v>65</v>
      </c>
    </row>
    <row r="1797" spans="1:7" x14ac:dyDescent="0.25">
      <c r="A1797">
        <v>18149</v>
      </c>
      <c r="B1797" t="s">
        <v>80</v>
      </c>
      <c r="C1797">
        <v>19</v>
      </c>
      <c r="D1797" s="3">
        <f>in_parking_demand_data_ver1!D1797*calibration!$I$31</f>
        <v>54.242964586537582</v>
      </c>
      <c r="E1797" s="3">
        <f>in_parking_demand_data_ver1!E1797*calibration!$I$31</f>
        <v>0</v>
      </c>
      <c r="F1797" s="3">
        <f t="shared" si="28"/>
        <v>54.242964586537582</v>
      </c>
      <c r="G1797">
        <v>65</v>
      </c>
    </row>
    <row r="1798" spans="1:7" x14ac:dyDescent="0.25">
      <c r="A1798">
        <v>18149</v>
      </c>
      <c r="B1798" t="s">
        <v>80</v>
      </c>
      <c r="C1798">
        <v>20</v>
      </c>
      <c r="D1798" s="3">
        <f>in_parking_demand_data_ver1!D1798*calibration!$I$31</f>
        <v>63.01756179906576</v>
      </c>
      <c r="E1798" s="3">
        <f>in_parking_demand_data_ver1!E1798*calibration!$I$31</f>
        <v>0</v>
      </c>
      <c r="F1798" s="3">
        <f t="shared" si="28"/>
        <v>63.01756179906576</v>
      </c>
      <c r="G1798">
        <v>65</v>
      </c>
    </row>
    <row r="1799" spans="1:7" x14ac:dyDescent="0.25">
      <c r="A1799">
        <v>18149</v>
      </c>
      <c r="B1799" t="s">
        <v>80</v>
      </c>
      <c r="C1799">
        <v>21</v>
      </c>
      <c r="D1799" s="3">
        <f>in_parking_demand_data_ver1!D1799*calibration!$I$31</f>
        <v>69.66498392976888</v>
      </c>
      <c r="E1799" s="3">
        <f>in_parking_demand_data_ver1!E1799*calibration!$I$31</f>
        <v>0</v>
      </c>
      <c r="F1799" s="3">
        <f t="shared" si="28"/>
        <v>69.66498392976888</v>
      </c>
      <c r="G1799">
        <v>65</v>
      </c>
    </row>
    <row r="1800" spans="1:7" x14ac:dyDescent="0.25">
      <c r="A1800">
        <v>18149</v>
      </c>
      <c r="B1800" t="s">
        <v>80</v>
      </c>
      <c r="C1800">
        <v>22</v>
      </c>
      <c r="D1800" s="3">
        <f>in_parking_demand_data_ver1!D1800*calibration!$I$31</f>
        <v>73.852859872111864</v>
      </c>
      <c r="E1800" s="3">
        <f>in_parking_demand_data_ver1!E1800*calibration!$I$31</f>
        <v>0</v>
      </c>
      <c r="F1800" s="3">
        <f t="shared" si="28"/>
        <v>73.852859872111864</v>
      </c>
      <c r="G1800">
        <v>65</v>
      </c>
    </row>
    <row r="1801" spans="1:7" x14ac:dyDescent="0.25">
      <c r="A1801">
        <v>18149</v>
      </c>
      <c r="B1801" t="s">
        <v>80</v>
      </c>
      <c r="C1801">
        <v>23</v>
      </c>
      <c r="D1801" s="3">
        <f>in_parking_demand_data_ver1!D1801*calibration!$I$31</f>
        <v>77.841313150533779</v>
      </c>
      <c r="E1801" s="3">
        <f>in_parking_demand_data_ver1!E1801*calibration!$I$31</f>
        <v>0</v>
      </c>
      <c r="F1801" s="3">
        <f t="shared" si="28"/>
        <v>77.841313150533779</v>
      </c>
      <c r="G1801">
        <v>65</v>
      </c>
    </row>
    <row r="1802" spans="1:7" x14ac:dyDescent="0.25">
      <c r="A1802">
        <v>18151</v>
      </c>
      <c r="B1802" t="s">
        <v>81</v>
      </c>
      <c r="C1802">
        <v>0</v>
      </c>
      <c r="D1802" s="3">
        <f>in_parking_demand_data_ver1!D1802*calibration!$I$31</f>
        <v>369.06275201286945</v>
      </c>
      <c r="E1802" s="3">
        <f>in_parking_demand_data_ver1!E1802*calibration!$I$31</f>
        <v>15.181454755294991</v>
      </c>
      <c r="F1802" s="3">
        <f t="shared" si="28"/>
        <v>384.24420676816442</v>
      </c>
      <c r="G1802">
        <v>640</v>
      </c>
    </row>
    <row r="1803" spans="1:7" x14ac:dyDescent="0.25">
      <c r="A1803">
        <v>18151</v>
      </c>
      <c r="B1803" t="s">
        <v>81</v>
      </c>
      <c r="C1803">
        <v>1</v>
      </c>
      <c r="D1803" s="3">
        <f>in_parking_demand_data_ver1!D1803*calibration!$I$31</f>
        <v>368.63957557369747</v>
      </c>
      <c r="E1803" s="3">
        <f>in_parking_demand_data_ver1!E1803*calibration!$I$31</f>
        <v>16.239395853224991</v>
      </c>
      <c r="F1803" s="3">
        <f t="shared" si="28"/>
        <v>384.87897142692248</v>
      </c>
      <c r="G1803">
        <v>640</v>
      </c>
    </row>
    <row r="1804" spans="1:7" x14ac:dyDescent="0.25">
      <c r="A1804">
        <v>18151</v>
      </c>
      <c r="B1804" t="s">
        <v>81</v>
      </c>
      <c r="C1804">
        <v>2</v>
      </c>
      <c r="D1804" s="3">
        <f>in_parking_demand_data_ver1!D1804*calibration!$I$31</f>
        <v>365.99472282887245</v>
      </c>
      <c r="E1804" s="3">
        <f>in_parking_demand_data_ver1!E1804*calibration!$I$31</f>
        <v>18.302380994188404</v>
      </c>
      <c r="F1804" s="3">
        <f t="shared" si="28"/>
        <v>384.29710382306087</v>
      </c>
      <c r="G1804">
        <v>640</v>
      </c>
    </row>
    <row r="1805" spans="1:7" x14ac:dyDescent="0.25">
      <c r="A1805">
        <v>18151</v>
      </c>
      <c r="B1805" t="s">
        <v>81</v>
      </c>
      <c r="C1805">
        <v>3</v>
      </c>
      <c r="D1805" s="3">
        <f>in_parking_demand_data_ver1!D1805*calibration!$I$31</f>
        <v>360.22894384515479</v>
      </c>
      <c r="E1805" s="3">
        <f>in_parking_demand_data_ver1!E1805*calibration!$I$31</f>
        <v>18.884248598049904</v>
      </c>
      <c r="F1805" s="3">
        <f t="shared" si="28"/>
        <v>379.1131924432047</v>
      </c>
      <c r="G1805">
        <v>640</v>
      </c>
    </row>
    <row r="1806" spans="1:7" x14ac:dyDescent="0.25">
      <c r="A1806">
        <v>18151</v>
      </c>
      <c r="B1806" t="s">
        <v>81</v>
      </c>
      <c r="C1806">
        <v>4</v>
      </c>
      <c r="D1806" s="3">
        <f>in_parking_demand_data_ver1!D1806*calibration!$I$31</f>
        <v>349.06766526199328</v>
      </c>
      <c r="E1806" s="3">
        <f>in_parking_demand_data_ver1!E1806*calibration!$I$31</f>
        <v>17.826307500119988</v>
      </c>
      <c r="F1806" s="3">
        <f t="shared" si="28"/>
        <v>366.89397276211326</v>
      </c>
      <c r="G1806">
        <v>640</v>
      </c>
    </row>
    <row r="1807" spans="1:7" x14ac:dyDescent="0.25">
      <c r="A1807">
        <v>18151</v>
      </c>
      <c r="B1807" t="s">
        <v>81</v>
      </c>
      <c r="C1807">
        <v>5</v>
      </c>
      <c r="D1807" s="3">
        <f>in_parking_demand_data_ver1!D1807*calibration!$I$31</f>
        <v>336.05498975745428</v>
      </c>
      <c r="E1807" s="3">
        <f>in_parking_demand_data_ver1!E1807*calibration!$I$31</f>
        <v>19.677704421497403</v>
      </c>
      <c r="F1807" s="3">
        <f t="shared" si="28"/>
        <v>355.7326941789517</v>
      </c>
      <c r="G1807">
        <v>640</v>
      </c>
    </row>
    <row r="1808" spans="1:7" x14ac:dyDescent="0.25">
      <c r="A1808">
        <v>18151</v>
      </c>
      <c r="B1808" t="s">
        <v>81</v>
      </c>
      <c r="C1808">
        <v>6</v>
      </c>
      <c r="D1808" s="3">
        <f>in_parking_demand_data_ver1!D1808*calibration!$I$31</f>
        <v>308.70721237596467</v>
      </c>
      <c r="E1808" s="3">
        <f>in_parking_demand_data_ver1!E1808*calibration!$I$31</f>
        <v>21.63489545266782</v>
      </c>
      <c r="F1808" s="3">
        <f t="shared" si="28"/>
        <v>330.34210782863249</v>
      </c>
      <c r="G1808">
        <v>640</v>
      </c>
    </row>
    <row r="1809" spans="1:7" x14ac:dyDescent="0.25">
      <c r="A1809">
        <v>18151</v>
      </c>
      <c r="B1809" t="s">
        <v>81</v>
      </c>
      <c r="C1809">
        <v>7</v>
      </c>
      <c r="D1809" s="3">
        <f>in_parking_demand_data_ver1!D1809*calibration!$I$31</f>
        <v>276.59870005378997</v>
      </c>
      <c r="E1809" s="3">
        <f>in_parking_demand_data_ver1!E1809*calibration!$I$31</f>
        <v>21.63489545266782</v>
      </c>
      <c r="F1809" s="3">
        <f t="shared" si="28"/>
        <v>298.23359550645779</v>
      </c>
      <c r="G1809">
        <v>640</v>
      </c>
    </row>
    <row r="1810" spans="1:7" x14ac:dyDescent="0.25">
      <c r="A1810">
        <v>18151</v>
      </c>
      <c r="B1810" t="s">
        <v>81</v>
      </c>
      <c r="C1810">
        <v>8</v>
      </c>
      <c r="D1810" s="3">
        <f>in_parking_demand_data_ver1!D1810*calibration!$I$31</f>
        <v>255.33408398539783</v>
      </c>
      <c r="E1810" s="3">
        <f>in_parking_demand_data_ver1!E1810*calibration!$I$31</f>
        <v>25.231895185629732</v>
      </c>
      <c r="F1810" s="3">
        <f t="shared" si="28"/>
        <v>280.56597917102755</v>
      </c>
      <c r="G1810">
        <v>640</v>
      </c>
    </row>
    <row r="1811" spans="1:7" x14ac:dyDescent="0.25">
      <c r="A1811">
        <v>18151</v>
      </c>
      <c r="B1811" t="s">
        <v>81</v>
      </c>
      <c r="C1811">
        <v>9</v>
      </c>
      <c r="D1811" s="3">
        <f>in_parking_demand_data_ver1!D1811*calibration!$I$31</f>
        <v>222.90818933384418</v>
      </c>
      <c r="E1811" s="3">
        <f>in_parking_demand_data_ver1!E1811*calibration!$I$31</f>
        <v>24.650027581768231</v>
      </c>
      <c r="F1811" s="3">
        <f t="shared" si="28"/>
        <v>247.55821691561241</v>
      </c>
      <c r="G1811">
        <v>640</v>
      </c>
    </row>
    <row r="1812" spans="1:7" x14ac:dyDescent="0.25">
      <c r="A1812">
        <v>18151</v>
      </c>
      <c r="B1812" t="s">
        <v>81</v>
      </c>
      <c r="C1812">
        <v>10</v>
      </c>
      <c r="D1812" s="3">
        <f>in_parking_demand_data_ver1!D1812*calibration!$I$31</f>
        <v>202.80730847317506</v>
      </c>
      <c r="E1812" s="3">
        <f>in_parking_demand_data_ver1!E1812*calibration!$I$31</f>
        <v>22.534145385908321</v>
      </c>
      <c r="F1812" s="3">
        <f t="shared" si="28"/>
        <v>225.34145385908337</v>
      </c>
      <c r="G1812">
        <v>640</v>
      </c>
    </row>
    <row r="1813" spans="1:7" x14ac:dyDescent="0.25">
      <c r="A1813">
        <v>18151</v>
      </c>
      <c r="B1813" t="s">
        <v>81</v>
      </c>
      <c r="C1813">
        <v>11</v>
      </c>
      <c r="D1813" s="3">
        <f>in_parking_demand_data_ver1!D1813*calibration!$I$31</f>
        <v>198.09947058738655</v>
      </c>
      <c r="E1813" s="3">
        <f>in_parking_demand_data_ver1!E1813*calibration!$I$31</f>
        <v>19.836395586186903</v>
      </c>
      <c r="F1813" s="3">
        <f t="shared" si="28"/>
        <v>217.93586617357346</v>
      </c>
      <c r="G1813">
        <v>640</v>
      </c>
    </row>
    <row r="1814" spans="1:7" x14ac:dyDescent="0.25">
      <c r="A1814">
        <v>18151</v>
      </c>
      <c r="B1814" t="s">
        <v>81</v>
      </c>
      <c r="C1814">
        <v>12</v>
      </c>
      <c r="D1814" s="3">
        <f>in_parking_demand_data_ver1!D1814*calibration!$I$31</f>
        <v>192.12210338408204</v>
      </c>
      <c r="E1814" s="3">
        <f>in_parking_demand_data_ver1!E1814*calibration!$I$31</f>
        <v>17.297336951154989</v>
      </c>
      <c r="F1814" s="3">
        <f t="shared" si="28"/>
        <v>209.41944033523703</v>
      </c>
      <c r="G1814">
        <v>640</v>
      </c>
    </row>
    <row r="1815" spans="1:7" x14ac:dyDescent="0.25">
      <c r="A1815">
        <v>18151</v>
      </c>
      <c r="B1815" t="s">
        <v>81</v>
      </c>
      <c r="C1815">
        <v>13</v>
      </c>
      <c r="D1815" s="3">
        <f>in_parking_demand_data_ver1!D1815*calibration!$I$31</f>
        <v>196.72414716007754</v>
      </c>
      <c r="E1815" s="3">
        <f>in_parking_demand_data_ver1!E1815*calibration!$I$31</f>
        <v>14.017719547572074</v>
      </c>
      <c r="F1815" s="3">
        <f t="shared" si="28"/>
        <v>210.74186670764962</v>
      </c>
      <c r="G1815">
        <v>640</v>
      </c>
    </row>
    <row r="1816" spans="1:7" x14ac:dyDescent="0.25">
      <c r="A1816">
        <v>18151</v>
      </c>
      <c r="B1816" t="s">
        <v>81</v>
      </c>
      <c r="C1816">
        <v>14</v>
      </c>
      <c r="D1816" s="3">
        <f>in_parking_demand_data_ver1!D1816*calibration!$I$31</f>
        <v>214.33886644061118</v>
      </c>
      <c r="E1816" s="3">
        <f>in_parking_demand_data_ver1!E1816*calibration!$I$31</f>
        <v>12.007631461505159</v>
      </c>
      <c r="F1816" s="3">
        <f t="shared" si="28"/>
        <v>226.34649790211634</v>
      </c>
      <c r="G1816">
        <v>640</v>
      </c>
    </row>
    <row r="1817" spans="1:7" x14ac:dyDescent="0.25">
      <c r="A1817">
        <v>18151</v>
      </c>
      <c r="B1817" t="s">
        <v>81</v>
      </c>
      <c r="C1817">
        <v>15</v>
      </c>
      <c r="D1817" s="3">
        <f>in_parking_demand_data_ver1!D1817*calibration!$I$31</f>
        <v>231.00143873300868</v>
      </c>
      <c r="E1817" s="3">
        <f>in_parking_demand_data_ver1!E1817*calibration!$I$31</f>
        <v>10.52651392440316</v>
      </c>
      <c r="F1817" s="3">
        <f t="shared" si="28"/>
        <v>241.52795265741184</v>
      </c>
      <c r="G1817">
        <v>640</v>
      </c>
    </row>
    <row r="1818" spans="1:7" x14ac:dyDescent="0.25">
      <c r="A1818">
        <v>18151</v>
      </c>
      <c r="B1818" t="s">
        <v>81</v>
      </c>
      <c r="C1818">
        <v>16</v>
      </c>
      <c r="D1818" s="3">
        <f>in_parking_demand_data_ver1!D1818*calibration!$I$31</f>
        <v>246.18289348830334</v>
      </c>
      <c r="E1818" s="3">
        <f>in_parking_demand_data_ver1!E1818*calibration!$I$31</f>
        <v>9.0453963873012437</v>
      </c>
      <c r="F1818" s="3">
        <f t="shared" si="28"/>
        <v>255.22828987560459</v>
      </c>
      <c r="G1818">
        <v>640</v>
      </c>
    </row>
    <row r="1819" spans="1:7" x14ac:dyDescent="0.25">
      <c r="A1819">
        <v>18151</v>
      </c>
      <c r="B1819" t="s">
        <v>81</v>
      </c>
      <c r="C1819">
        <v>17</v>
      </c>
      <c r="D1819" s="3">
        <f>in_parking_demand_data_ver1!D1819*calibration!$I$31</f>
        <v>258.93108371835984</v>
      </c>
      <c r="E1819" s="3">
        <f>in_parking_demand_data_ver1!E1819*calibration!$I$31</f>
        <v>10.156234540127659</v>
      </c>
      <c r="F1819" s="3">
        <f t="shared" si="28"/>
        <v>269.08731825848753</v>
      </c>
      <c r="G1819">
        <v>640</v>
      </c>
    </row>
    <row r="1820" spans="1:7" x14ac:dyDescent="0.25">
      <c r="A1820">
        <v>18151</v>
      </c>
      <c r="B1820" t="s">
        <v>81</v>
      </c>
      <c r="C1820">
        <v>18</v>
      </c>
      <c r="D1820" s="3">
        <f>in_parking_demand_data_ver1!D1820*calibration!$I$31</f>
        <v>280.93625855530303</v>
      </c>
      <c r="E1820" s="3">
        <f>in_parking_demand_data_ver1!E1820*calibration!$I$31</f>
        <v>10.73810214398916</v>
      </c>
      <c r="F1820" s="3">
        <f t="shared" si="28"/>
        <v>291.67436069929221</v>
      </c>
      <c r="G1820">
        <v>640</v>
      </c>
    </row>
    <row r="1821" spans="1:7" x14ac:dyDescent="0.25">
      <c r="A1821">
        <v>18151</v>
      </c>
      <c r="B1821" t="s">
        <v>81</v>
      </c>
      <c r="C1821">
        <v>19</v>
      </c>
      <c r="D1821" s="3">
        <f>in_parking_demand_data_ver1!D1821*calibration!$I$31</f>
        <v>305.58628613707117</v>
      </c>
      <c r="E1821" s="3">
        <f>in_parking_demand_data_ver1!E1821*calibration!$I$31</f>
        <v>10.156234540127659</v>
      </c>
      <c r="F1821" s="3">
        <f t="shared" si="28"/>
        <v>315.74252067719885</v>
      </c>
      <c r="G1821">
        <v>640</v>
      </c>
    </row>
    <row r="1822" spans="1:7" x14ac:dyDescent="0.25">
      <c r="A1822">
        <v>18151</v>
      </c>
      <c r="B1822" t="s">
        <v>81</v>
      </c>
      <c r="C1822">
        <v>20</v>
      </c>
      <c r="D1822" s="3">
        <f>in_parking_demand_data_ver1!D1822*calibration!$I$31</f>
        <v>326.85090220546414</v>
      </c>
      <c r="E1822" s="3">
        <f>in_parking_demand_data_ver1!E1822*calibration!$I$31</f>
        <v>12.219219681091074</v>
      </c>
      <c r="F1822" s="3">
        <f t="shared" si="28"/>
        <v>339.07012188655523</v>
      </c>
      <c r="G1822">
        <v>640</v>
      </c>
    </row>
    <row r="1823" spans="1:7" x14ac:dyDescent="0.25">
      <c r="A1823">
        <v>18151</v>
      </c>
      <c r="B1823" t="s">
        <v>81</v>
      </c>
      <c r="C1823">
        <v>21</v>
      </c>
      <c r="D1823" s="3">
        <f>in_parking_demand_data_ver1!D1823*calibration!$I$31</f>
        <v>351.02485629316379</v>
      </c>
      <c r="E1823" s="3">
        <f>in_parking_demand_data_ver1!E1823*calibration!$I$31</f>
        <v>12.325013790884075</v>
      </c>
      <c r="F1823" s="3">
        <f t="shared" si="28"/>
        <v>363.34987008404789</v>
      </c>
      <c r="G1823">
        <v>640</v>
      </c>
    </row>
    <row r="1824" spans="1:7" x14ac:dyDescent="0.25">
      <c r="A1824">
        <v>18151</v>
      </c>
      <c r="B1824" t="s">
        <v>81</v>
      </c>
      <c r="C1824">
        <v>22</v>
      </c>
      <c r="D1824" s="3">
        <f>in_parking_demand_data_ver1!D1824*calibration!$I$31</f>
        <v>365.41285522501096</v>
      </c>
      <c r="E1824" s="3">
        <f>in_parking_demand_data_ver1!E1824*calibration!$I$31</f>
        <v>13.065572559435076</v>
      </c>
      <c r="F1824" s="3">
        <f t="shared" si="28"/>
        <v>378.47842778444601</v>
      </c>
      <c r="G1824">
        <v>640</v>
      </c>
    </row>
    <row r="1825" spans="1:7" x14ac:dyDescent="0.25">
      <c r="A1825">
        <v>18151</v>
      </c>
      <c r="B1825" t="s">
        <v>81</v>
      </c>
      <c r="C1825">
        <v>23</v>
      </c>
      <c r="D1825" s="3">
        <f>in_parking_demand_data_ver1!D1825*calibration!$I$31</f>
        <v>369.59172256183444</v>
      </c>
      <c r="E1825" s="3">
        <f>in_parking_demand_data_ver1!E1825*calibration!$I$31</f>
        <v>13.594543108400075</v>
      </c>
      <c r="F1825" s="3">
        <f t="shared" si="28"/>
        <v>383.18626567023455</v>
      </c>
      <c r="G1825">
        <v>640</v>
      </c>
    </row>
    <row r="1826" spans="1:7" x14ac:dyDescent="0.25">
      <c r="A1826">
        <v>18153</v>
      </c>
      <c r="B1826" t="s">
        <v>82</v>
      </c>
      <c r="C1826">
        <v>0</v>
      </c>
      <c r="D1826" s="3">
        <f>in_parking_demand_data_ver1!D1826*calibration!$I$31</f>
        <v>17.794774356513106</v>
      </c>
      <c r="E1826" s="3">
        <f>in_parking_demand_data_ver1!E1826*calibration!$I$31</f>
        <v>0</v>
      </c>
      <c r="F1826" s="3">
        <f t="shared" si="28"/>
        <v>17.794774356513106</v>
      </c>
      <c r="G1826">
        <v>122</v>
      </c>
    </row>
    <row r="1827" spans="1:7" x14ac:dyDescent="0.25">
      <c r="A1827">
        <v>18153</v>
      </c>
      <c r="B1827" t="s">
        <v>82</v>
      </c>
      <c r="C1827">
        <v>1</v>
      </c>
      <c r="D1827" s="3">
        <f>in_parking_demand_data_ver1!D1827*calibration!$I$31</f>
        <v>18.533854441607929</v>
      </c>
      <c r="E1827" s="3">
        <f>in_parking_demand_data_ver1!E1827*calibration!$I$31</f>
        <v>0</v>
      </c>
      <c r="F1827" s="3">
        <f t="shared" si="28"/>
        <v>18.533854441607929</v>
      </c>
      <c r="G1827">
        <v>122</v>
      </c>
    </row>
    <row r="1828" spans="1:7" x14ac:dyDescent="0.25">
      <c r="A1828">
        <v>18153</v>
      </c>
      <c r="B1828" t="s">
        <v>82</v>
      </c>
      <c r="C1828">
        <v>2</v>
      </c>
      <c r="D1828" s="3">
        <f>in_parking_demand_data_ver1!D1828*calibration!$I$31</f>
        <v>18.477002127369861</v>
      </c>
      <c r="E1828" s="3">
        <f>in_parking_demand_data_ver1!E1828*calibration!$I$31</f>
        <v>0</v>
      </c>
      <c r="F1828" s="3">
        <f t="shared" si="28"/>
        <v>18.477002127369861</v>
      </c>
      <c r="G1828">
        <v>122</v>
      </c>
    </row>
    <row r="1829" spans="1:7" x14ac:dyDescent="0.25">
      <c r="A1829">
        <v>18153</v>
      </c>
      <c r="B1829" t="s">
        <v>82</v>
      </c>
      <c r="C1829">
        <v>3</v>
      </c>
      <c r="D1829" s="3">
        <f>in_parking_demand_data_ver1!D1829*calibration!$I$31</f>
        <v>18.249592870417665</v>
      </c>
      <c r="E1829" s="3">
        <f>in_parking_demand_data_ver1!E1829*calibration!$I$31</f>
        <v>0</v>
      </c>
      <c r="F1829" s="3">
        <f t="shared" si="28"/>
        <v>18.249592870417665</v>
      </c>
      <c r="G1829">
        <v>122</v>
      </c>
    </row>
    <row r="1830" spans="1:7" x14ac:dyDescent="0.25">
      <c r="A1830">
        <v>18153</v>
      </c>
      <c r="B1830" t="s">
        <v>82</v>
      </c>
      <c r="C1830">
        <v>4</v>
      </c>
      <c r="D1830" s="3">
        <f>in_parking_demand_data_ver1!D1830*calibration!$I$31</f>
        <v>17.851626670751173</v>
      </c>
      <c r="E1830" s="3">
        <f>in_parking_demand_data_ver1!E1830*calibration!$I$31</f>
        <v>0</v>
      </c>
      <c r="F1830" s="3">
        <f t="shared" si="28"/>
        <v>17.851626670751173</v>
      </c>
      <c r="G1830">
        <v>122</v>
      </c>
    </row>
    <row r="1831" spans="1:7" x14ac:dyDescent="0.25">
      <c r="A1831">
        <v>18153</v>
      </c>
      <c r="B1831" t="s">
        <v>82</v>
      </c>
      <c r="C1831">
        <v>5</v>
      </c>
      <c r="D1831" s="3">
        <f>in_parking_demand_data_ver1!D1831*calibration!$I$31</f>
        <v>17.055694271418364</v>
      </c>
      <c r="E1831" s="3">
        <f>in_parking_demand_data_ver1!E1831*calibration!$I$31</f>
        <v>0</v>
      </c>
      <c r="F1831" s="3">
        <f t="shared" si="28"/>
        <v>17.055694271418364</v>
      </c>
      <c r="G1831">
        <v>122</v>
      </c>
    </row>
    <row r="1832" spans="1:7" x14ac:dyDescent="0.25">
      <c r="A1832">
        <v>18153</v>
      </c>
      <c r="B1832" t="s">
        <v>82</v>
      </c>
      <c r="C1832">
        <v>6</v>
      </c>
      <c r="D1832" s="3">
        <f>in_parking_demand_data_ver1!D1832*calibration!$I$31</f>
        <v>16.032352615133274</v>
      </c>
      <c r="E1832" s="3">
        <f>in_parking_demand_data_ver1!E1832*calibration!$I$31</f>
        <v>0</v>
      </c>
      <c r="F1832" s="3">
        <f t="shared" si="28"/>
        <v>16.032352615133274</v>
      </c>
      <c r="G1832">
        <v>122</v>
      </c>
    </row>
    <row r="1833" spans="1:7" x14ac:dyDescent="0.25">
      <c r="A1833">
        <v>18153</v>
      </c>
      <c r="B1833" t="s">
        <v>82</v>
      </c>
      <c r="C1833">
        <v>7</v>
      </c>
      <c r="D1833" s="3">
        <f>in_parking_demand_data_ver1!D1833*calibration!$I$31</f>
        <v>13.246589217468269</v>
      </c>
      <c r="E1833" s="3">
        <f>in_parking_demand_data_ver1!E1833*calibration!$I$31</f>
        <v>0.22740925695224432</v>
      </c>
      <c r="F1833" s="3">
        <f t="shared" si="28"/>
        <v>13.473998474420513</v>
      </c>
      <c r="G1833">
        <v>122</v>
      </c>
    </row>
    <row r="1834" spans="1:7" x14ac:dyDescent="0.25">
      <c r="A1834">
        <v>18153</v>
      </c>
      <c r="B1834" t="s">
        <v>82</v>
      </c>
      <c r="C1834">
        <v>8</v>
      </c>
      <c r="D1834" s="3">
        <f>in_parking_demand_data_ver1!D1834*calibration!$I$31</f>
        <v>9.9491549916606346</v>
      </c>
      <c r="E1834" s="3">
        <f>in_parking_demand_data_ver1!E1834*calibration!$I$31</f>
        <v>0.34111388542836729</v>
      </c>
      <c r="F1834" s="3">
        <f t="shared" si="28"/>
        <v>10.290268877089002</v>
      </c>
      <c r="G1834">
        <v>122</v>
      </c>
    </row>
    <row r="1835" spans="1:7" x14ac:dyDescent="0.25">
      <c r="A1835">
        <v>18153</v>
      </c>
      <c r="B1835" t="s">
        <v>82</v>
      </c>
      <c r="C1835">
        <v>9</v>
      </c>
      <c r="D1835" s="3">
        <f>in_parking_demand_data_ver1!D1835*calibration!$I$31</f>
        <v>6.0263453092344852</v>
      </c>
      <c r="E1835" s="3">
        <f>in_parking_demand_data_ver1!E1835*calibration!$I$31</f>
        <v>1.2507509132373444</v>
      </c>
      <c r="F1835" s="3">
        <f t="shared" si="28"/>
        <v>7.2770962224718296</v>
      </c>
      <c r="G1835">
        <v>122</v>
      </c>
    </row>
    <row r="1836" spans="1:7" x14ac:dyDescent="0.25">
      <c r="A1836">
        <v>18153</v>
      </c>
      <c r="B1836" t="s">
        <v>82</v>
      </c>
      <c r="C1836">
        <v>10</v>
      </c>
      <c r="D1836" s="3">
        <f>in_parking_demand_data_ver1!D1836*calibration!$I$31</f>
        <v>5.400969852615817</v>
      </c>
      <c r="E1836" s="3">
        <f>in_parking_demand_data_ver1!E1836*calibration!$I$31</f>
        <v>1.648717112903775</v>
      </c>
      <c r="F1836" s="3">
        <f t="shared" si="28"/>
        <v>7.0496869655195917</v>
      </c>
      <c r="G1836">
        <v>122</v>
      </c>
    </row>
    <row r="1837" spans="1:7" x14ac:dyDescent="0.25">
      <c r="A1837">
        <v>18153</v>
      </c>
      <c r="B1837" t="s">
        <v>82</v>
      </c>
      <c r="C1837">
        <v>11</v>
      </c>
      <c r="D1837" s="3">
        <f>in_parking_demand_data_ver1!D1837*calibration!$I$31</f>
        <v>5.287265224139694</v>
      </c>
      <c r="E1837" s="3">
        <f>in_parking_demand_data_ver1!E1837*calibration!$I$31</f>
        <v>2.1035356268082586</v>
      </c>
      <c r="F1837" s="3">
        <f t="shared" si="28"/>
        <v>7.3908008509479526</v>
      </c>
      <c r="G1837">
        <v>122</v>
      </c>
    </row>
    <row r="1838" spans="1:7" x14ac:dyDescent="0.25">
      <c r="A1838">
        <v>18153</v>
      </c>
      <c r="B1838" t="s">
        <v>82</v>
      </c>
      <c r="C1838">
        <v>12</v>
      </c>
      <c r="D1838" s="3">
        <f>in_parking_demand_data_ver1!D1838*calibration!$I$31</f>
        <v>4.4913328248068334</v>
      </c>
      <c r="E1838" s="3">
        <f>in_parking_demand_data_ver1!E1838*calibration!$I$31</f>
        <v>1.9329786840940826</v>
      </c>
      <c r="F1838" s="3">
        <f t="shared" si="28"/>
        <v>6.4243115089009155</v>
      </c>
      <c r="G1838">
        <v>122</v>
      </c>
    </row>
    <row r="1839" spans="1:7" x14ac:dyDescent="0.25">
      <c r="A1839">
        <v>18153</v>
      </c>
      <c r="B1839" t="s">
        <v>82</v>
      </c>
      <c r="C1839">
        <v>13</v>
      </c>
      <c r="D1839" s="3">
        <f>in_parking_demand_data_ver1!D1839*calibration!$I$31</f>
        <v>3.6954004254739807</v>
      </c>
      <c r="E1839" s="3">
        <f>in_parking_demand_data_ver1!E1839*calibration!$I$31</f>
        <v>1.7055694271418365</v>
      </c>
      <c r="F1839" s="3">
        <f t="shared" si="28"/>
        <v>5.400969852615817</v>
      </c>
      <c r="G1839">
        <v>122</v>
      </c>
    </row>
    <row r="1840" spans="1:7" x14ac:dyDescent="0.25">
      <c r="A1840">
        <v>18153</v>
      </c>
      <c r="B1840" t="s">
        <v>82</v>
      </c>
      <c r="C1840">
        <v>14</v>
      </c>
      <c r="D1840" s="3">
        <f>in_parking_demand_data_ver1!D1840*calibration!$I$31</f>
        <v>3.4111388542836729</v>
      </c>
      <c r="E1840" s="3">
        <f>in_parking_demand_data_ver1!E1840*calibration!$I$31</f>
        <v>1.0801939705231598</v>
      </c>
      <c r="F1840" s="3">
        <f t="shared" si="28"/>
        <v>4.4913328248068325</v>
      </c>
      <c r="G1840">
        <v>122</v>
      </c>
    </row>
    <row r="1841" spans="1:7" x14ac:dyDescent="0.25">
      <c r="A1841">
        <v>18153</v>
      </c>
      <c r="B1841" t="s">
        <v>82</v>
      </c>
      <c r="C1841">
        <v>15</v>
      </c>
      <c r="D1841" s="3">
        <f>in_parking_demand_data_ver1!D1841*calibration!$I$31</f>
        <v>4.434480510568771</v>
      </c>
      <c r="E1841" s="3">
        <f>in_parking_demand_data_ver1!E1841*calibration!$I$31</f>
        <v>0.39796619966642877</v>
      </c>
      <c r="F1841" s="3">
        <f t="shared" si="28"/>
        <v>4.8324467102351996</v>
      </c>
      <c r="G1841">
        <v>122</v>
      </c>
    </row>
    <row r="1842" spans="1:7" x14ac:dyDescent="0.25">
      <c r="A1842">
        <v>18153</v>
      </c>
      <c r="B1842" t="s">
        <v>82</v>
      </c>
      <c r="C1842">
        <v>16</v>
      </c>
      <c r="D1842" s="3">
        <f>in_parking_demand_data_ver1!D1842*calibration!$I$31</f>
        <v>5.6283791095680629</v>
      </c>
      <c r="E1842" s="3">
        <f>in_parking_demand_data_ver1!E1842*calibration!$I$31</f>
        <v>0</v>
      </c>
      <c r="F1842" s="3">
        <f t="shared" si="28"/>
        <v>5.6283791095680629</v>
      </c>
      <c r="G1842">
        <v>122</v>
      </c>
    </row>
    <row r="1843" spans="1:7" x14ac:dyDescent="0.25">
      <c r="A1843">
        <v>18153</v>
      </c>
      <c r="B1843" t="s">
        <v>82</v>
      </c>
      <c r="C1843">
        <v>17</v>
      </c>
      <c r="D1843" s="3">
        <f>in_parking_demand_data_ver1!D1843*calibration!$I$31</f>
        <v>6.9359823370434688</v>
      </c>
      <c r="E1843" s="3">
        <f>in_parking_demand_data_ver1!E1843*calibration!$I$31</f>
        <v>0</v>
      </c>
      <c r="F1843" s="3">
        <f t="shared" si="28"/>
        <v>6.9359823370434688</v>
      </c>
      <c r="G1843">
        <v>122</v>
      </c>
    </row>
    <row r="1844" spans="1:7" x14ac:dyDescent="0.25">
      <c r="A1844">
        <v>18153</v>
      </c>
      <c r="B1844" t="s">
        <v>82</v>
      </c>
      <c r="C1844">
        <v>18</v>
      </c>
      <c r="D1844" s="3">
        <f>in_parking_demand_data_ver1!D1844*calibration!$I$31</f>
        <v>8.4141425072330591</v>
      </c>
      <c r="E1844" s="3">
        <f>in_parking_demand_data_ver1!E1844*calibration!$I$31</f>
        <v>0.22740925695224432</v>
      </c>
      <c r="F1844" s="3">
        <f t="shared" si="28"/>
        <v>8.6415517641853032</v>
      </c>
      <c r="G1844">
        <v>122</v>
      </c>
    </row>
    <row r="1845" spans="1:7" x14ac:dyDescent="0.25">
      <c r="A1845">
        <v>18153</v>
      </c>
      <c r="B1845" t="s">
        <v>82</v>
      </c>
      <c r="C1845">
        <v>19</v>
      </c>
      <c r="D1845" s="3">
        <f>in_parking_demand_data_ver1!D1845*calibration!$I$31</f>
        <v>10.460825819803265</v>
      </c>
      <c r="E1845" s="3">
        <f>in_parking_demand_data_ver1!E1845*calibration!$I$31</f>
        <v>0.45481851390448946</v>
      </c>
      <c r="F1845" s="3">
        <f t="shared" si="28"/>
        <v>10.915644333707755</v>
      </c>
      <c r="G1845">
        <v>122</v>
      </c>
    </row>
    <row r="1846" spans="1:7" x14ac:dyDescent="0.25">
      <c r="A1846">
        <v>18153</v>
      </c>
      <c r="B1846" t="s">
        <v>82</v>
      </c>
      <c r="C1846">
        <v>20</v>
      </c>
      <c r="D1846" s="3">
        <f>in_parking_demand_data_ver1!D1846*calibration!$I$31</f>
        <v>12.393804503897305</v>
      </c>
      <c r="E1846" s="3">
        <f>in_parking_demand_data_ver1!E1846*calibration!$I$31</f>
        <v>0</v>
      </c>
      <c r="F1846" s="3">
        <f t="shared" si="28"/>
        <v>12.393804503897305</v>
      </c>
      <c r="G1846">
        <v>122</v>
      </c>
    </row>
    <row r="1847" spans="1:7" x14ac:dyDescent="0.25">
      <c r="A1847">
        <v>18153</v>
      </c>
      <c r="B1847" t="s">
        <v>82</v>
      </c>
      <c r="C1847">
        <v>21</v>
      </c>
      <c r="D1847" s="3">
        <f>in_parking_demand_data_ver1!D1847*calibration!$I$31</f>
        <v>14.554192444943624</v>
      </c>
      <c r="E1847" s="3">
        <f>in_parking_demand_data_ver1!E1847*calibration!$I$31</f>
        <v>0</v>
      </c>
      <c r="F1847" s="3">
        <f t="shared" si="28"/>
        <v>14.554192444943624</v>
      </c>
      <c r="G1847">
        <v>122</v>
      </c>
    </row>
    <row r="1848" spans="1:7" x14ac:dyDescent="0.25">
      <c r="A1848">
        <v>18153</v>
      </c>
      <c r="B1848" t="s">
        <v>82</v>
      </c>
      <c r="C1848">
        <v>22</v>
      </c>
      <c r="D1848" s="3">
        <f>in_parking_demand_data_ver1!D1848*calibration!$I$31</f>
        <v>16.08920492937126</v>
      </c>
      <c r="E1848" s="3">
        <f>in_parking_demand_data_ver1!E1848*calibration!$I$31</f>
        <v>0</v>
      </c>
      <c r="F1848" s="3">
        <f t="shared" si="28"/>
        <v>16.08920492937126</v>
      </c>
      <c r="G1848">
        <v>122</v>
      </c>
    </row>
    <row r="1849" spans="1:7" x14ac:dyDescent="0.25">
      <c r="A1849">
        <v>18153</v>
      </c>
      <c r="B1849" t="s">
        <v>82</v>
      </c>
      <c r="C1849">
        <v>23</v>
      </c>
      <c r="D1849" s="3">
        <f>in_parking_demand_data_ver1!D1849*calibration!$I$31</f>
        <v>16.828285014466083</v>
      </c>
      <c r="E1849" s="3">
        <f>in_parking_demand_data_ver1!E1849*calibration!$I$31</f>
        <v>0</v>
      </c>
      <c r="F1849" s="3">
        <f t="shared" si="28"/>
        <v>16.828285014466083</v>
      </c>
      <c r="G1849">
        <v>122</v>
      </c>
    </row>
    <row r="1850" spans="1:7" x14ac:dyDescent="0.25">
      <c r="A1850">
        <v>18155</v>
      </c>
      <c r="B1850" t="s">
        <v>83</v>
      </c>
      <c r="C1850">
        <v>0</v>
      </c>
      <c r="D1850" s="3">
        <f>in_parking_demand_data_ver1!D1850*calibration!$I$31</f>
        <v>0</v>
      </c>
      <c r="E1850" s="3">
        <f>in_parking_demand_data_ver1!E1850*calibration!$I$31</f>
        <v>0</v>
      </c>
      <c r="F1850" s="3">
        <f t="shared" si="28"/>
        <v>0</v>
      </c>
      <c r="G1850">
        <v>0</v>
      </c>
    </row>
    <row r="1851" spans="1:7" x14ac:dyDescent="0.25">
      <c r="A1851">
        <v>18155</v>
      </c>
      <c r="B1851" t="s">
        <v>83</v>
      </c>
      <c r="C1851">
        <v>1</v>
      </c>
      <c r="D1851" s="3">
        <f>in_parking_demand_data_ver1!D1851*calibration!$I$31</f>
        <v>0</v>
      </c>
      <c r="E1851" s="3">
        <f>in_parking_demand_data_ver1!E1851*calibration!$I$31</f>
        <v>0</v>
      </c>
      <c r="F1851" s="3">
        <f t="shared" si="28"/>
        <v>0</v>
      </c>
      <c r="G1851">
        <v>0</v>
      </c>
    </row>
    <row r="1852" spans="1:7" x14ac:dyDescent="0.25">
      <c r="A1852">
        <v>18155</v>
      </c>
      <c r="B1852" t="s">
        <v>83</v>
      </c>
      <c r="C1852">
        <v>2</v>
      </c>
      <c r="D1852" s="3">
        <f>in_parking_demand_data_ver1!D1852*calibration!$I$31</f>
        <v>0</v>
      </c>
      <c r="E1852" s="3">
        <f>in_parking_demand_data_ver1!E1852*calibration!$I$31</f>
        <v>0</v>
      </c>
      <c r="F1852" s="3">
        <f t="shared" si="28"/>
        <v>0</v>
      </c>
      <c r="G1852">
        <v>0</v>
      </c>
    </row>
    <row r="1853" spans="1:7" x14ac:dyDescent="0.25">
      <c r="A1853">
        <v>18155</v>
      </c>
      <c r="B1853" t="s">
        <v>83</v>
      </c>
      <c r="C1853">
        <v>3</v>
      </c>
      <c r="D1853" s="3">
        <f>in_parking_demand_data_ver1!D1853*calibration!$I$31</f>
        <v>0</v>
      </c>
      <c r="E1853" s="3">
        <f>in_parking_demand_data_ver1!E1853*calibration!$I$31</f>
        <v>0</v>
      </c>
      <c r="F1853" s="3">
        <f t="shared" si="28"/>
        <v>0</v>
      </c>
      <c r="G1853">
        <v>0</v>
      </c>
    </row>
    <row r="1854" spans="1:7" x14ac:dyDescent="0.25">
      <c r="A1854">
        <v>18155</v>
      </c>
      <c r="B1854" t="s">
        <v>83</v>
      </c>
      <c r="C1854">
        <v>4</v>
      </c>
      <c r="D1854" s="3">
        <f>in_parking_demand_data_ver1!D1854*calibration!$I$31</f>
        <v>0</v>
      </c>
      <c r="E1854" s="3">
        <f>in_parking_demand_data_ver1!E1854*calibration!$I$31</f>
        <v>0</v>
      </c>
      <c r="F1854" s="3">
        <f t="shared" si="28"/>
        <v>0</v>
      </c>
      <c r="G1854">
        <v>0</v>
      </c>
    </row>
    <row r="1855" spans="1:7" x14ac:dyDescent="0.25">
      <c r="A1855">
        <v>18155</v>
      </c>
      <c r="B1855" t="s">
        <v>83</v>
      </c>
      <c r="C1855">
        <v>5</v>
      </c>
      <c r="D1855" s="3">
        <f>in_parking_demand_data_ver1!D1855*calibration!$I$31</f>
        <v>0</v>
      </c>
      <c r="E1855" s="3">
        <f>in_parking_demand_data_ver1!E1855*calibration!$I$31</f>
        <v>0</v>
      </c>
      <c r="F1855" s="3">
        <f t="shared" si="28"/>
        <v>0</v>
      </c>
      <c r="G1855">
        <v>0</v>
      </c>
    </row>
    <row r="1856" spans="1:7" x14ac:dyDescent="0.25">
      <c r="A1856">
        <v>18155</v>
      </c>
      <c r="B1856" t="s">
        <v>83</v>
      </c>
      <c r="C1856">
        <v>6</v>
      </c>
      <c r="D1856" s="3">
        <f>in_parking_demand_data_ver1!D1856*calibration!$I$31</f>
        <v>0</v>
      </c>
      <c r="E1856" s="3">
        <f>in_parking_demand_data_ver1!E1856*calibration!$I$31</f>
        <v>0</v>
      </c>
      <c r="F1856" s="3">
        <f t="shared" si="28"/>
        <v>0</v>
      </c>
      <c r="G1856">
        <v>0</v>
      </c>
    </row>
    <row r="1857" spans="1:7" x14ac:dyDescent="0.25">
      <c r="A1857">
        <v>18155</v>
      </c>
      <c r="B1857" t="s">
        <v>83</v>
      </c>
      <c r="C1857">
        <v>7</v>
      </c>
      <c r="D1857" s="3">
        <f>in_parking_demand_data_ver1!D1857*calibration!$I$31</f>
        <v>0</v>
      </c>
      <c r="E1857" s="3">
        <f>in_parking_demand_data_ver1!E1857*calibration!$I$31</f>
        <v>0</v>
      </c>
      <c r="F1857" s="3">
        <f t="shared" si="28"/>
        <v>0</v>
      </c>
      <c r="G1857">
        <v>0</v>
      </c>
    </row>
    <row r="1858" spans="1:7" x14ac:dyDescent="0.25">
      <c r="A1858">
        <v>18155</v>
      </c>
      <c r="B1858" t="s">
        <v>83</v>
      </c>
      <c r="C1858">
        <v>8</v>
      </c>
      <c r="D1858" s="3">
        <f>in_parking_demand_data_ver1!D1858*calibration!$I$31</f>
        <v>0</v>
      </c>
      <c r="E1858" s="3">
        <f>in_parking_demand_data_ver1!E1858*calibration!$I$31</f>
        <v>0</v>
      </c>
      <c r="F1858" s="3">
        <f t="shared" si="28"/>
        <v>0</v>
      </c>
      <c r="G1858">
        <v>0</v>
      </c>
    </row>
    <row r="1859" spans="1:7" x14ac:dyDescent="0.25">
      <c r="A1859">
        <v>18155</v>
      </c>
      <c r="B1859" t="s">
        <v>83</v>
      </c>
      <c r="C1859">
        <v>9</v>
      </c>
      <c r="D1859" s="3">
        <f>in_parking_demand_data_ver1!D1859*calibration!$I$31</f>
        <v>0</v>
      </c>
      <c r="E1859" s="3">
        <f>in_parking_demand_data_ver1!E1859*calibration!$I$31</f>
        <v>0</v>
      </c>
      <c r="F1859" s="3">
        <f t="shared" ref="F1859:F1922" si="29">SUM(D1859:E1859)</f>
        <v>0</v>
      </c>
      <c r="G1859">
        <v>0</v>
      </c>
    </row>
    <row r="1860" spans="1:7" x14ac:dyDescent="0.25">
      <c r="A1860">
        <v>18155</v>
      </c>
      <c r="B1860" t="s">
        <v>83</v>
      </c>
      <c r="C1860">
        <v>10</v>
      </c>
      <c r="D1860" s="3">
        <f>in_parking_demand_data_ver1!D1860*calibration!$I$31</f>
        <v>0</v>
      </c>
      <c r="E1860" s="3">
        <f>in_parking_demand_data_ver1!E1860*calibration!$I$31</f>
        <v>0</v>
      </c>
      <c r="F1860" s="3">
        <f t="shared" si="29"/>
        <v>0</v>
      </c>
      <c r="G1860">
        <v>0</v>
      </c>
    </row>
    <row r="1861" spans="1:7" x14ac:dyDescent="0.25">
      <c r="A1861">
        <v>18155</v>
      </c>
      <c r="B1861" t="s">
        <v>83</v>
      </c>
      <c r="C1861">
        <v>11</v>
      </c>
      <c r="D1861" s="3">
        <f>in_parking_demand_data_ver1!D1861*calibration!$I$31</f>
        <v>0</v>
      </c>
      <c r="E1861" s="3">
        <f>in_parking_demand_data_ver1!E1861*calibration!$I$31</f>
        <v>0</v>
      </c>
      <c r="F1861" s="3">
        <f t="shared" si="29"/>
        <v>0</v>
      </c>
      <c r="G1861">
        <v>0</v>
      </c>
    </row>
    <row r="1862" spans="1:7" x14ac:dyDescent="0.25">
      <c r="A1862">
        <v>18155</v>
      </c>
      <c r="B1862" t="s">
        <v>83</v>
      </c>
      <c r="C1862">
        <v>12</v>
      </c>
      <c r="D1862" s="3">
        <f>in_parking_demand_data_ver1!D1862*calibration!$I$31</f>
        <v>0</v>
      </c>
      <c r="E1862" s="3">
        <f>in_parking_demand_data_ver1!E1862*calibration!$I$31</f>
        <v>0</v>
      </c>
      <c r="F1862" s="3">
        <f t="shared" si="29"/>
        <v>0</v>
      </c>
      <c r="G1862">
        <v>0</v>
      </c>
    </row>
    <row r="1863" spans="1:7" x14ac:dyDescent="0.25">
      <c r="A1863">
        <v>18155</v>
      </c>
      <c r="B1863" t="s">
        <v>83</v>
      </c>
      <c r="C1863">
        <v>13</v>
      </c>
      <c r="D1863" s="3">
        <f>in_parking_demand_data_ver1!D1863*calibration!$I$31</f>
        <v>0</v>
      </c>
      <c r="E1863" s="3">
        <f>in_parking_demand_data_ver1!E1863*calibration!$I$31</f>
        <v>0</v>
      </c>
      <c r="F1863" s="3">
        <f t="shared" si="29"/>
        <v>0</v>
      </c>
      <c r="G1863">
        <v>0</v>
      </c>
    </row>
    <row r="1864" spans="1:7" x14ac:dyDescent="0.25">
      <c r="A1864">
        <v>18155</v>
      </c>
      <c r="B1864" t="s">
        <v>83</v>
      </c>
      <c r="C1864">
        <v>14</v>
      </c>
      <c r="D1864" s="3">
        <f>in_parking_demand_data_ver1!D1864*calibration!$I$31</f>
        <v>0</v>
      </c>
      <c r="E1864" s="3">
        <f>in_parking_demand_data_ver1!E1864*calibration!$I$31</f>
        <v>0</v>
      </c>
      <c r="F1864" s="3">
        <f t="shared" si="29"/>
        <v>0</v>
      </c>
      <c r="G1864">
        <v>0</v>
      </c>
    </row>
    <row r="1865" spans="1:7" x14ac:dyDescent="0.25">
      <c r="A1865">
        <v>18155</v>
      </c>
      <c r="B1865" t="s">
        <v>83</v>
      </c>
      <c r="C1865">
        <v>15</v>
      </c>
      <c r="D1865" s="3">
        <f>in_parking_demand_data_ver1!D1865*calibration!$I$31</f>
        <v>0</v>
      </c>
      <c r="E1865" s="3">
        <f>in_parking_demand_data_ver1!E1865*calibration!$I$31</f>
        <v>0</v>
      </c>
      <c r="F1865" s="3">
        <f t="shared" si="29"/>
        <v>0</v>
      </c>
      <c r="G1865">
        <v>0</v>
      </c>
    </row>
    <row r="1866" spans="1:7" x14ac:dyDescent="0.25">
      <c r="A1866">
        <v>18155</v>
      </c>
      <c r="B1866" t="s">
        <v>83</v>
      </c>
      <c r="C1866">
        <v>16</v>
      </c>
      <c r="D1866" s="3">
        <f>in_parking_demand_data_ver1!D1866*calibration!$I$31</f>
        <v>0</v>
      </c>
      <c r="E1866" s="3">
        <f>in_parking_demand_data_ver1!E1866*calibration!$I$31</f>
        <v>0</v>
      </c>
      <c r="F1866" s="3">
        <f t="shared" si="29"/>
        <v>0</v>
      </c>
      <c r="G1866">
        <v>0</v>
      </c>
    </row>
    <row r="1867" spans="1:7" x14ac:dyDescent="0.25">
      <c r="A1867">
        <v>18155</v>
      </c>
      <c r="B1867" t="s">
        <v>83</v>
      </c>
      <c r="C1867">
        <v>17</v>
      </c>
      <c r="D1867" s="3">
        <f>in_parking_demand_data_ver1!D1867*calibration!$I$31</f>
        <v>0</v>
      </c>
      <c r="E1867" s="3">
        <f>in_parking_demand_data_ver1!E1867*calibration!$I$31</f>
        <v>0</v>
      </c>
      <c r="F1867" s="3">
        <f t="shared" si="29"/>
        <v>0</v>
      </c>
      <c r="G1867">
        <v>0</v>
      </c>
    </row>
    <row r="1868" spans="1:7" x14ac:dyDescent="0.25">
      <c r="A1868">
        <v>18155</v>
      </c>
      <c r="B1868" t="s">
        <v>83</v>
      </c>
      <c r="C1868">
        <v>18</v>
      </c>
      <c r="D1868" s="3">
        <f>in_parking_demand_data_ver1!D1868*calibration!$I$31</f>
        <v>0</v>
      </c>
      <c r="E1868" s="3">
        <f>in_parking_demand_data_ver1!E1868*calibration!$I$31</f>
        <v>0</v>
      </c>
      <c r="F1868" s="3">
        <f t="shared" si="29"/>
        <v>0</v>
      </c>
      <c r="G1868">
        <v>0</v>
      </c>
    </row>
    <row r="1869" spans="1:7" x14ac:dyDescent="0.25">
      <c r="A1869">
        <v>18155</v>
      </c>
      <c r="B1869" t="s">
        <v>83</v>
      </c>
      <c r="C1869">
        <v>19</v>
      </c>
      <c r="D1869" s="3">
        <f>in_parking_demand_data_ver1!D1869*calibration!$I$31</f>
        <v>0</v>
      </c>
      <c r="E1869" s="3">
        <f>in_parking_demand_data_ver1!E1869*calibration!$I$31</f>
        <v>0</v>
      </c>
      <c r="F1869" s="3">
        <f t="shared" si="29"/>
        <v>0</v>
      </c>
      <c r="G1869">
        <v>0</v>
      </c>
    </row>
    <row r="1870" spans="1:7" x14ac:dyDescent="0.25">
      <c r="A1870">
        <v>18155</v>
      </c>
      <c r="B1870" t="s">
        <v>83</v>
      </c>
      <c r="C1870">
        <v>20</v>
      </c>
      <c r="D1870" s="3">
        <f>in_parking_demand_data_ver1!D1870*calibration!$I$31</f>
        <v>0</v>
      </c>
      <c r="E1870" s="3">
        <f>in_parking_demand_data_ver1!E1870*calibration!$I$31</f>
        <v>0</v>
      </c>
      <c r="F1870" s="3">
        <f t="shared" si="29"/>
        <v>0</v>
      </c>
      <c r="G1870">
        <v>0</v>
      </c>
    </row>
    <row r="1871" spans="1:7" x14ac:dyDescent="0.25">
      <c r="A1871">
        <v>18155</v>
      </c>
      <c r="B1871" t="s">
        <v>83</v>
      </c>
      <c r="C1871">
        <v>21</v>
      </c>
      <c r="D1871" s="3">
        <f>in_parking_demand_data_ver1!D1871*calibration!$I$31</f>
        <v>0</v>
      </c>
      <c r="E1871" s="3">
        <f>in_parking_demand_data_ver1!E1871*calibration!$I$31</f>
        <v>0</v>
      </c>
      <c r="F1871" s="3">
        <f t="shared" si="29"/>
        <v>0</v>
      </c>
      <c r="G1871">
        <v>0</v>
      </c>
    </row>
    <row r="1872" spans="1:7" x14ac:dyDescent="0.25">
      <c r="A1872">
        <v>18155</v>
      </c>
      <c r="B1872" t="s">
        <v>83</v>
      </c>
      <c r="C1872">
        <v>22</v>
      </c>
      <c r="D1872" s="3">
        <f>in_parking_demand_data_ver1!D1872*calibration!$I$31</f>
        <v>0</v>
      </c>
      <c r="E1872" s="3">
        <f>in_parking_demand_data_ver1!E1872*calibration!$I$31</f>
        <v>0</v>
      </c>
      <c r="F1872" s="3">
        <f t="shared" si="29"/>
        <v>0</v>
      </c>
      <c r="G1872">
        <v>0</v>
      </c>
    </row>
    <row r="1873" spans="1:7" x14ac:dyDescent="0.25">
      <c r="A1873">
        <v>18155</v>
      </c>
      <c r="B1873" t="s">
        <v>83</v>
      </c>
      <c r="C1873">
        <v>23</v>
      </c>
      <c r="D1873" s="3">
        <f>in_parking_demand_data_ver1!D1873*calibration!$I$31</f>
        <v>0</v>
      </c>
      <c r="E1873" s="3">
        <f>in_parking_demand_data_ver1!E1873*calibration!$I$31</f>
        <v>0</v>
      </c>
      <c r="F1873" s="3">
        <f t="shared" si="29"/>
        <v>0</v>
      </c>
      <c r="G1873">
        <v>0</v>
      </c>
    </row>
    <row r="1874" spans="1:7" x14ac:dyDescent="0.25">
      <c r="A1874">
        <v>18157</v>
      </c>
      <c r="B1874" t="s">
        <v>84</v>
      </c>
      <c r="C1874">
        <v>0</v>
      </c>
      <c r="D1874" s="3">
        <f>in_parking_demand_data_ver1!D1874*calibration!$I$31</f>
        <v>100.97197563681115</v>
      </c>
      <c r="E1874" s="3">
        <f>in_parking_demand_data_ver1!E1874*calibration!$I$31</f>
        <v>10.695967008663715</v>
      </c>
      <c r="F1874" s="3">
        <f t="shared" si="29"/>
        <v>111.66794264547487</v>
      </c>
      <c r="G1874">
        <v>92</v>
      </c>
    </row>
    <row r="1875" spans="1:7" x14ac:dyDescent="0.25">
      <c r="A1875">
        <v>18157</v>
      </c>
      <c r="B1875" t="s">
        <v>84</v>
      </c>
      <c r="C1875">
        <v>1</v>
      </c>
      <c r="D1875" s="3">
        <f>in_parking_demand_data_ver1!D1875*calibration!$I$31</f>
        <v>100.10196875093879</v>
      </c>
      <c r="E1875" s="3">
        <f>in_parking_demand_data_ver1!E1875*calibration!$I$31</f>
        <v>12.947749536803524</v>
      </c>
      <c r="F1875" s="3">
        <f t="shared" si="29"/>
        <v>113.04971828774232</v>
      </c>
      <c r="G1875">
        <v>92</v>
      </c>
    </row>
    <row r="1876" spans="1:7" x14ac:dyDescent="0.25">
      <c r="A1876">
        <v>18157</v>
      </c>
      <c r="B1876" t="s">
        <v>84</v>
      </c>
      <c r="C1876">
        <v>2</v>
      </c>
      <c r="D1876" s="3">
        <f>in_parking_demand_data_ver1!D1876*calibration!$I$31</f>
        <v>98.924900611230186</v>
      </c>
      <c r="E1876" s="3">
        <f>in_parking_demand_data_ver1!E1876*calibration!$I$31</f>
        <v>13.510695168838435</v>
      </c>
      <c r="F1876" s="3">
        <f t="shared" si="29"/>
        <v>112.43559578006862</v>
      </c>
      <c r="G1876">
        <v>92</v>
      </c>
    </row>
    <row r="1877" spans="1:7" x14ac:dyDescent="0.25">
      <c r="A1877">
        <v>18157</v>
      </c>
      <c r="B1877" t="s">
        <v>84</v>
      </c>
      <c r="C1877">
        <v>3</v>
      </c>
      <c r="D1877" s="3">
        <f>in_parking_demand_data_ver1!D1877*calibration!$I$31</f>
        <v>95.496049943380598</v>
      </c>
      <c r="E1877" s="3">
        <f>in_parking_demand_data_ver1!E1877*calibration!$I$31</f>
        <v>13.86893329831525</v>
      </c>
      <c r="F1877" s="3">
        <f t="shared" si="29"/>
        <v>109.36498324169585</v>
      </c>
      <c r="G1877">
        <v>92</v>
      </c>
    </row>
    <row r="1878" spans="1:7" x14ac:dyDescent="0.25">
      <c r="A1878">
        <v>18157</v>
      </c>
      <c r="B1878" t="s">
        <v>84</v>
      </c>
      <c r="C1878">
        <v>4</v>
      </c>
      <c r="D1878" s="3">
        <f>in_parking_demand_data_ver1!D1878*calibration!$I$31</f>
        <v>91.350723016578044</v>
      </c>
      <c r="E1878" s="3">
        <f>in_parking_demand_data_ver1!E1878*calibration!$I$31</f>
        <v>15.046001438024614</v>
      </c>
      <c r="F1878" s="3">
        <f t="shared" si="29"/>
        <v>106.39672445460266</v>
      </c>
      <c r="G1878">
        <v>92</v>
      </c>
    </row>
    <row r="1879" spans="1:7" x14ac:dyDescent="0.25">
      <c r="A1879">
        <v>18157</v>
      </c>
      <c r="B1879" t="s">
        <v>84</v>
      </c>
      <c r="C1879">
        <v>5</v>
      </c>
      <c r="D1879" s="3">
        <f>in_parking_demand_data_ver1!D1879*calibration!$I$31</f>
        <v>84.646552307798586</v>
      </c>
      <c r="E1879" s="3">
        <f>in_parking_demand_data_ver1!E1879*calibration!$I$31</f>
        <v>16.223069577734066</v>
      </c>
      <c r="F1879" s="3">
        <f t="shared" si="29"/>
        <v>100.86962188553265</v>
      </c>
      <c r="G1879">
        <v>92</v>
      </c>
    </row>
    <row r="1880" spans="1:7" x14ac:dyDescent="0.25">
      <c r="A1880">
        <v>18157</v>
      </c>
      <c r="B1880" t="s">
        <v>84</v>
      </c>
      <c r="C1880">
        <v>6</v>
      </c>
      <c r="D1880" s="3">
        <f>in_parking_demand_data_ver1!D1880*calibration!$I$31</f>
        <v>80.859463510472679</v>
      </c>
      <c r="E1880" s="3">
        <f>in_parking_demand_data_ver1!E1880*calibration!$I$31</f>
        <v>17.758375846920245</v>
      </c>
      <c r="F1880" s="3">
        <f t="shared" si="29"/>
        <v>98.617839357392924</v>
      </c>
      <c r="G1880">
        <v>92</v>
      </c>
    </row>
    <row r="1881" spans="1:7" x14ac:dyDescent="0.25">
      <c r="A1881">
        <v>18157</v>
      </c>
      <c r="B1881" t="s">
        <v>84</v>
      </c>
      <c r="C1881">
        <v>7</v>
      </c>
      <c r="D1881" s="3">
        <f>in_parking_demand_data_ver1!D1881*calibration!$I$31</f>
        <v>76.100014075995517</v>
      </c>
      <c r="E1881" s="3">
        <f>in_parking_demand_data_ver1!E1881*calibration!$I$31</f>
        <v>15.608947070059608</v>
      </c>
      <c r="F1881" s="3">
        <f t="shared" si="29"/>
        <v>91.708961146055131</v>
      </c>
      <c r="G1881">
        <v>92</v>
      </c>
    </row>
    <row r="1882" spans="1:7" x14ac:dyDescent="0.25">
      <c r="A1882">
        <v>18157</v>
      </c>
      <c r="B1882" t="s">
        <v>84</v>
      </c>
      <c r="C1882">
        <v>8</v>
      </c>
      <c r="D1882" s="3">
        <f>in_parking_demand_data_ver1!D1882*calibration!$I$31</f>
        <v>65.608754569889896</v>
      </c>
      <c r="E1882" s="3">
        <f>in_parking_demand_data_ver1!E1882*calibration!$I$31</f>
        <v>13.10128016372216</v>
      </c>
      <c r="F1882" s="3">
        <f t="shared" si="29"/>
        <v>78.710034733612062</v>
      </c>
      <c r="G1882">
        <v>92</v>
      </c>
    </row>
    <row r="1883" spans="1:7" x14ac:dyDescent="0.25">
      <c r="A1883">
        <v>18157</v>
      </c>
      <c r="B1883" t="s">
        <v>84</v>
      </c>
      <c r="C1883">
        <v>9</v>
      </c>
      <c r="D1883" s="3">
        <f>in_parking_demand_data_ver1!D1883*calibration!$I$31</f>
        <v>55.271025690702814</v>
      </c>
      <c r="E1883" s="3">
        <f>in_parking_demand_data_ver1!E1883*calibration!$I$31</f>
        <v>11.873035148373166</v>
      </c>
      <c r="F1883" s="3">
        <f t="shared" si="29"/>
        <v>67.144060839075976</v>
      </c>
      <c r="G1883">
        <v>92</v>
      </c>
    </row>
    <row r="1884" spans="1:7" x14ac:dyDescent="0.25">
      <c r="A1884">
        <v>18157</v>
      </c>
      <c r="B1884" t="s">
        <v>84</v>
      </c>
      <c r="C1884">
        <v>10</v>
      </c>
      <c r="D1884" s="3">
        <f>in_parking_demand_data_ver1!D1884*calibration!$I$31</f>
        <v>53.531011918958455</v>
      </c>
      <c r="E1884" s="3">
        <f>in_parking_demand_data_ver1!E1884*calibration!$I$31</f>
        <v>10.849497635582351</v>
      </c>
      <c r="F1884" s="3">
        <f t="shared" si="29"/>
        <v>64.380509554540808</v>
      </c>
      <c r="G1884">
        <v>92</v>
      </c>
    </row>
    <row r="1885" spans="1:7" x14ac:dyDescent="0.25">
      <c r="A1885">
        <v>18157</v>
      </c>
      <c r="B1885" t="s">
        <v>84</v>
      </c>
      <c r="C1885">
        <v>11</v>
      </c>
      <c r="D1885" s="3">
        <f>in_parking_demand_data_ver1!D1885*calibration!$I$31</f>
        <v>51.381583142097824</v>
      </c>
      <c r="E1885" s="3">
        <f>in_parking_demand_data_ver1!E1885*calibration!$I$31</f>
        <v>12.333627029128985</v>
      </c>
      <c r="F1885" s="3">
        <f t="shared" si="29"/>
        <v>63.715210171226808</v>
      </c>
      <c r="G1885">
        <v>92</v>
      </c>
    </row>
    <row r="1886" spans="1:7" x14ac:dyDescent="0.25">
      <c r="A1886">
        <v>18157</v>
      </c>
      <c r="B1886" t="s">
        <v>84</v>
      </c>
      <c r="C1886">
        <v>12</v>
      </c>
      <c r="D1886" s="3">
        <f>in_parking_demand_data_ver1!D1886*calibration!$I$31</f>
        <v>52.353943779249093</v>
      </c>
      <c r="E1886" s="3">
        <f>in_parking_demand_data_ver1!E1886*calibration!$I$31</f>
        <v>11.821858272733619</v>
      </c>
      <c r="F1886" s="3">
        <f t="shared" si="29"/>
        <v>64.175802051982714</v>
      </c>
      <c r="G1886">
        <v>92</v>
      </c>
    </row>
    <row r="1887" spans="1:7" x14ac:dyDescent="0.25">
      <c r="A1887">
        <v>18157</v>
      </c>
      <c r="B1887" t="s">
        <v>84</v>
      </c>
      <c r="C1887">
        <v>13</v>
      </c>
      <c r="D1887" s="3">
        <f>in_parking_demand_data_ver1!D1887*calibration!$I$31</f>
        <v>53.428658167679366</v>
      </c>
      <c r="E1887" s="3">
        <f>in_parking_demand_data_ver1!E1887*calibration!$I$31</f>
        <v>9.8259601227916207</v>
      </c>
      <c r="F1887" s="3">
        <f t="shared" si="29"/>
        <v>63.254618290470987</v>
      </c>
      <c r="G1887">
        <v>92</v>
      </c>
    </row>
    <row r="1888" spans="1:7" x14ac:dyDescent="0.25">
      <c r="A1888">
        <v>18157</v>
      </c>
      <c r="B1888" t="s">
        <v>84</v>
      </c>
      <c r="C1888">
        <v>14</v>
      </c>
      <c r="D1888" s="3">
        <f>in_parking_demand_data_ver1!D1888*calibration!$I$31</f>
        <v>56.089855700935452</v>
      </c>
      <c r="E1888" s="3">
        <f>in_parking_demand_data_ver1!E1888*calibration!$I$31</f>
        <v>6.4994632062215354</v>
      </c>
      <c r="F1888" s="3">
        <f t="shared" si="29"/>
        <v>62.589318907156986</v>
      </c>
      <c r="G1888">
        <v>92</v>
      </c>
    </row>
    <row r="1889" spans="1:7" x14ac:dyDescent="0.25">
      <c r="A1889">
        <v>18157</v>
      </c>
      <c r="B1889" t="s">
        <v>84</v>
      </c>
      <c r="C1889">
        <v>15</v>
      </c>
      <c r="D1889" s="3">
        <f>in_parking_demand_data_ver1!D1889*calibration!$I$31</f>
        <v>62.231080777680255</v>
      </c>
      <c r="E1889" s="3">
        <f>in_parking_demand_data_ver1!E1889*calibration!$I$31</f>
        <v>4.0429731755236302</v>
      </c>
      <c r="F1889" s="3">
        <f t="shared" si="29"/>
        <v>66.274053953203889</v>
      </c>
      <c r="G1889">
        <v>92</v>
      </c>
    </row>
    <row r="1890" spans="1:7" x14ac:dyDescent="0.25">
      <c r="A1890">
        <v>18157</v>
      </c>
      <c r="B1890" t="s">
        <v>84</v>
      </c>
      <c r="C1890">
        <v>16</v>
      </c>
      <c r="D1890" s="3">
        <f>in_parking_demand_data_ver1!D1890*calibration!$I$31</f>
        <v>70.368204004367058</v>
      </c>
      <c r="E1890" s="3">
        <f>in_parking_demand_data_ver1!E1890*calibration!$I$31</f>
        <v>3.2241431652909949</v>
      </c>
      <c r="F1890" s="3">
        <f t="shared" si="29"/>
        <v>73.592347169658055</v>
      </c>
      <c r="G1890">
        <v>92</v>
      </c>
    </row>
    <row r="1891" spans="1:7" x14ac:dyDescent="0.25">
      <c r="A1891">
        <v>18157</v>
      </c>
      <c r="B1891" t="s">
        <v>84</v>
      </c>
      <c r="C1891">
        <v>17</v>
      </c>
      <c r="D1891" s="3">
        <f>in_parking_demand_data_ver1!D1891*calibration!$I$31</f>
        <v>77.481789718263059</v>
      </c>
      <c r="E1891" s="3">
        <f>in_parking_demand_data_ver1!E1891*calibration!$I$31</f>
        <v>3.2241431652909949</v>
      </c>
      <c r="F1891" s="3">
        <f t="shared" si="29"/>
        <v>80.705932883554055</v>
      </c>
      <c r="G1891">
        <v>92</v>
      </c>
    </row>
    <row r="1892" spans="1:7" x14ac:dyDescent="0.25">
      <c r="A1892">
        <v>18157</v>
      </c>
      <c r="B1892" t="s">
        <v>84</v>
      </c>
      <c r="C1892">
        <v>18</v>
      </c>
      <c r="D1892" s="3">
        <f>in_parking_demand_data_ver1!D1892*calibration!$I$31</f>
        <v>84.493021680880034</v>
      </c>
      <c r="E1892" s="3">
        <f>in_parking_demand_data_ver1!E1892*calibration!$I$31</f>
        <v>3.8894425486050119</v>
      </c>
      <c r="F1892" s="3">
        <f t="shared" si="29"/>
        <v>88.382464229485052</v>
      </c>
      <c r="G1892">
        <v>92</v>
      </c>
    </row>
    <row r="1893" spans="1:7" x14ac:dyDescent="0.25">
      <c r="A1893">
        <v>18157</v>
      </c>
      <c r="B1893" t="s">
        <v>84</v>
      </c>
      <c r="C1893">
        <v>19</v>
      </c>
      <c r="D1893" s="3">
        <f>in_parking_demand_data_ver1!D1893*calibration!$I$31</f>
        <v>88.791879234600799</v>
      </c>
      <c r="E1893" s="3">
        <f>in_parking_demand_data_ver1!E1893*calibration!$I$31</f>
        <v>4.5035650562794922</v>
      </c>
      <c r="F1893" s="3">
        <f t="shared" si="29"/>
        <v>93.295444290880297</v>
      </c>
      <c r="G1893">
        <v>92</v>
      </c>
    </row>
    <row r="1894" spans="1:7" x14ac:dyDescent="0.25">
      <c r="A1894">
        <v>18157</v>
      </c>
      <c r="B1894" t="s">
        <v>84</v>
      </c>
      <c r="C1894">
        <v>20</v>
      </c>
      <c r="D1894" s="3">
        <f>in_parking_demand_data_ver1!D1894*calibration!$I$31</f>
        <v>94.677219933148052</v>
      </c>
      <c r="E1894" s="3">
        <f>in_parking_demand_data_ver1!E1894*calibration!$I$31</f>
        <v>6.8577013356983159</v>
      </c>
      <c r="F1894" s="3">
        <f t="shared" si="29"/>
        <v>101.53492126884638</v>
      </c>
      <c r="G1894">
        <v>92</v>
      </c>
    </row>
    <row r="1895" spans="1:7" x14ac:dyDescent="0.25">
      <c r="A1895">
        <v>18157</v>
      </c>
      <c r="B1895" t="s">
        <v>84</v>
      </c>
      <c r="C1895">
        <v>21</v>
      </c>
      <c r="D1895" s="3">
        <f>in_parking_demand_data_ver1!D1895*calibration!$I$31</f>
        <v>97.287240590764256</v>
      </c>
      <c r="E1895" s="3">
        <f>in_parking_demand_data_ver1!E1895*calibration!$I$31</f>
        <v>8.5465382318030798</v>
      </c>
      <c r="F1895" s="3">
        <f t="shared" si="29"/>
        <v>105.83377882256734</v>
      </c>
      <c r="G1895">
        <v>92</v>
      </c>
    </row>
    <row r="1896" spans="1:7" x14ac:dyDescent="0.25">
      <c r="A1896">
        <v>18157</v>
      </c>
      <c r="B1896" t="s">
        <v>84</v>
      </c>
      <c r="C1896">
        <v>22</v>
      </c>
      <c r="D1896" s="3">
        <f>in_parking_demand_data_ver1!D1896*calibration!$I$31</f>
        <v>100.92079876117219</v>
      </c>
      <c r="E1896" s="3">
        <f>in_parking_demand_data_ver1!E1896*calibration!$I$31</f>
        <v>8.5465382318030798</v>
      </c>
      <c r="F1896" s="3">
        <f t="shared" si="29"/>
        <v>109.46733699297528</v>
      </c>
      <c r="G1896">
        <v>92</v>
      </c>
    </row>
    <row r="1897" spans="1:7" x14ac:dyDescent="0.25">
      <c r="A1897">
        <v>18157</v>
      </c>
      <c r="B1897" t="s">
        <v>84</v>
      </c>
      <c r="C1897">
        <v>23</v>
      </c>
      <c r="D1897" s="3">
        <f>in_parking_demand_data_ver1!D1897*calibration!$I$31</f>
        <v>102.40492815471875</v>
      </c>
      <c r="E1897" s="3">
        <f>in_parking_demand_data_ver1!E1897*calibration!$I$31</f>
        <v>8.9047763612798949</v>
      </c>
      <c r="F1897" s="3">
        <f t="shared" si="29"/>
        <v>111.30970451599865</v>
      </c>
      <c r="G1897">
        <v>92</v>
      </c>
    </row>
    <row r="1898" spans="1:7" x14ac:dyDescent="0.25">
      <c r="A1898">
        <v>18159</v>
      </c>
      <c r="B1898" t="s">
        <v>85</v>
      </c>
      <c r="C1898">
        <v>0</v>
      </c>
      <c r="D1898" s="3">
        <f>in_parking_demand_data_ver1!D1898*calibration!$I$31</f>
        <v>0</v>
      </c>
      <c r="E1898" s="3">
        <f>in_parking_demand_data_ver1!E1898*calibration!$I$31</f>
        <v>0</v>
      </c>
      <c r="F1898" s="3">
        <f t="shared" si="29"/>
        <v>0</v>
      </c>
      <c r="G1898">
        <v>0</v>
      </c>
    </row>
    <row r="1899" spans="1:7" x14ac:dyDescent="0.25">
      <c r="A1899">
        <v>18159</v>
      </c>
      <c r="B1899" t="s">
        <v>85</v>
      </c>
      <c r="C1899">
        <v>1</v>
      </c>
      <c r="D1899" s="3">
        <f>in_parking_demand_data_ver1!D1899*calibration!$I$31</f>
        <v>0</v>
      </c>
      <c r="E1899" s="3">
        <f>in_parking_demand_data_ver1!E1899*calibration!$I$31</f>
        <v>0</v>
      </c>
      <c r="F1899" s="3">
        <f t="shared" si="29"/>
        <v>0</v>
      </c>
      <c r="G1899">
        <v>0</v>
      </c>
    </row>
    <row r="1900" spans="1:7" x14ac:dyDescent="0.25">
      <c r="A1900">
        <v>18159</v>
      </c>
      <c r="B1900" t="s">
        <v>85</v>
      </c>
      <c r="C1900">
        <v>2</v>
      </c>
      <c r="D1900" s="3">
        <f>in_parking_demand_data_ver1!D1900*calibration!$I$31</f>
        <v>0</v>
      </c>
      <c r="E1900" s="3">
        <f>in_parking_demand_data_ver1!E1900*calibration!$I$31</f>
        <v>0</v>
      </c>
      <c r="F1900" s="3">
        <f t="shared" si="29"/>
        <v>0</v>
      </c>
      <c r="G1900">
        <v>0</v>
      </c>
    </row>
    <row r="1901" spans="1:7" x14ac:dyDescent="0.25">
      <c r="A1901">
        <v>18159</v>
      </c>
      <c r="B1901" t="s">
        <v>85</v>
      </c>
      <c r="C1901">
        <v>3</v>
      </c>
      <c r="D1901" s="3">
        <f>in_parking_demand_data_ver1!D1901*calibration!$I$31</f>
        <v>0</v>
      </c>
      <c r="E1901" s="3">
        <f>in_parking_demand_data_ver1!E1901*calibration!$I$31</f>
        <v>0</v>
      </c>
      <c r="F1901" s="3">
        <f t="shared" si="29"/>
        <v>0</v>
      </c>
      <c r="G1901">
        <v>0</v>
      </c>
    </row>
    <row r="1902" spans="1:7" x14ac:dyDescent="0.25">
      <c r="A1902">
        <v>18159</v>
      </c>
      <c r="B1902" t="s">
        <v>85</v>
      </c>
      <c r="C1902">
        <v>4</v>
      </c>
      <c r="D1902" s="3">
        <f>in_parking_demand_data_ver1!D1902*calibration!$I$31</f>
        <v>0</v>
      </c>
      <c r="E1902" s="3">
        <f>in_parking_demand_data_ver1!E1902*calibration!$I$31</f>
        <v>0</v>
      </c>
      <c r="F1902" s="3">
        <f t="shared" si="29"/>
        <v>0</v>
      </c>
      <c r="G1902">
        <v>0</v>
      </c>
    </row>
    <row r="1903" spans="1:7" x14ac:dyDescent="0.25">
      <c r="A1903">
        <v>18159</v>
      </c>
      <c r="B1903" t="s">
        <v>85</v>
      </c>
      <c r="C1903">
        <v>5</v>
      </c>
      <c r="D1903" s="3">
        <f>in_parking_demand_data_ver1!D1903*calibration!$I$31</f>
        <v>0</v>
      </c>
      <c r="E1903" s="3">
        <f>in_parking_demand_data_ver1!E1903*calibration!$I$31</f>
        <v>0</v>
      </c>
      <c r="F1903" s="3">
        <f t="shared" si="29"/>
        <v>0</v>
      </c>
      <c r="G1903">
        <v>0</v>
      </c>
    </row>
    <row r="1904" spans="1:7" x14ac:dyDescent="0.25">
      <c r="A1904">
        <v>18159</v>
      </c>
      <c r="B1904" t="s">
        <v>85</v>
      </c>
      <c r="C1904">
        <v>6</v>
      </c>
      <c r="D1904" s="3">
        <f>in_parking_demand_data_ver1!D1904*calibration!$I$31</f>
        <v>0</v>
      </c>
      <c r="E1904" s="3">
        <f>in_parking_demand_data_ver1!E1904*calibration!$I$31</f>
        <v>0.18680692323871545</v>
      </c>
      <c r="F1904" s="3">
        <f t="shared" si="29"/>
        <v>0.18680692323871545</v>
      </c>
      <c r="G1904">
        <v>0</v>
      </c>
    </row>
    <row r="1905" spans="1:7" x14ac:dyDescent="0.25">
      <c r="A1905">
        <v>18159</v>
      </c>
      <c r="B1905" t="s">
        <v>85</v>
      </c>
      <c r="C1905">
        <v>7</v>
      </c>
      <c r="D1905" s="3">
        <f>in_parking_demand_data_ver1!D1905*calibration!$I$31</f>
        <v>0</v>
      </c>
      <c r="E1905" s="3">
        <f>in_parking_demand_data_ver1!E1905*calibration!$I$31</f>
        <v>0.24018032987834795</v>
      </c>
      <c r="F1905" s="3">
        <f t="shared" si="29"/>
        <v>0.24018032987834795</v>
      </c>
      <c r="G1905">
        <v>0</v>
      </c>
    </row>
    <row r="1906" spans="1:7" x14ac:dyDescent="0.25">
      <c r="A1906">
        <v>18159</v>
      </c>
      <c r="B1906" t="s">
        <v>85</v>
      </c>
      <c r="C1906">
        <v>8</v>
      </c>
      <c r="D1906" s="3">
        <f>in_parking_demand_data_ver1!D1906*calibration!$I$31</f>
        <v>0</v>
      </c>
      <c r="E1906" s="3">
        <f>in_parking_demand_data_ver1!E1906*calibration!$I$31</f>
        <v>0.50704736307651299</v>
      </c>
      <c r="F1906" s="3">
        <f t="shared" si="29"/>
        <v>0.50704736307651299</v>
      </c>
      <c r="G1906">
        <v>0</v>
      </c>
    </row>
    <row r="1907" spans="1:7" x14ac:dyDescent="0.25">
      <c r="A1907">
        <v>18159</v>
      </c>
      <c r="B1907" t="s">
        <v>85</v>
      </c>
      <c r="C1907">
        <v>9</v>
      </c>
      <c r="D1907" s="3">
        <f>in_parking_demand_data_ver1!D1907*calibration!$I$31</f>
        <v>0</v>
      </c>
      <c r="E1907" s="3">
        <f>in_parking_demand_data_ver1!E1907*calibration!$I$31</f>
        <v>0.90734791287375249</v>
      </c>
      <c r="F1907" s="3">
        <f t="shared" si="29"/>
        <v>0.90734791287375249</v>
      </c>
      <c r="G1907">
        <v>0</v>
      </c>
    </row>
    <row r="1908" spans="1:7" x14ac:dyDescent="0.25">
      <c r="A1908">
        <v>18159</v>
      </c>
      <c r="B1908" t="s">
        <v>85</v>
      </c>
      <c r="C1908">
        <v>10</v>
      </c>
      <c r="D1908" s="3">
        <f>in_parking_demand_data_ver1!D1908*calibration!$I$31</f>
        <v>0</v>
      </c>
      <c r="E1908" s="3">
        <f>in_parking_demand_data_ver1!E1908*calibration!$I$31</f>
        <v>0.50704736307651299</v>
      </c>
      <c r="F1908" s="3">
        <f t="shared" si="29"/>
        <v>0.50704736307651299</v>
      </c>
      <c r="G1908">
        <v>0</v>
      </c>
    </row>
    <row r="1909" spans="1:7" x14ac:dyDescent="0.25">
      <c r="A1909">
        <v>18159</v>
      </c>
      <c r="B1909" t="s">
        <v>85</v>
      </c>
      <c r="C1909">
        <v>11</v>
      </c>
      <c r="D1909" s="3">
        <f>in_parking_demand_data_ver1!D1909*calibration!$I$31</f>
        <v>0</v>
      </c>
      <c r="E1909" s="3">
        <f>in_parking_demand_data_ver1!E1909*calibration!$I$31</f>
        <v>0.53373406639632925</v>
      </c>
      <c r="F1909" s="3">
        <f t="shared" si="29"/>
        <v>0.53373406639632925</v>
      </c>
      <c r="G1909">
        <v>0</v>
      </c>
    </row>
    <row r="1910" spans="1:7" x14ac:dyDescent="0.25">
      <c r="A1910">
        <v>18159</v>
      </c>
      <c r="B1910" t="s">
        <v>85</v>
      </c>
      <c r="C1910">
        <v>12</v>
      </c>
      <c r="D1910" s="3">
        <f>in_parking_demand_data_ver1!D1910*calibration!$I$31</f>
        <v>0</v>
      </c>
      <c r="E1910" s="3">
        <f>in_parking_demand_data_ver1!E1910*calibration!$I$31</f>
        <v>0.64048087967559508</v>
      </c>
      <c r="F1910" s="3">
        <f t="shared" si="29"/>
        <v>0.64048087967559508</v>
      </c>
      <c r="G1910">
        <v>0</v>
      </c>
    </row>
    <row r="1911" spans="1:7" x14ac:dyDescent="0.25">
      <c r="A1911">
        <v>18159</v>
      </c>
      <c r="B1911" t="s">
        <v>85</v>
      </c>
      <c r="C1911">
        <v>13</v>
      </c>
      <c r="D1911" s="3">
        <f>in_parking_demand_data_ver1!D1911*calibration!$I$31</f>
        <v>0</v>
      </c>
      <c r="E1911" s="3">
        <f>in_parking_demand_data_ver1!E1911*calibration!$I$31</f>
        <v>0.53373406639632925</v>
      </c>
      <c r="F1911" s="3">
        <f t="shared" si="29"/>
        <v>0.53373406639632925</v>
      </c>
      <c r="G1911">
        <v>0</v>
      </c>
    </row>
    <row r="1912" spans="1:7" x14ac:dyDescent="0.25">
      <c r="A1912">
        <v>18159</v>
      </c>
      <c r="B1912" t="s">
        <v>85</v>
      </c>
      <c r="C1912">
        <v>14</v>
      </c>
      <c r="D1912" s="3">
        <f>in_parking_demand_data_ver1!D1912*calibration!$I$31</f>
        <v>0</v>
      </c>
      <c r="E1912" s="3">
        <f>in_parking_demand_data_ver1!E1912*calibration!$I$31</f>
        <v>0.10674681327926583</v>
      </c>
      <c r="F1912" s="3">
        <f t="shared" si="29"/>
        <v>0.10674681327926583</v>
      </c>
      <c r="G1912">
        <v>0</v>
      </c>
    </row>
    <row r="1913" spans="1:7" x14ac:dyDescent="0.25">
      <c r="A1913">
        <v>18159</v>
      </c>
      <c r="B1913" t="s">
        <v>85</v>
      </c>
      <c r="C1913">
        <v>15</v>
      </c>
      <c r="D1913" s="3">
        <f>in_parking_demand_data_ver1!D1913*calibration!$I$31</f>
        <v>0</v>
      </c>
      <c r="E1913" s="3">
        <f>in_parking_demand_data_ver1!E1913*calibration!$I$31</f>
        <v>0.21349362655853166</v>
      </c>
      <c r="F1913" s="3">
        <f t="shared" si="29"/>
        <v>0.21349362655853166</v>
      </c>
      <c r="G1913">
        <v>0</v>
      </c>
    </row>
    <row r="1914" spans="1:7" x14ac:dyDescent="0.25">
      <c r="A1914">
        <v>18159</v>
      </c>
      <c r="B1914" t="s">
        <v>85</v>
      </c>
      <c r="C1914">
        <v>16</v>
      </c>
      <c r="D1914" s="3">
        <f>in_parking_demand_data_ver1!D1914*calibration!$I$31</f>
        <v>0</v>
      </c>
      <c r="E1914" s="3">
        <f>in_parking_demand_data_ver1!E1914*calibration!$I$31</f>
        <v>5.3373406639632914E-2</v>
      </c>
      <c r="F1914" s="3">
        <f t="shared" si="29"/>
        <v>5.3373406639632914E-2</v>
      </c>
      <c r="G1914">
        <v>0</v>
      </c>
    </row>
    <row r="1915" spans="1:7" x14ac:dyDescent="0.25">
      <c r="A1915">
        <v>18159</v>
      </c>
      <c r="B1915" t="s">
        <v>85</v>
      </c>
      <c r="C1915">
        <v>17</v>
      </c>
      <c r="D1915" s="3">
        <f>in_parking_demand_data_ver1!D1915*calibration!$I$31</f>
        <v>0</v>
      </c>
      <c r="E1915" s="3">
        <f>in_parking_demand_data_ver1!E1915*calibration!$I$31</f>
        <v>0</v>
      </c>
      <c r="F1915" s="3">
        <f t="shared" si="29"/>
        <v>0</v>
      </c>
      <c r="G1915">
        <v>0</v>
      </c>
    </row>
    <row r="1916" spans="1:7" x14ac:dyDescent="0.25">
      <c r="A1916">
        <v>18159</v>
      </c>
      <c r="B1916" t="s">
        <v>85</v>
      </c>
      <c r="C1916">
        <v>18</v>
      </c>
      <c r="D1916" s="3">
        <f>in_parking_demand_data_ver1!D1916*calibration!$I$31</f>
        <v>0</v>
      </c>
      <c r="E1916" s="3">
        <f>in_parking_demand_data_ver1!E1916*calibration!$I$31</f>
        <v>0</v>
      </c>
      <c r="F1916" s="3">
        <f t="shared" si="29"/>
        <v>0</v>
      </c>
      <c r="G1916">
        <v>0</v>
      </c>
    </row>
    <row r="1917" spans="1:7" x14ac:dyDescent="0.25">
      <c r="A1917">
        <v>18159</v>
      </c>
      <c r="B1917" t="s">
        <v>85</v>
      </c>
      <c r="C1917">
        <v>19</v>
      </c>
      <c r="D1917" s="3">
        <f>in_parking_demand_data_ver1!D1917*calibration!$I$31</f>
        <v>0</v>
      </c>
      <c r="E1917" s="3">
        <f>in_parking_demand_data_ver1!E1917*calibration!$I$31</f>
        <v>0</v>
      </c>
      <c r="F1917" s="3">
        <f t="shared" si="29"/>
        <v>0</v>
      </c>
      <c r="G1917">
        <v>0</v>
      </c>
    </row>
    <row r="1918" spans="1:7" x14ac:dyDescent="0.25">
      <c r="A1918">
        <v>18159</v>
      </c>
      <c r="B1918" t="s">
        <v>85</v>
      </c>
      <c r="C1918">
        <v>20</v>
      </c>
      <c r="D1918" s="3">
        <f>in_parking_demand_data_ver1!D1918*calibration!$I$31</f>
        <v>0</v>
      </c>
      <c r="E1918" s="3">
        <f>in_parking_demand_data_ver1!E1918*calibration!$I$31</f>
        <v>0</v>
      </c>
      <c r="F1918" s="3">
        <f t="shared" si="29"/>
        <v>0</v>
      </c>
      <c r="G1918">
        <v>0</v>
      </c>
    </row>
    <row r="1919" spans="1:7" x14ac:dyDescent="0.25">
      <c r="A1919">
        <v>18159</v>
      </c>
      <c r="B1919" t="s">
        <v>85</v>
      </c>
      <c r="C1919">
        <v>21</v>
      </c>
      <c r="D1919" s="3">
        <f>in_parking_demand_data_ver1!D1919*calibration!$I$31</f>
        <v>0</v>
      </c>
      <c r="E1919" s="3">
        <f>in_parking_demand_data_ver1!E1919*calibration!$I$31</f>
        <v>0</v>
      </c>
      <c r="F1919" s="3">
        <f t="shared" si="29"/>
        <v>0</v>
      </c>
      <c r="G1919">
        <v>0</v>
      </c>
    </row>
    <row r="1920" spans="1:7" x14ac:dyDescent="0.25">
      <c r="A1920">
        <v>18159</v>
      </c>
      <c r="B1920" t="s">
        <v>85</v>
      </c>
      <c r="C1920">
        <v>22</v>
      </c>
      <c r="D1920" s="3">
        <f>in_parking_demand_data_ver1!D1920*calibration!$I$31</f>
        <v>0</v>
      </c>
      <c r="E1920" s="3">
        <f>in_parking_demand_data_ver1!E1920*calibration!$I$31</f>
        <v>0</v>
      </c>
      <c r="F1920" s="3">
        <f t="shared" si="29"/>
        <v>0</v>
      </c>
      <c r="G1920">
        <v>0</v>
      </c>
    </row>
    <row r="1921" spans="1:7" x14ac:dyDescent="0.25">
      <c r="A1921">
        <v>18159</v>
      </c>
      <c r="B1921" t="s">
        <v>85</v>
      </c>
      <c r="C1921">
        <v>23</v>
      </c>
      <c r="D1921" s="3">
        <f>in_parking_demand_data_ver1!D1921*calibration!$I$31</f>
        <v>0</v>
      </c>
      <c r="E1921" s="3">
        <f>in_parking_demand_data_ver1!E1921*calibration!$I$31</f>
        <v>0</v>
      </c>
      <c r="F1921" s="3">
        <f t="shared" si="29"/>
        <v>0</v>
      </c>
      <c r="G1921">
        <v>0</v>
      </c>
    </row>
    <row r="1922" spans="1:7" x14ac:dyDescent="0.25">
      <c r="A1922">
        <v>18161</v>
      </c>
      <c r="B1922" t="s">
        <v>86</v>
      </c>
      <c r="C1922">
        <v>0</v>
      </c>
      <c r="D1922" s="3">
        <f>in_parking_demand_data_ver1!D1922*calibration!$I$31</f>
        <v>0</v>
      </c>
      <c r="E1922" s="3">
        <f>in_parking_demand_data_ver1!E1922*calibration!$I$31</f>
        <v>0</v>
      </c>
      <c r="F1922" s="3">
        <f t="shared" si="29"/>
        <v>0</v>
      </c>
      <c r="G1922">
        <v>0</v>
      </c>
    </row>
    <row r="1923" spans="1:7" x14ac:dyDescent="0.25">
      <c r="A1923">
        <v>18161</v>
      </c>
      <c r="B1923" t="s">
        <v>86</v>
      </c>
      <c r="C1923">
        <v>1</v>
      </c>
      <c r="D1923" s="3">
        <f>in_parking_demand_data_ver1!D1923*calibration!$I$31</f>
        <v>0</v>
      </c>
      <c r="E1923" s="3">
        <f>in_parking_demand_data_ver1!E1923*calibration!$I$31</f>
        <v>0</v>
      </c>
      <c r="F1923" s="3">
        <f t="shared" ref="F1923:F1986" si="30">SUM(D1923:E1923)</f>
        <v>0</v>
      </c>
      <c r="G1923">
        <v>0</v>
      </c>
    </row>
    <row r="1924" spans="1:7" x14ac:dyDescent="0.25">
      <c r="A1924">
        <v>18161</v>
      </c>
      <c r="B1924" t="s">
        <v>86</v>
      </c>
      <c r="C1924">
        <v>2</v>
      </c>
      <c r="D1924" s="3">
        <f>in_parking_demand_data_ver1!D1924*calibration!$I$31</f>
        <v>0</v>
      </c>
      <c r="E1924" s="3">
        <f>in_parking_demand_data_ver1!E1924*calibration!$I$31</f>
        <v>0</v>
      </c>
      <c r="F1924" s="3">
        <f t="shared" si="30"/>
        <v>0</v>
      </c>
      <c r="G1924">
        <v>0</v>
      </c>
    </row>
    <row r="1925" spans="1:7" x14ac:dyDescent="0.25">
      <c r="A1925">
        <v>18161</v>
      </c>
      <c r="B1925" t="s">
        <v>86</v>
      </c>
      <c r="C1925">
        <v>3</v>
      </c>
      <c r="D1925" s="3">
        <f>in_parking_demand_data_ver1!D1925*calibration!$I$31</f>
        <v>0</v>
      </c>
      <c r="E1925" s="3">
        <f>in_parking_demand_data_ver1!E1925*calibration!$I$31</f>
        <v>0</v>
      </c>
      <c r="F1925" s="3">
        <f t="shared" si="30"/>
        <v>0</v>
      </c>
      <c r="G1925">
        <v>0</v>
      </c>
    </row>
    <row r="1926" spans="1:7" x14ac:dyDescent="0.25">
      <c r="A1926">
        <v>18161</v>
      </c>
      <c r="B1926" t="s">
        <v>86</v>
      </c>
      <c r="C1926">
        <v>4</v>
      </c>
      <c r="D1926" s="3">
        <f>in_parking_demand_data_ver1!D1926*calibration!$I$31</f>
        <v>0</v>
      </c>
      <c r="E1926" s="3">
        <f>in_parking_demand_data_ver1!E1926*calibration!$I$31</f>
        <v>0</v>
      </c>
      <c r="F1926" s="3">
        <f t="shared" si="30"/>
        <v>0</v>
      </c>
      <c r="G1926">
        <v>0</v>
      </c>
    </row>
    <row r="1927" spans="1:7" x14ac:dyDescent="0.25">
      <c r="A1927">
        <v>18161</v>
      </c>
      <c r="B1927" t="s">
        <v>86</v>
      </c>
      <c r="C1927">
        <v>5</v>
      </c>
      <c r="D1927" s="3">
        <f>in_parking_demand_data_ver1!D1927*calibration!$I$31</f>
        <v>0</v>
      </c>
      <c r="E1927" s="3">
        <f>in_parking_demand_data_ver1!E1927*calibration!$I$31</f>
        <v>0</v>
      </c>
      <c r="F1927" s="3">
        <f t="shared" si="30"/>
        <v>0</v>
      </c>
      <c r="G1927">
        <v>0</v>
      </c>
    </row>
    <row r="1928" spans="1:7" x14ac:dyDescent="0.25">
      <c r="A1928">
        <v>18161</v>
      </c>
      <c r="B1928" t="s">
        <v>86</v>
      </c>
      <c r="C1928">
        <v>6</v>
      </c>
      <c r="D1928" s="3">
        <f>in_parking_demand_data_ver1!D1928*calibration!$I$31</f>
        <v>0</v>
      </c>
      <c r="E1928" s="3">
        <f>in_parking_demand_data_ver1!E1928*calibration!$I$31</f>
        <v>0</v>
      </c>
      <c r="F1928" s="3">
        <f t="shared" si="30"/>
        <v>0</v>
      </c>
      <c r="G1928">
        <v>0</v>
      </c>
    </row>
    <row r="1929" spans="1:7" x14ac:dyDescent="0.25">
      <c r="A1929">
        <v>18161</v>
      </c>
      <c r="B1929" t="s">
        <v>86</v>
      </c>
      <c r="C1929">
        <v>7</v>
      </c>
      <c r="D1929" s="3">
        <f>in_parking_demand_data_ver1!D1929*calibration!$I$31</f>
        <v>0</v>
      </c>
      <c r="E1929" s="3">
        <f>in_parking_demand_data_ver1!E1929*calibration!$I$31</f>
        <v>0.18088255778440371</v>
      </c>
      <c r="F1929" s="3">
        <f t="shared" si="30"/>
        <v>0.18088255778440371</v>
      </c>
      <c r="G1929">
        <v>0</v>
      </c>
    </row>
    <row r="1930" spans="1:7" x14ac:dyDescent="0.25">
      <c r="A1930">
        <v>18161</v>
      </c>
      <c r="B1930" t="s">
        <v>86</v>
      </c>
      <c r="C1930">
        <v>8</v>
      </c>
      <c r="D1930" s="3">
        <f>in_parking_demand_data_ver1!D1930*calibration!$I$31</f>
        <v>0</v>
      </c>
      <c r="E1930" s="3">
        <f>in_parking_demand_data_ver1!E1930*calibration!$I$31</f>
        <v>0.3014709296406734</v>
      </c>
      <c r="F1930" s="3">
        <f t="shared" si="30"/>
        <v>0.3014709296406734</v>
      </c>
      <c r="G1930">
        <v>0</v>
      </c>
    </row>
    <row r="1931" spans="1:7" x14ac:dyDescent="0.25">
      <c r="A1931">
        <v>18161</v>
      </c>
      <c r="B1931" t="s">
        <v>86</v>
      </c>
      <c r="C1931">
        <v>9</v>
      </c>
      <c r="D1931" s="3">
        <f>in_parking_demand_data_ver1!D1931*calibration!$I$31</f>
        <v>0</v>
      </c>
      <c r="E1931" s="3">
        <f>in_parking_demand_data_ver1!E1931*calibration!$I$31</f>
        <v>0</v>
      </c>
      <c r="F1931" s="3">
        <f t="shared" si="30"/>
        <v>0</v>
      </c>
      <c r="G1931">
        <v>0</v>
      </c>
    </row>
    <row r="1932" spans="1:7" x14ac:dyDescent="0.25">
      <c r="A1932">
        <v>18161</v>
      </c>
      <c r="B1932" t="s">
        <v>86</v>
      </c>
      <c r="C1932">
        <v>10</v>
      </c>
      <c r="D1932" s="3">
        <f>in_parking_demand_data_ver1!D1932*calibration!$I$31</f>
        <v>0</v>
      </c>
      <c r="E1932" s="3">
        <f>in_parking_demand_data_ver1!E1932*calibration!$I$31</f>
        <v>0</v>
      </c>
      <c r="F1932" s="3">
        <f t="shared" si="30"/>
        <v>0</v>
      </c>
      <c r="G1932">
        <v>0</v>
      </c>
    </row>
    <row r="1933" spans="1:7" x14ac:dyDescent="0.25">
      <c r="A1933">
        <v>18161</v>
      </c>
      <c r="B1933" t="s">
        <v>86</v>
      </c>
      <c r="C1933">
        <v>11</v>
      </c>
      <c r="D1933" s="3">
        <f>in_parking_demand_data_ver1!D1933*calibration!$I$31</f>
        <v>0</v>
      </c>
      <c r="E1933" s="3">
        <f>in_parking_demand_data_ver1!E1933*calibration!$I$31</f>
        <v>0.12058837185626886</v>
      </c>
      <c r="F1933" s="3">
        <f t="shared" si="30"/>
        <v>0.12058837185626886</v>
      </c>
      <c r="G1933">
        <v>0</v>
      </c>
    </row>
    <row r="1934" spans="1:7" x14ac:dyDescent="0.25">
      <c r="A1934">
        <v>18161</v>
      </c>
      <c r="B1934" t="s">
        <v>86</v>
      </c>
      <c r="C1934">
        <v>12</v>
      </c>
      <c r="D1934" s="3">
        <f>in_parking_demand_data_ver1!D1934*calibration!$I$31</f>
        <v>0</v>
      </c>
      <c r="E1934" s="3">
        <f>in_parking_demand_data_ver1!E1934*calibration!$I$31</f>
        <v>0</v>
      </c>
      <c r="F1934" s="3">
        <f t="shared" si="30"/>
        <v>0</v>
      </c>
      <c r="G1934">
        <v>0</v>
      </c>
    </row>
    <row r="1935" spans="1:7" x14ac:dyDescent="0.25">
      <c r="A1935">
        <v>18161</v>
      </c>
      <c r="B1935" t="s">
        <v>86</v>
      </c>
      <c r="C1935">
        <v>13</v>
      </c>
      <c r="D1935" s="3">
        <f>in_parking_demand_data_ver1!D1935*calibration!$I$31</f>
        <v>0</v>
      </c>
      <c r="E1935" s="3">
        <f>in_parking_demand_data_ver1!E1935*calibration!$I$31</f>
        <v>0</v>
      </c>
      <c r="F1935" s="3">
        <f t="shared" si="30"/>
        <v>0</v>
      </c>
      <c r="G1935">
        <v>0</v>
      </c>
    </row>
    <row r="1936" spans="1:7" x14ac:dyDescent="0.25">
      <c r="A1936">
        <v>18161</v>
      </c>
      <c r="B1936" t="s">
        <v>86</v>
      </c>
      <c r="C1936">
        <v>14</v>
      </c>
      <c r="D1936" s="3">
        <f>in_parking_demand_data_ver1!D1936*calibration!$I$31</f>
        <v>0</v>
      </c>
      <c r="E1936" s="3">
        <f>in_parking_demand_data_ver1!E1936*calibration!$I$31</f>
        <v>0</v>
      </c>
      <c r="F1936" s="3">
        <f t="shared" si="30"/>
        <v>0</v>
      </c>
      <c r="G1936">
        <v>0</v>
      </c>
    </row>
    <row r="1937" spans="1:7" x14ac:dyDescent="0.25">
      <c r="A1937">
        <v>18161</v>
      </c>
      <c r="B1937" t="s">
        <v>86</v>
      </c>
      <c r="C1937">
        <v>15</v>
      </c>
      <c r="D1937" s="3">
        <f>in_parking_demand_data_ver1!D1937*calibration!$I$31</f>
        <v>0</v>
      </c>
      <c r="E1937" s="3">
        <f>in_parking_demand_data_ver1!E1937*calibration!$I$31</f>
        <v>0</v>
      </c>
      <c r="F1937" s="3">
        <f t="shared" si="30"/>
        <v>0</v>
      </c>
      <c r="G1937">
        <v>0</v>
      </c>
    </row>
    <row r="1938" spans="1:7" x14ac:dyDescent="0.25">
      <c r="A1938">
        <v>18161</v>
      </c>
      <c r="B1938" t="s">
        <v>86</v>
      </c>
      <c r="C1938">
        <v>16</v>
      </c>
      <c r="D1938" s="3">
        <f>in_parking_demand_data_ver1!D1938*calibration!$I$31</f>
        <v>0</v>
      </c>
      <c r="E1938" s="3">
        <f>in_parking_demand_data_ver1!E1938*calibration!$I$31</f>
        <v>0</v>
      </c>
      <c r="F1938" s="3">
        <f t="shared" si="30"/>
        <v>0</v>
      </c>
      <c r="G1938">
        <v>0</v>
      </c>
    </row>
    <row r="1939" spans="1:7" x14ac:dyDescent="0.25">
      <c r="A1939">
        <v>18161</v>
      </c>
      <c r="B1939" t="s">
        <v>86</v>
      </c>
      <c r="C1939">
        <v>17</v>
      </c>
      <c r="D1939" s="3">
        <f>in_parking_demand_data_ver1!D1939*calibration!$I$31</f>
        <v>0</v>
      </c>
      <c r="E1939" s="3">
        <f>in_parking_demand_data_ver1!E1939*calibration!$I$31</f>
        <v>0</v>
      </c>
      <c r="F1939" s="3">
        <f t="shared" si="30"/>
        <v>0</v>
      </c>
      <c r="G1939">
        <v>0</v>
      </c>
    </row>
    <row r="1940" spans="1:7" x14ac:dyDescent="0.25">
      <c r="A1940">
        <v>18161</v>
      </c>
      <c r="B1940" t="s">
        <v>86</v>
      </c>
      <c r="C1940">
        <v>18</v>
      </c>
      <c r="D1940" s="3">
        <f>in_parking_demand_data_ver1!D1940*calibration!$I$31</f>
        <v>0</v>
      </c>
      <c r="E1940" s="3">
        <f>in_parking_demand_data_ver1!E1940*calibration!$I$31</f>
        <v>0</v>
      </c>
      <c r="F1940" s="3">
        <f t="shared" si="30"/>
        <v>0</v>
      </c>
      <c r="G1940">
        <v>0</v>
      </c>
    </row>
    <row r="1941" spans="1:7" x14ac:dyDescent="0.25">
      <c r="A1941">
        <v>18161</v>
      </c>
      <c r="B1941" t="s">
        <v>86</v>
      </c>
      <c r="C1941">
        <v>19</v>
      </c>
      <c r="D1941" s="3">
        <f>in_parking_demand_data_ver1!D1941*calibration!$I$31</f>
        <v>0</v>
      </c>
      <c r="E1941" s="3">
        <f>in_parking_demand_data_ver1!E1941*calibration!$I$31</f>
        <v>0</v>
      </c>
      <c r="F1941" s="3">
        <f t="shared" si="30"/>
        <v>0</v>
      </c>
      <c r="G1941">
        <v>0</v>
      </c>
    </row>
    <row r="1942" spans="1:7" x14ac:dyDescent="0.25">
      <c r="A1942">
        <v>18161</v>
      </c>
      <c r="B1942" t="s">
        <v>86</v>
      </c>
      <c r="C1942">
        <v>20</v>
      </c>
      <c r="D1942" s="3">
        <f>in_parking_demand_data_ver1!D1942*calibration!$I$31</f>
        <v>0</v>
      </c>
      <c r="E1942" s="3">
        <f>in_parking_demand_data_ver1!E1942*calibration!$I$31</f>
        <v>0</v>
      </c>
      <c r="F1942" s="3">
        <f t="shared" si="30"/>
        <v>0</v>
      </c>
      <c r="G1942">
        <v>0</v>
      </c>
    </row>
    <row r="1943" spans="1:7" x14ac:dyDescent="0.25">
      <c r="A1943">
        <v>18161</v>
      </c>
      <c r="B1943" t="s">
        <v>86</v>
      </c>
      <c r="C1943">
        <v>21</v>
      </c>
      <c r="D1943" s="3">
        <f>in_parking_demand_data_ver1!D1943*calibration!$I$31</f>
        <v>0</v>
      </c>
      <c r="E1943" s="3">
        <f>in_parking_demand_data_ver1!E1943*calibration!$I$31</f>
        <v>0</v>
      </c>
      <c r="F1943" s="3">
        <f t="shared" si="30"/>
        <v>0</v>
      </c>
      <c r="G1943">
        <v>0</v>
      </c>
    </row>
    <row r="1944" spans="1:7" x14ac:dyDescent="0.25">
      <c r="A1944">
        <v>18161</v>
      </c>
      <c r="B1944" t="s">
        <v>86</v>
      </c>
      <c r="C1944">
        <v>22</v>
      </c>
      <c r="D1944" s="3">
        <f>in_parking_demand_data_ver1!D1944*calibration!$I$31</f>
        <v>0</v>
      </c>
      <c r="E1944" s="3">
        <f>in_parking_demand_data_ver1!E1944*calibration!$I$31</f>
        <v>0</v>
      </c>
      <c r="F1944" s="3">
        <f t="shared" si="30"/>
        <v>0</v>
      </c>
      <c r="G1944">
        <v>0</v>
      </c>
    </row>
    <row r="1945" spans="1:7" x14ac:dyDescent="0.25">
      <c r="A1945">
        <v>18161</v>
      </c>
      <c r="B1945" t="s">
        <v>86</v>
      </c>
      <c r="C1945">
        <v>23</v>
      </c>
      <c r="D1945" s="3">
        <f>in_parking_demand_data_ver1!D1945*calibration!$I$31</f>
        <v>0</v>
      </c>
      <c r="E1945" s="3">
        <f>in_parking_demand_data_ver1!E1945*calibration!$I$31</f>
        <v>0</v>
      </c>
      <c r="F1945" s="3">
        <f t="shared" si="30"/>
        <v>0</v>
      </c>
      <c r="G1945">
        <v>0</v>
      </c>
    </row>
    <row r="1946" spans="1:7" x14ac:dyDescent="0.25">
      <c r="A1946">
        <v>18163</v>
      </c>
      <c r="B1946" t="s">
        <v>87</v>
      </c>
      <c r="C1946">
        <v>0</v>
      </c>
      <c r="D1946" s="3">
        <f>in_parking_demand_data_ver1!D1946*calibration!$I$31</f>
        <v>2.6582640460443079</v>
      </c>
      <c r="E1946" s="3">
        <f>in_parking_demand_data_ver1!E1946*calibration!$I$31</f>
        <v>28.280086176591915</v>
      </c>
      <c r="F1946" s="3">
        <f t="shared" si="30"/>
        <v>30.938350222636224</v>
      </c>
      <c r="G1946">
        <v>62</v>
      </c>
    </row>
    <row r="1947" spans="1:7" x14ac:dyDescent="0.25">
      <c r="A1947">
        <v>18163</v>
      </c>
      <c r="B1947" t="s">
        <v>87</v>
      </c>
      <c r="C1947">
        <v>1</v>
      </c>
      <c r="D1947" s="3">
        <f>in_parking_demand_data_ver1!D1947*calibration!$I$31</f>
        <v>2.5621822130547587</v>
      </c>
      <c r="E1947" s="3">
        <f>in_parking_demand_data_ver1!E1947*calibration!$I$31</f>
        <v>33.116205103732732</v>
      </c>
      <c r="F1947" s="3">
        <f t="shared" si="30"/>
        <v>35.678387316787493</v>
      </c>
      <c r="G1947">
        <v>62</v>
      </c>
    </row>
    <row r="1948" spans="1:7" x14ac:dyDescent="0.25">
      <c r="A1948">
        <v>18163</v>
      </c>
      <c r="B1948" t="s">
        <v>87</v>
      </c>
      <c r="C1948">
        <v>2</v>
      </c>
      <c r="D1948" s="3">
        <f>in_parking_demand_data_ver1!D1948*calibration!$I$31</f>
        <v>2.4340731024020186</v>
      </c>
      <c r="E1948" s="3">
        <f>in_parking_demand_data_ver1!E1948*calibration!$I$31</f>
        <v>27.191158736043626</v>
      </c>
      <c r="F1948" s="3">
        <f t="shared" si="30"/>
        <v>29.625231838445643</v>
      </c>
      <c r="G1948">
        <v>62</v>
      </c>
    </row>
    <row r="1949" spans="1:7" x14ac:dyDescent="0.25">
      <c r="A1949">
        <v>18163</v>
      </c>
      <c r="B1949" t="s">
        <v>87</v>
      </c>
      <c r="C1949">
        <v>3</v>
      </c>
      <c r="D1949" s="3">
        <f>in_parking_demand_data_ver1!D1949*calibration!$I$31</f>
        <v>2.7223186013706822</v>
      </c>
      <c r="E1949" s="3">
        <f>in_parking_demand_data_ver1!E1949*calibration!$I$31</f>
        <v>19.600693929868878</v>
      </c>
      <c r="F1949" s="3">
        <f t="shared" si="30"/>
        <v>22.323012531239559</v>
      </c>
      <c r="G1949">
        <v>62</v>
      </c>
    </row>
    <row r="1950" spans="1:7" x14ac:dyDescent="0.25">
      <c r="A1950">
        <v>18163</v>
      </c>
      <c r="B1950" t="s">
        <v>87</v>
      </c>
      <c r="C1950">
        <v>4</v>
      </c>
      <c r="D1950" s="3">
        <f>in_parking_demand_data_ver1!D1950*calibration!$I$31</f>
        <v>3.0105641003393377</v>
      </c>
      <c r="E1950" s="3">
        <f>in_parking_demand_data_ver1!E1950*calibration!$I$31</f>
        <v>12.074283679020535</v>
      </c>
      <c r="F1950" s="3">
        <f t="shared" si="30"/>
        <v>15.084847779359873</v>
      </c>
      <c r="G1950">
        <v>62</v>
      </c>
    </row>
    <row r="1951" spans="1:7" x14ac:dyDescent="0.25">
      <c r="A1951">
        <v>18163</v>
      </c>
      <c r="B1951" t="s">
        <v>87</v>
      </c>
      <c r="C1951">
        <v>5</v>
      </c>
      <c r="D1951" s="3">
        <f>in_parking_demand_data_ver1!D1951*calibration!$I$31</f>
        <v>3.4589459876239252</v>
      </c>
      <c r="E1951" s="3">
        <f>in_parking_demand_data_ver1!E1951*calibration!$I$31</f>
        <v>13.00307473125291</v>
      </c>
      <c r="F1951" s="3">
        <f t="shared" si="30"/>
        <v>16.462020718876836</v>
      </c>
      <c r="G1951">
        <v>62</v>
      </c>
    </row>
    <row r="1952" spans="1:7" x14ac:dyDescent="0.25">
      <c r="A1952">
        <v>18163</v>
      </c>
      <c r="B1952" t="s">
        <v>87</v>
      </c>
      <c r="C1952">
        <v>6</v>
      </c>
      <c r="D1952" s="3">
        <f>in_parking_demand_data_ver1!D1952*calibration!$I$31</f>
        <v>4.451791595182641</v>
      </c>
      <c r="E1952" s="3">
        <f>in_parking_demand_data_ver1!E1952*calibration!$I$31</f>
        <v>17.743111825404213</v>
      </c>
      <c r="F1952" s="3">
        <f t="shared" si="30"/>
        <v>22.194903420586854</v>
      </c>
      <c r="G1952">
        <v>62</v>
      </c>
    </row>
    <row r="1953" spans="1:7" x14ac:dyDescent="0.25">
      <c r="A1953">
        <v>18163</v>
      </c>
      <c r="B1953" t="s">
        <v>87</v>
      </c>
      <c r="C1953">
        <v>7</v>
      </c>
      <c r="D1953" s="3">
        <f>in_parking_demand_data_ver1!D1953*calibration!$I$31</f>
        <v>5.8930190900259438</v>
      </c>
      <c r="E1953" s="3">
        <f>in_parking_demand_data_ver1!E1953*calibration!$I$31</f>
        <v>18.12743915736236</v>
      </c>
      <c r="F1953" s="3">
        <f t="shared" si="30"/>
        <v>24.020458247388305</v>
      </c>
      <c r="G1953">
        <v>62</v>
      </c>
    </row>
    <row r="1954" spans="1:7" x14ac:dyDescent="0.25">
      <c r="A1954">
        <v>18163</v>
      </c>
      <c r="B1954" t="s">
        <v>87</v>
      </c>
      <c r="C1954">
        <v>8</v>
      </c>
      <c r="D1954" s="3">
        <f>in_parking_demand_data_ver1!D1954*calibration!$I$31</f>
        <v>5.0282825931199611</v>
      </c>
      <c r="E1954" s="3">
        <f>in_parking_demand_data_ver1!E1954*calibration!$I$31</f>
        <v>24.757085633641616</v>
      </c>
      <c r="F1954" s="3">
        <f t="shared" si="30"/>
        <v>29.785368226761577</v>
      </c>
      <c r="G1954">
        <v>62</v>
      </c>
    </row>
    <row r="1955" spans="1:7" x14ac:dyDescent="0.25">
      <c r="A1955">
        <v>18163</v>
      </c>
      <c r="B1955" t="s">
        <v>87</v>
      </c>
      <c r="C1955">
        <v>9</v>
      </c>
      <c r="D1955" s="3">
        <f>in_parking_demand_data_ver1!D1955*calibration!$I$31</f>
        <v>4.8361189271408538</v>
      </c>
      <c r="E1955" s="3">
        <f>in_parking_demand_data_ver1!E1955*calibration!$I$31</f>
        <v>31.642950331226213</v>
      </c>
      <c r="F1955" s="3">
        <f t="shared" si="30"/>
        <v>36.479069258367069</v>
      </c>
      <c r="G1955">
        <v>62</v>
      </c>
    </row>
    <row r="1956" spans="1:7" x14ac:dyDescent="0.25">
      <c r="A1956">
        <v>18163</v>
      </c>
      <c r="B1956" t="s">
        <v>87</v>
      </c>
      <c r="C1956">
        <v>10</v>
      </c>
      <c r="D1956" s="3">
        <f>in_parking_demand_data_ver1!D1956*calibration!$I$31</f>
        <v>4.8361189271408538</v>
      </c>
      <c r="E1956" s="3">
        <f>in_parking_demand_data_ver1!E1956*calibration!$I$31</f>
        <v>31.162541166278469</v>
      </c>
      <c r="F1956" s="3">
        <f t="shared" si="30"/>
        <v>35.998660093419325</v>
      </c>
      <c r="G1956">
        <v>62</v>
      </c>
    </row>
    <row r="1957" spans="1:7" x14ac:dyDescent="0.25">
      <c r="A1957">
        <v>18163</v>
      </c>
      <c r="B1957" t="s">
        <v>87</v>
      </c>
      <c r="C1957">
        <v>11</v>
      </c>
      <c r="D1957" s="3">
        <f>in_parking_demand_data_ver1!D1957*calibration!$I$31</f>
        <v>4.7720643718144879</v>
      </c>
      <c r="E1957" s="3">
        <f>in_parking_demand_data_ver1!E1957*calibration!$I$31</f>
        <v>31.386732109920782</v>
      </c>
      <c r="F1957" s="3">
        <f t="shared" si="30"/>
        <v>36.158796481735273</v>
      </c>
      <c r="G1957">
        <v>62</v>
      </c>
    </row>
    <row r="1958" spans="1:7" x14ac:dyDescent="0.25">
      <c r="A1958">
        <v>18163</v>
      </c>
      <c r="B1958" t="s">
        <v>87</v>
      </c>
      <c r="C1958">
        <v>12</v>
      </c>
      <c r="D1958" s="3">
        <f>in_parking_demand_data_ver1!D1958*calibration!$I$31</f>
        <v>4.6439552611617474</v>
      </c>
      <c r="E1958" s="3">
        <f>in_parking_demand_data_ver1!E1958*calibration!$I$31</f>
        <v>33.212286936722336</v>
      </c>
      <c r="F1958" s="3">
        <f t="shared" si="30"/>
        <v>37.856242197884086</v>
      </c>
      <c r="G1958">
        <v>62</v>
      </c>
    </row>
    <row r="1959" spans="1:7" x14ac:dyDescent="0.25">
      <c r="A1959">
        <v>18163</v>
      </c>
      <c r="B1959" t="s">
        <v>87</v>
      </c>
      <c r="C1959">
        <v>13</v>
      </c>
      <c r="D1959" s="3">
        <f>in_parking_demand_data_ver1!D1959*calibration!$I$31</f>
        <v>3.2988095993080018</v>
      </c>
      <c r="E1959" s="3">
        <f>in_parking_demand_data_ver1!E1959*calibration!$I$31</f>
        <v>24.949249299620728</v>
      </c>
      <c r="F1959" s="3">
        <f t="shared" si="30"/>
        <v>28.248058898928729</v>
      </c>
      <c r="G1959">
        <v>62</v>
      </c>
    </row>
    <row r="1960" spans="1:7" x14ac:dyDescent="0.25">
      <c r="A1960">
        <v>18163</v>
      </c>
      <c r="B1960" t="s">
        <v>87</v>
      </c>
      <c r="C1960">
        <v>14</v>
      </c>
      <c r="D1960" s="3">
        <f>in_parking_demand_data_ver1!D1960*calibration!$I$31</f>
        <v>2.5621822130547587</v>
      </c>
      <c r="E1960" s="3">
        <f>in_parking_demand_data_ver1!E1960*calibration!$I$31</f>
        <v>16.910402606161355</v>
      </c>
      <c r="F1960" s="3">
        <f t="shared" si="30"/>
        <v>19.472584819216113</v>
      </c>
      <c r="G1960">
        <v>62</v>
      </c>
    </row>
    <row r="1961" spans="1:7" x14ac:dyDescent="0.25">
      <c r="A1961">
        <v>18163</v>
      </c>
      <c r="B1961" t="s">
        <v>87</v>
      </c>
      <c r="C1961">
        <v>15</v>
      </c>
      <c r="D1961" s="3">
        <f>in_parking_demand_data_ver1!D1961*calibration!$I$31</f>
        <v>1.921636659791065</v>
      </c>
      <c r="E1961" s="3">
        <f>in_parking_demand_data_ver1!E1961*calibration!$I$31</f>
        <v>15.72539333262355</v>
      </c>
      <c r="F1961" s="3">
        <f t="shared" si="30"/>
        <v>17.647029992414616</v>
      </c>
      <c r="G1961">
        <v>62</v>
      </c>
    </row>
    <row r="1962" spans="1:7" x14ac:dyDescent="0.25">
      <c r="A1962">
        <v>18163</v>
      </c>
      <c r="B1962" t="s">
        <v>87</v>
      </c>
      <c r="C1962">
        <v>16</v>
      </c>
      <c r="D1962" s="3">
        <f>in_parking_demand_data_ver1!D1962*calibration!$I$31</f>
        <v>1.6974457161487755</v>
      </c>
      <c r="E1962" s="3">
        <f>in_parking_demand_data_ver1!E1962*calibration!$I$31</f>
        <v>13.899838505821998</v>
      </c>
      <c r="F1962" s="3">
        <f t="shared" si="30"/>
        <v>15.597284221970774</v>
      </c>
      <c r="G1962">
        <v>62</v>
      </c>
    </row>
    <row r="1963" spans="1:7" x14ac:dyDescent="0.25">
      <c r="A1963">
        <v>18163</v>
      </c>
      <c r="B1963" t="s">
        <v>87</v>
      </c>
      <c r="C1963">
        <v>17</v>
      </c>
      <c r="D1963" s="3">
        <f>in_parking_demand_data_ver1!D1963*calibration!$I$31</f>
        <v>5.4766644804045477</v>
      </c>
      <c r="E1963" s="3">
        <f>in_parking_demand_data_ver1!E1963*calibration!$I$31</f>
        <v>8.583310413733436</v>
      </c>
      <c r="F1963" s="3">
        <f t="shared" si="30"/>
        <v>14.059974894137984</v>
      </c>
      <c r="G1963">
        <v>62</v>
      </c>
    </row>
    <row r="1964" spans="1:7" x14ac:dyDescent="0.25">
      <c r="A1964">
        <v>18163</v>
      </c>
      <c r="B1964" t="s">
        <v>87</v>
      </c>
      <c r="C1964">
        <v>18</v>
      </c>
      <c r="D1964" s="3">
        <f>in_parking_demand_data_ver1!D1964*calibration!$I$31</f>
        <v>6.5976191986160035</v>
      </c>
      <c r="E1964" s="3">
        <f>in_parking_demand_data_ver1!E1964*calibration!$I$31</f>
        <v>8.6473649690597494</v>
      </c>
      <c r="F1964" s="3">
        <f t="shared" si="30"/>
        <v>15.244984167675753</v>
      </c>
      <c r="G1964">
        <v>62</v>
      </c>
    </row>
    <row r="1965" spans="1:7" x14ac:dyDescent="0.25">
      <c r="A1965">
        <v>18163</v>
      </c>
      <c r="B1965" t="s">
        <v>87</v>
      </c>
      <c r="C1965">
        <v>19</v>
      </c>
      <c r="D1965" s="3">
        <f>in_parking_demand_data_ver1!D1965*calibration!$I$31</f>
        <v>2.0497457704438053</v>
      </c>
      <c r="E1965" s="3">
        <f>in_parking_demand_data_ver1!E1965*calibration!$I$31</f>
        <v>13.9318657834852</v>
      </c>
      <c r="F1965" s="3">
        <f t="shared" si="30"/>
        <v>15.981611553929007</v>
      </c>
      <c r="G1965">
        <v>62</v>
      </c>
    </row>
    <row r="1966" spans="1:7" x14ac:dyDescent="0.25">
      <c r="A1966">
        <v>18163</v>
      </c>
      <c r="B1966" t="s">
        <v>87</v>
      </c>
      <c r="C1966">
        <v>20</v>
      </c>
      <c r="D1966" s="3">
        <f>in_parking_demand_data_ver1!D1966*calibration!$I$31</f>
        <v>2.1778548810965459</v>
      </c>
      <c r="E1966" s="3">
        <f>in_parking_demand_data_ver1!E1966*calibration!$I$31</f>
        <v>14.956738668707089</v>
      </c>
      <c r="F1966" s="3">
        <f t="shared" si="30"/>
        <v>17.134593549803636</v>
      </c>
      <c r="G1966">
        <v>62</v>
      </c>
    </row>
    <row r="1967" spans="1:7" x14ac:dyDescent="0.25">
      <c r="A1967">
        <v>18163</v>
      </c>
      <c r="B1967" t="s">
        <v>87</v>
      </c>
      <c r="C1967">
        <v>21</v>
      </c>
      <c r="D1967" s="3">
        <f>in_parking_demand_data_ver1!D1967*calibration!$I$31</f>
        <v>2.305963991749278</v>
      </c>
      <c r="E1967" s="3">
        <f>in_parking_demand_data_ver1!E1967*calibration!$I$31</f>
        <v>14.924711391043974</v>
      </c>
      <c r="F1967" s="3">
        <f t="shared" si="30"/>
        <v>17.230675382793251</v>
      </c>
      <c r="G1967">
        <v>62</v>
      </c>
    </row>
    <row r="1968" spans="1:7" x14ac:dyDescent="0.25">
      <c r="A1968">
        <v>18163</v>
      </c>
      <c r="B1968" t="s">
        <v>87</v>
      </c>
      <c r="C1968">
        <v>22</v>
      </c>
      <c r="D1968" s="3">
        <f>in_parking_demand_data_ver1!D1968*calibration!$I$31</f>
        <v>2.4661003800652015</v>
      </c>
      <c r="E1968" s="3">
        <f>in_parking_demand_data_ver1!E1968*calibration!$I$31</f>
        <v>19.568666652205682</v>
      </c>
      <c r="F1968" s="3">
        <f t="shared" si="30"/>
        <v>22.034767032270885</v>
      </c>
      <c r="G1968">
        <v>62</v>
      </c>
    </row>
    <row r="1969" spans="1:7" x14ac:dyDescent="0.25">
      <c r="A1969">
        <v>18163</v>
      </c>
      <c r="B1969" t="s">
        <v>87</v>
      </c>
      <c r="C1969">
        <v>23</v>
      </c>
      <c r="D1969" s="3">
        <f>in_parking_demand_data_ver1!D1969*calibration!$I$31</f>
        <v>2.5301549353915758</v>
      </c>
      <c r="E1969" s="3">
        <f>in_parking_demand_data_ver1!E1969*calibration!$I$31</f>
        <v>27.095076903054025</v>
      </c>
      <c r="F1969" s="3">
        <f t="shared" si="30"/>
        <v>29.6252318384456</v>
      </c>
      <c r="G1969">
        <v>62</v>
      </c>
    </row>
    <row r="1970" spans="1:7" x14ac:dyDescent="0.25">
      <c r="A1970">
        <v>18165</v>
      </c>
      <c r="B1970" t="s">
        <v>88</v>
      </c>
      <c r="C1970">
        <v>0</v>
      </c>
      <c r="D1970" s="3">
        <f>in_parking_demand_data_ver1!D1970*calibration!$I$31</f>
        <v>89.9623581457613</v>
      </c>
      <c r="E1970" s="3">
        <f>in_parking_demand_data_ver1!E1970*calibration!$I$31</f>
        <v>1.3854113773068084</v>
      </c>
      <c r="F1970" s="3">
        <f t="shared" si="30"/>
        <v>91.347769523068109</v>
      </c>
      <c r="G1970">
        <v>119</v>
      </c>
    </row>
    <row r="1971" spans="1:7" x14ac:dyDescent="0.25">
      <c r="A1971">
        <v>18165</v>
      </c>
      <c r="B1971" t="s">
        <v>88</v>
      </c>
      <c r="C1971">
        <v>1</v>
      </c>
      <c r="D1971" s="3">
        <f>in_parking_demand_data_ver1!D1971*calibration!$I$31</f>
        <v>91.124316075115487</v>
      </c>
      <c r="E1971" s="3">
        <f>in_parking_demand_data_ver1!E1971*calibration!$I$31</f>
        <v>1.6535555148500645</v>
      </c>
      <c r="F1971" s="3">
        <f t="shared" si="30"/>
        <v>92.777871589965557</v>
      </c>
      <c r="G1971">
        <v>119</v>
      </c>
    </row>
    <row r="1972" spans="1:7" x14ac:dyDescent="0.25">
      <c r="A1972">
        <v>18165</v>
      </c>
      <c r="B1972" t="s">
        <v>88</v>
      </c>
      <c r="C1972">
        <v>2</v>
      </c>
      <c r="D1972" s="3">
        <f>in_parking_demand_data_ver1!D1972*calibration!$I$31</f>
        <v>90.275192972894601</v>
      </c>
      <c r="E1972" s="3">
        <f>in_parking_demand_data_ver1!E1972*calibration!$I$31</f>
        <v>1.9216996523933121</v>
      </c>
      <c r="F1972" s="3">
        <f t="shared" si="30"/>
        <v>92.196892625287916</v>
      </c>
      <c r="G1972">
        <v>119</v>
      </c>
    </row>
    <row r="1973" spans="1:7" x14ac:dyDescent="0.25">
      <c r="A1973">
        <v>18165</v>
      </c>
      <c r="B1973" t="s">
        <v>88</v>
      </c>
      <c r="C1973">
        <v>3</v>
      </c>
      <c r="D1973" s="3">
        <f>in_parking_demand_data_ver1!D1973*calibration!$I$31</f>
        <v>90.007048835351654</v>
      </c>
      <c r="E1973" s="3">
        <f>in_parking_demand_data_ver1!E1973*calibration!$I$31</f>
        <v>2.1451531003460222</v>
      </c>
      <c r="F1973" s="3">
        <f t="shared" si="30"/>
        <v>92.152201935697676</v>
      </c>
      <c r="G1973">
        <v>119</v>
      </c>
    </row>
    <row r="1974" spans="1:7" x14ac:dyDescent="0.25">
      <c r="A1974">
        <v>18165</v>
      </c>
      <c r="B1974" t="s">
        <v>88</v>
      </c>
      <c r="C1974">
        <v>4</v>
      </c>
      <c r="D1974" s="3">
        <f>in_parking_demand_data_ver1!D1974*calibration!$I$31</f>
        <v>90.632718489619108</v>
      </c>
      <c r="E1974" s="3">
        <f>in_parking_demand_data_ver1!E1974*calibration!$I$31</f>
        <v>2.0557717211649402</v>
      </c>
      <c r="F1974" s="3">
        <f t="shared" si="30"/>
        <v>92.688490210784053</v>
      </c>
      <c r="G1974">
        <v>119</v>
      </c>
    </row>
    <row r="1975" spans="1:7" x14ac:dyDescent="0.25">
      <c r="A1975">
        <v>18165</v>
      </c>
      <c r="B1975" t="s">
        <v>88</v>
      </c>
      <c r="C1975">
        <v>5</v>
      </c>
      <c r="D1975" s="3">
        <f>in_parking_demand_data_ver1!D1975*calibration!$I$31</f>
        <v>87.906586424595844</v>
      </c>
      <c r="E1975" s="3">
        <f>in_parking_demand_data_ver1!E1975*calibration!$I$31</f>
        <v>1.8770089628027751</v>
      </c>
      <c r="F1975" s="3">
        <f t="shared" si="30"/>
        <v>89.78359538739862</v>
      </c>
      <c r="G1975">
        <v>119</v>
      </c>
    </row>
    <row r="1976" spans="1:7" x14ac:dyDescent="0.25">
      <c r="A1976">
        <v>18165</v>
      </c>
      <c r="B1976" t="s">
        <v>88</v>
      </c>
      <c r="C1976">
        <v>6</v>
      </c>
      <c r="D1976" s="3">
        <f>in_parking_demand_data_ver1!D1976*calibration!$I$31</f>
        <v>81.783961950692316</v>
      </c>
      <c r="E1976" s="3">
        <f>in_parking_demand_data_ver1!E1976*calibration!$I$31</f>
        <v>2.1004624107554855</v>
      </c>
      <c r="F1976" s="3">
        <f t="shared" si="30"/>
        <v>83.884424361447799</v>
      </c>
      <c r="G1976">
        <v>119</v>
      </c>
    </row>
    <row r="1977" spans="1:7" x14ac:dyDescent="0.25">
      <c r="A1977">
        <v>18165</v>
      </c>
      <c r="B1977" t="s">
        <v>88</v>
      </c>
      <c r="C1977">
        <v>7</v>
      </c>
      <c r="D1977" s="3">
        <f>in_parking_demand_data_ver1!D1977*calibration!$I$31</f>
        <v>70.700670932237827</v>
      </c>
      <c r="E1977" s="3">
        <f>in_parking_demand_data_ver1!E1977*calibration!$I$31</f>
        <v>2.5473693066609062</v>
      </c>
      <c r="F1977" s="3">
        <f t="shared" si="30"/>
        <v>73.248040238898739</v>
      </c>
      <c r="G1977">
        <v>119</v>
      </c>
    </row>
    <row r="1978" spans="1:7" x14ac:dyDescent="0.25">
      <c r="A1978">
        <v>18165</v>
      </c>
      <c r="B1978" t="s">
        <v>88</v>
      </c>
      <c r="C1978">
        <v>8</v>
      </c>
      <c r="D1978" s="3">
        <f>in_parking_demand_data_ver1!D1978*calibration!$I$31</f>
        <v>54.656713369233159</v>
      </c>
      <c r="E1978" s="3">
        <f>in_parking_demand_data_ver1!E1978*calibration!$I$31</f>
        <v>2.3686065482987333</v>
      </c>
      <c r="F1978" s="3">
        <f t="shared" si="30"/>
        <v>57.025319917531895</v>
      </c>
      <c r="G1978">
        <v>119</v>
      </c>
    </row>
    <row r="1979" spans="1:7" x14ac:dyDescent="0.25">
      <c r="A1979">
        <v>18165</v>
      </c>
      <c r="B1979" t="s">
        <v>88</v>
      </c>
      <c r="C1979">
        <v>9</v>
      </c>
      <c r="D1979" s="3">
        <f>in_parking_demand_data_ver1!D1979*calibration!$I$31</f>
        <v>43.886257177912483</v>
      </c>
      <c r="E1979" s="3">
        <f>in_parking_demand_data_ver1!E1979*calibration!$I$31</f>
        <v>1.7876275836216839</v>
      </c>
      <c r="F1979" s="3">
        <f t="shared" si="30"/>
        <v>45.673884761534168</v>
      </c>
      <c r="G1979">
        <v>119</v>
      </c>
    </row>
    <row r="1980" spans="1:7" x14ac:dyDescent="0.25">
      <c r="A1980">
        <v>18165</v>
      </c>
      <c r="B1980" t="s">
        <v>88</v>
      </c>
      <c r="C1980">
        <v>10</v>
      </c>
      <c r="D1980" s="3">
        <f>in_parking_demand_data_ver1!D1980*calibration!$I$31</f>
        <v>38.255230289504155</v>
      </c>
      <c r="E1980" s="3">
        <f>in_parking_demand_data_ver1!E1980*calibration!$I$31</f>
        <v>0.98319517099192455</v>
      </c>
      <c r="F1980" s="3">
        <f t="shared" si="30"/>
        <v>39.238425460496082</v>
      </c>
      <c r="G1980">
        <v>119</v>
      </c>
    </row>
    <row r="1981" spans="1:7" x14ac:dyDescent="0.25">
      <c r="A1981">
        <v>18165</v>
      </c>
      <c r="B1981" t="s">
        <v>88</v>
      </c>
      <c r="C1981">
        <v>11</v>
      </c>
      <c r="D1981" s="3">
        <f>in_parking_demand_data_ver1!D1981*calibration!$I$31</f>
        <v>35.171572707756752</v>
      </c>
      <c r="E1981" s="3">
        <f>in_parking_demand_data_ver1!E1981*calibration!$I$31</f>
        <v>0.75974172303921816</v>
      </c>
      <c r="F1981" s="3">
        <f t="shared" si="30"/>
        <v>35.931314430795972</v>
      </c>
      <c r="G1981">
        <v>119</v>
      </c>
    </row>
    <row r="1982" spans="1:7" x14ac:dyDescent="0.25">
      <c r="A1982">
        <v>18165</v>
      </c>
      <c r="B1982" t="s">
        <v>88</v>
      </c>
      <c r="C1982">
        <v>12</v>
      </c>
      <c r="D1982" s="3">
        <f>in_parking_demand_data_ver1!D1982*calibration!$I$31</f>
        <v>36.020695809977056</v>
      </c>
      <c r="E1982" s="3">
        <f>in_parking_demand_data_ver1!E1982*calibration!$I$31</f>
        <v>0.67036034385813403</v>
      </c>
      <c r="F1982" s="3">
        <f t="shared" si="30"/>
        <v>36.691056153835191</v>
      </c>
      <c r="G1982">
        <v>119</v>
      </c>
    </row>
    <row r="1983" spans="1:7" x14ac:dyDescent="0.25">
      <c r="A1983">
        <v>18165</v>
      </c>
      <c r="B1983" t="s">
        <v>88</v>
      </c>
      <c r="C1983">
        <v>13</v>
      </c>
      <c r="D1983" s="3">
        <f>in_parking_demand_data_ver1!D1983*calibration!$I$31</f>
        <v>37.450797876874375</v>
      </c>
      <c r="E1983" s="3">
        <f>in_parking_demand_data_ver1!E1983*calibration!$I$31</f>
        <v>0.84912310222030329</v>
      </c>
      <c r="F1983" s="3">
        <f t="shared" si="30"/>
        <v>38.299920979094679</v>
      </c>
      <c r="G1983">
        <v>119</v>
      </c>
    </row>
    <row r="1984" spans="1:7" x14ac:dyDescent="0.25">
      <c r="A1984">
        <v>18165</v>
      </c>
      <c r="B1984" t="s">
        <v>88</v>
      </c>
      <c r="C1984">
        <v>14</v>
      </c>
      <c r="D1984" s="3">
        <f>in_parking_demand_data_ver1!D1984*calibration!$I$31</f>
        <v>39.998167183535287</v>
      </c>
      <c r="E1984" s="3">
        <f>in_parking_demand_data_ver1!E1984*calibration!$I$31</f>
        <v>1.2513393085351805</v>
      </c>
      <c r="F1984" s="3">
        <f t="shared" si="30"/>
        <v>41.249506492070466</v>
      </c>
      <c r="G1984">
        <v>119</v>
      </c>
    </row>
    <row r="1985" spans="1:7" x14ac:dyDescent="0.25">
      <c r="A1985">
        <v>18165</v>
      </c>
      <c r="B1985" t="s">
        <v>88</v>
      </c>
      <c r="C1985">
        <v>15</v>
      </c>
      <c r="D1985" s="3">
        <f>in_parking_demand_data_ver1!D1985*calibration!$I$31</f>
        <v>42.813680627739494</v>
      </c>
      <c r="E1985" s="3">
        <f>in_parking_demand_data_ver1!E1985*calibration!$I$31</f>
        <v>1.340720687716263</v>
      </c>
      <c r="F1985" s="3">
        <f t="shared" si="30"/>
        <v>44.154401315455758</v>
      </c>
      <c r="G1985">
        <v>119</v>
      </c>
    </row>
    <row r="1986" spans="1:7" x14ac:dyDescent="0.25">
      <c r="A1986">
        <v>18165</v>
      </c>
      <c r="B1986" t="s">
        <v>88</v>
      </c>
      <c r="C1986">
        <v>16</v>
      </c>
      <c r="D1986" s="3">
        <f>in_parking_demand_data_ver1!D1986*calibration!$I$31</f>
        <v>44.511926832180102</v>
      </c>
      <c r="E1986" s="3">
        <f>in_parking_demand_data_ver1!E1986*calibration!$I$31</f>
        <v>0.67036034385813403</v>
      </c>
      <c r="F1986" s="3">
        <f t="shared" si="30"/>
        <v>45.182287176038237</v>
      </c>
      <c r="G1986">
        <v>119</v>
      </c>
    </row>
    <row r="1987" spans="1:7" x14ac:dyDescent="0.25">
      <c r="A1987">
        <v>18165</v>
      </c>
      <c r="B1987" t="s">
        <v>88</v>
      </c>
      <c r="C1987">
        <v>17</v>
      </c>
      <c r="D1987" s="3">
        <f>in_parking_demand_data_ver1!D1987*calibration!$I$31</f>
        <v>47.908419241061324</v>
      </c>
      <c r="E1987" s="3">
        <f>in_parking_demand_data_ver1!E1987*calibration!$I$31</f>
        <v>8.93813791810842E-2</v>
      </c>
      <c r="F1987" s="3">
        <f t="shared" ref="F1987:F2050" si="31">SUM(D1987:E1987)</f>
        <v>47.997800620242408</v>
      </c>
      <c r="G1987">
        <v>119</v>
      </c>
    </row>
    <row r="1988" spans="1:7" x14ac:dyDescent="0.25">
      <c r="A1988">
        <v>18165</v>
      </c>
      <c r="B1988" t="s">
        <v>88</v>
      </c>
      <c r="C1988">
        <v>18</v>
      </c>
      <c r="D1988" s="3">
        <f>in_parking_demand_data_ver1!D1988*calibration!$I$31</f>
        <v>55.505836471453463</v>
      </c>
      <c r="E1988" s="3">
        <f>in_parking_demand_data_ver1!E1988*calibration!$I$31</f>
        <v>0</v>
      </c>
      <c r="F1988" s="3">
        <f t="shared" si="31"/>
        <v>55.505836471453463</v>
      </c>
      <c r="G1988">
        <v>119</v>
      </c>
    </row>
    <row r="1989" spans="1:7" x14ac:dyDescent="0.25">
      <c r="A1989">
        <v>18165</v>
      </c>
      <c r="B1989" t="s">
        <v>88</v>
      </c>
      <c r="C1989">
        <v>19</v>
      </c>
      <c r="D1989" s="3">
        <f>in_parking_demand_data_ver1!D1989*calibration!$I$31</f>
        <v>61.851914393310444</v>
      </c>
      <c r="E1989" s="3">
        <f>in_parking_demand_data_ver1!E1989*calibration!$I$31</f>
        <v>0</v>
      </c>
      <c r="F1989" s="3">
        <f t="shared" si="31"/>
        <v>61.851914393310444</v>
      </c>
      <c r="G1989">
        <v>119</v>
      </c>
    </row>
    <row r="1990" spans="1:7" x14ac:dyDescent="0.25">
      <c r="A1990">
        <v>18165</v>
      </c>
      <c r="B1990" t="s">
        <v>88</v>
      </c>
      <c r="C1990">
        <v>20</v>
      </c>
      <c r="D1990" s="3">
        <f>in_parking_demand_data_ver1!D1990*calibration!$I$31</f>
        <v>70.655980242647303</v>
      </c>
      <c r="E1990" s="3">
        <f>in_parking_demand_data_ver1!E1990*calibration!$I$31</f>
        <v>0.22345344795271135</v>
      </c>
      <c r="F1990" s="3">
        <f t="shared" si="31"/>
        <v>70.87943369060001</v>
      </c>
      <c r="G1990">
        <v>119</v>
      </c>
    </row>
    <row r="1991" spans="1:7" x14ac:dyDescent="0.25">
      <c r="A1991">
        <v>18165</v>
      </c>
      <c r="B1991" t="s">
        <v>88</v>
      </c>
      <c r="C1991">
        <v>21</v>
      </c>
      <c r="D1991" s="3">
        <f>in_parking_demand_data_ver1!D1991*calibration!$I$31</f>
        <v>78.3874695418111</v>
      </c>
      <c r="E1991" s="3">
        <f>in_parking_demand_data_ver1!E1991*calibration!$I$31</f>
        <v>0.49159758549596477</v>
      </c>
      <c r="F1991" s="3">
        <f t="shared" si="31"/>
        <v>78.879067127307067</v>
      </c>
      <c r="G1991">
        <v>119</v>
      </c>
    </row>
    <row r="1992" spans="1:7" x14ac:dyDescent="0.25">
      <c r="A1992">
        <v>18165</v>
      </c>
      <c r="B1992" t="s">
        <v>88</v>
      </c>
      <c r="C1992">
        <v>22</v>
      </c>
      <c r="D1992" s="3">
        <f>in_parking_demand_data_ver1!D1992*calibration!$I$31</f>
        <v>83.437517465542399</v>
      </c>
      <c r="E1992" s="3">
        <f>in_parking_demand_data_ver1!E1992*calibration!$I$31</f>
        <v>0.80443241262976029</v>
      </c>
      <c r="F1992" s="3">
        <f t="shared" si="31"/>
        <v>84.241949878172164</v>
      </c>
      <c r="G1992">
        <v>119</v>
      </c>
    </row>
    <row r="1993" spans="1:7" x14ac:dyDescent="0.25">
      <c r="A1993">
        <v>18165</v>
      </c>
      <c r="B1993" t="s">
        <v>88</v>
      </c>
      <c r="C1993">
        <v>23</v>
      </c>
      <c r="D1993" s="3">
        <f>in_parking_demand_data_ver1!D1993*calibration!$I$31</f>
        <v>86.610556426470595</v>
      </c>
      <c r="E1993" s="3">
        <f>in_parking_demand_data_ver1!E1993*calibration!$I$31</f>
        <v>1.0278858605824701</v>
      </c>
      <c r="F1993" s="3">
        <f t="shared" si="31"/>
        <v>87.638442287053067</v>
      </c>
      <c r="G1993">
        <v>119</v>
      </c>
    </row>
    <row r="1994" spans="1:7" x14ac:dyDescent="0.25">
      <c r="A1994">
        <v>18167</v>
      </c>
      <c r="B1994" t="s">
        <v>89</v>
      </c>
      <c r="C1994">
        <v>0</v>
      </c>
      <c r="D1994" s="3">
        <f>in_parking_demand_data_ver1!D1994*calibration!$I$31</f>
        <v>47.878054327473144</v>
      </c>
      <c r="E1994" s="3">
        <f>in_parking_demand_data_ver1!E1994*calibration!$I$31</f>
        <v>3.8391282794063919</v>
      </c>
      <c r="F1994" s="3">
        <f t="shared" si="31"/>
        <v>51.717182606879533</v>
      </c>
      <c r="G1994">
        <v>135</v>
      </c>
    </row>
    <row r="1995" spans="1:7" x14ac:dyDescent="0.25">
      <c r="A1995">
        <v>18167</v>
      </c>
      <c r="B1995" t="s">
        <v>89</v>
      </c>
      <c r="C1995">
        <v>1</v>
      </c>
      <c r="D1995" s="3">
        <f>in_parking_demand_data_ver1!D1995*calibration!$I$31</f>
        <v>48.290522655012623</v>
      </c>
      <c r="E1995" s="3">
        <f>in_parking_demand_data_ver1!E1995*calibration!$I$31</f>
        <v>4.2198682740582631</v>
      </c>
      <c r="F1995" s="3">
        <f t="shared" si="31"/>
        <v>52.510390929070887</v>
      </c>
      <c r="G1995">
        <v>135</v>
      </c>
    </row>
    <row r="1996" spans="1:7" x14ac:dyDescent="0.25">
      <c r="A1996">
        <v>18167</v>
      </c>
      <c r="B1996" t="s">
        <v>89</v>
      </c>
      <c r="C1996">
        <v>2</v>
      </c>
      <c r="D1996" s="3">
        <f>in_parking_demand_data_ver1!D1996*calibration!$I$31</f>
        <v>48.512620985226249</v>
      </c>
      <c r="E1996" s="3">
        <f>in_parking_demand_data_ver1!E1996*calibration!$I$31</f>
        <v>4.4736949371595136</v>
      </c>
      <c r="F1996" s="3">
        <f t="shared" si="31"/>
        <v>52.986315922385764</v>
      </c>
      <c r="G1996">
        <v>135</v>
      </c>
    </row>
    <row r="1997" spans="1:7" x14ac:dyDescent="0.25">
      <c r="A1997">
        <v>18167</v>
      </c>
      <c r="B1997" t="s">
        <v>89</v>
      </c>
      <c r="C1997">
        <v>3</v>
      </c>
      <c r="D1997" s="3">
        <f>in_parking_demand_data_ver1!D1997*calibration!$I$31</f>
        <v>48.54434931811393</v>
      </c>
      <c r="E1997" s="3">
        <f>in_parking_demand_data_ver1!E1997*calibration!$I$31</f>
        <v>4.8861632646990447</v>
      </c>
      <c r="F1997" s="3">
        <f t="shared" si="31"/>
        <v>53.430512582812973</v>
      </c>
      <c r="G1997">
        <v>135</v>
      </c>
    </row>
    <row r="1998" spans="1:7" x14ac:dyDescent="0.25">
      <c r="A1998">
        <v>18167</v>
      </c>
      <c r="B1998" t="s">
        <v>89</v>
      </c>
      <c r="C1998">
        <v>4</v>
      </c>
      <c r="D1998" s="3">
        <f>in_parking_demand_data_ver1!D1998*calibration!$I$31</f>
        <v>47.592499331484234</v>
      </c>
      <c r="E1998" s="3">
        <f>in_parking_demand_data_ver1!E1998*calibration!$I$31</f>
        <v>6.3773949104188885</v>
      </c>
      <c r="F1998" s="3">
        <f t="shared" si="31"/>
        <v>53.96989424190312</v>
      </c>
      <c r="G1998">
        <v>135</v>
      </c>
    </row>
    <row r="1999" spans="1:7" x14ac:dyDescent="0.25">
      <c r="A1999">
        <v>18167</v>
      </c>
      <c r="B1999" t="s">
        <v>89</v>
      </c>
      <c r="C1999">
        <v>5</v>
      </c>
      <c r="D1999" s="3">
        <f>in_parking_demand_data_ver1!D1999*calibration!$I$31</f>
        <v>48.004967659023713</v>
      </c>
      <c r="E1999" s="3">
        <f>in_parking_demand_data_ver1!E1999*calibration!$I$31</f>
        <v>7.9955398876893522</v>
      </c>
      <c r="F1999" s="3">
        <f t="shared" si="31"/>
        <v>56.000507546713067</v>
      </c>
      <c r="G1999">
        <v>135</v>
      </c>
    </row>
    <row r="2000" spans="1:7" x14ac:dyDescent="0.25">
      <c r="A2000">
        <v>18167</v>
      </c>
      <c r="B2000" t="s">
        <v>89</v>
      </c>
      <c r="C2000">
        <v>6</v>
      </c>
      <c r="D2000" s="3">
        <f>in_parking_demand_data_ver1!D2000*calibration!$I$31</f>
        <v>45.783984356887807</v>
      </c>
      <c r="E2000" s="3">
        <f>in_parking_demand_data_ver1!E2000*calibration!$I$31</f>
        <v>10.565534851589501</v>
      </c>
      <c r="F2000" s="3">
        <f t="shared" si="31"/>
        <v>56.349519208477304</v>
      </c>
      <c r="G2000">
        <v>135</v>
      </c>
    </row>
    <row r="2001" spans="1:7" x14ac:dyDescent="0.25">
      <c r="A2001">
        <v>18167</v>
      </c>
      <c r="B2001" t="s">
        <v>89</v>
      </c>
      <c r="C2001">
        <v>7</v>
      </c>
      <c r="D2001" s="3">
        <f>in_parking_demand_data_ver1!D2001*calibration!$I$31</f>
        <v>41.183376088177646</v>
      </c>
      <c r="E2001" s="3">
        <f>in_parking_demand_data_ver1!E2001*calibration!$I$31</f>
        <v>15.039229788749005</v>
      </c>
      <c r="F2001" s="3">
        <f t="shared" si="31"/>
        <v>56.22260587692665</v>
      </c>
      <c r="G2001">
        <v>135</v>
      </c>
    </row>
    <row r="2002" spans="1:7" x14ac:dyDescent="0.25">
      <c r="A2002">
        <v>18167</v>
      </c>
      <c r="B2002" t="s">
        <v>89</v>
      </c>
      <c r="C2002">
        <v>8</v>
      </c>
      <c r="D2002" s="3">
        <f>in_parking_demand_data_ver1!D2002*calibration!$I$31</f>
        <v>33.981044522679696</v>
      </c>
      <c r="E2002" s="3">
        <f>in_parking_demand_data_ver1!E2002*calibration!$I$31</f>
        <v>13.643183141692139</v>
      </c>
      <c r="F2002" s="3">
        <f t="shared" si="31"/>
        <v>47.624227664371837</v>
      </c>
      <c r="G2002">
        <v>135</v>
      </c>
    </row>
    <row r="2003" spans="1:7" x14ac:dyDescent="0.25">
      <c r="A2003">
        <v>18167</v>
      </c>
      <c r="B2003" t="s">
        <v>89</v>
      </c>
      <c r="C2003">
        <v>9</v>
      </c>
      <c r="D2003" s="3">
        <f>in_parking_demand_data_ver1!D2003*calibration!$I$31</f>
        <v>27.635377945148473</v>
      </c>
      <c r="E2003" s="3">
        <f>in_parking_demand_data_ver1!E2003*calibration!$I$31</f>
        <v>12.97688815105135</v>
      </c>
      <c r="F2003" s="3">
        <f t="shared" si="31"/>
        <v>40.612266096199825</v>
      </c>
      <c r="G2003">
        <v>135</v>
      </c>
    </row>
    <row r="2004" spans="1:7" x14ac:dyDescent="0.25">
      <c r="A2004">
        <v>18167</v>
      </c>
      <c r="B2004" t="s">
        <v>89</v>
      </c>
      <c r="C2004">
        <v>10</v>
      </c>
      <c r="D2004" s="3">
        <f>in_parking_demand_data_ver1!D2004*calibration!$I$31</f>
        <v>23.954891330180331</v>
      </c>
      <c r="E2004" s="3">
        <f>in_parking_demand_data_ver1!E2004*calibration!$I$31</f>
        <v>11.453928172443829</v>
      </c>
      <c r="F2004" s="3">
        <f t="shared" si="31"/>
        <v>35.408819502624162</v>
      </c>
      <c r="G2004">
        <v>135</v>
      </c>
    </row>
    <row r="2005" spans="1:7" x14ac:dyDescent="0.25">
      <c r="A2005">
        <v>18167</v>
      </c>
      <c r="B2005" t="s">
        <v>89</v>
      </c>
      <c r="C2005">
        <v>11</v>
      </c>
      <c r="D2005" s="3">
        <f>in_parking_demand_data_ver1!D2005*calibration!$I$31</f>
        <v>20.59168804408878</v>
      </c>
      <c r="E2005" s="3">
        <f>in_parking_demand_data_ver1!E2005*calibration!$I$31</f>
        <v>11.961581498646366</v>
      </c>
      <c r="F2005" s="3">
        <f t="shared" si="31"/>
        <v>32.553269542735144</v>
      </c>
      <c r="G2005">
        <v>135</v>
      </c>
    </row>
    <row r="2006" spans="1:7" x14ac:dyDescent="0.25">
      <c r="A2006">
        <v>18167</v>
      </c>
      <c r="B2006" t="s">
        <v>89</v>
      </c>
      <c r="C2006">
        <v>12</v>
      </c>
      <c r="D2006" s="3">
        <f>in_parking_demand_data_ver1!D2006*calibration!$I$31</f>
        <v>20.084034717886329</v>
      </c>
      <c r="E2006" s="3">
        <f>in_parking_demand_data_ver1!E2006*calibration!$I$31</f>
        <v>9.613684864959799</v>
      </c>
      <c r="F2006" s="3">
        <f t="shared" si="31"/>
        <v>29.697719582846126</v>
      </c>
      <c r="G2006">
        <v>135</v>
      </c>
    </row>
    <row r="2007" spans="1:7" x14ac:dyDescent="0.25">
      <c r="A2007">
        <v>18167</v>
      </c>
      <c r="B2007" t="s">
        <v>89</v>
      </c>
      <c r="C2007">
        <v>13</v>
      </c>
      <c r="D2007" s="3">
        <f>in_parking_demand_data_ver1!D2007*calibration!$I$31</f>
        <v>20.179219716549301</v>
      </c>
      <c r="E2007" s="3">
        <f>in_parking_demand_data_ver1!E2007*calibration!$I$31</f>
        <v>5.9014699171040466</v>
      </c>
      <c r="F2007" s="3">
        <f t="shared" si="31"/>
        <v>26.08068963365335</v>
      </c>
      <c r="G2007">
        <v>135</v>
      </c>
    </row>
    <row r="2008" spans="1:7" x14ac:dyDescent="0.25">
      <c r="A2008">
        <v>18167</v>
      </c>
      <c r="B2008" t="s">
        <v>89</v>
      </c>
      <c r="C2008">
        <v>14</v>
      </c>
      <c r="D2008" s="3">
        <f>in_parking_demand_data_ver1!D2008*calibration!$I$31</f>
        <v>19.766751389009734</v>
      </c>
      <c r="E2008" s="3">
        <f>in_parking_demand_data_ver1!E2008*calibration!$I$31</f>
        <v>4.3467816056088928</v>
      </c>
      <c r="F2008" s="3">
        <f t="shared" si="31"/>
        <v>24.113532994618627</v>
      </c>
      <c r="G2008">
        <v>135</v>
      </c>
    </row>
    <row r="2009" spans="1:7" x14ac:dyDescent="0.25">
      <c r="A2009">
        <v>18167</v>
      </c>
      <c r="B2009" t="s">
        <v>89</v>
      </c>
      <c r="C2009">
        <v>15</v>
      </c>
      <c r="D2009" s="3">
        <f>in_parking_demand_data_ver1!D2009*calibration!$I$31</f>
        <v>21.416624699167912</v>
      </c>
      <c r="E2009" s="3">
        <f>in_parking_demand_data_ver1!E2009*calibration!$I$31</f>
        <v>2.633451629675458</v>
      </c>
      <c r="F2009" s="3">
        <f t="shared" si="31"/>
        <v>24.050076328843371</v>
      </c>
      <c r="G2009">
        <v>135</v>
      </c>
    </row>
    <row r="2010" spans="1:7" x14ac:dyDescent="0.25">
      <c r="A2010">
        <v>18167</v>
      </c>
      <c r="B2010" t="s">
        <v>89</v>
      </c>
      <c r="C2010">
        <v>16</v>
      </c>
      <c r="D2010" s="3">
        <f>in_parking_demand_data_ver1!D2010*calibration!$I$31</f>
        <v>26.873897955844715</v>
      </c>
      <c r="E2010" s="3">
        <f>in_parking_demand_data_ver1!E2010*calibration!$I$31</f>
        <v>1.903699973259366</v>
      </c>
      <c r="F2010" s="3">
        <f t="shared" si="31"/>
        <v>28.777597929104083</v>
      </c>
      <c r="G2010">
        <v>135</v>
      </c>
    </row>
    <row r="2011" spans="1:7" x14ac:dyDescent="0.25">
      <c r="A2011">
        <v>18167</v>
      </c>
      <c r="B2011" t="s">
        <v>89</v>
      </c>
      <c r="C2011">
        <v>17</v>
      </c>
      <c r="D2011" s="3">
        <f>in_parking_demand_data_ver1!D2011*calibration!$I$31</f>
        <v>30.26882957482395</v>
      </c>
      <c r="E2011" s="3">
        <f>in_parking_demand_data_ver1!E2011*calibration!$I$31</f>
        <v>1.1739483168432741</v>
      </c>
      <c r="F2011" s="3">
        <f t="shared" si="31"/>
        <v>31.442777891667223</v>
      </c>
      <c r="G2011">
        <v>135</v>
      </c>
    </row>
    <row r="2012" spans="1:7" x14ac:dyDescent="0.25">
      <c r="A2012">
        <v>18167</v>
      </c>
      <c r="B2012" t="s">
        <v>89</v>
      </c>
      <c r="C2012">
        <v>18</v>
      </c>
      <c r="D2012" s="3">
        <f>in_parking_demand_data_ver1!D2012*calibration!$I$31</f>
        <v>32.299442879633915</v>
      </c>
      <c r="E2012" s="3">
        <f>in_parking_demand_data_ver1!E2012*calibration!$I$31</f>
        <v>1.2691333155062441</v>
      </c>
      <c r="F2012" s="3">
        <f t="shared" si="31"/>
        <v>33.56857619514016</v>
      </c>
      <c r="G2012">
        <v>135</v>
      </c>
    </row>
    <row r="2013" spans="1:7" x14ac:dyDescent="0.25">
      <c r="A2013">
        <v>18167</v>
      </c>
      <c r="B2013" t="s">
        <v>89</v>
      </c>
      <c r="C2013">
        <v>19</v>
      </c>
      <c r="D2013" s="3">
        <f>in_parking_demand_data_ver1!D2013*calibration!$I$31</f>
        <v>35.377091169736559</v>
      </c>
      <c r="E2013" s="3">
        <f>in_parking_demand_data_ver1!E2013*calibration!$I$31</f>
        <v>1.047034985292653</v>
      </c>
      <c r="F2013" s="3">
        <f t="shared" si="31"/>
        <v>36.424126155029214</v>
      </c>
      <c r="G2013">
        <v>135</v>
      </c>
    </row>
    <row r="2014" spans="1:7" x14ac:dyDescent="0.25">
      <c r="A2014">
        <v>18167</v>
      </c>
      <c r="B2014" t="s">
        <v>89</v>
      </c>
      <c r="C2014">
        <v>20</v>
      </c>
      <c r="D2014" s="3">
        <f>in_parking_demand_data_ver1!D2014*calibration!$I$31</f>
        <v>38.962392786041733</v>
      </c>
      <c r="E2014" s="3">
        <f>in_parking_demand_data_ver1!E2014*calibration!$I$31</f>
        <v>1.4595033128321839</v>
      </c>
      <c r="F2014" s="3">
        <f t="shared" si="31"/>
        <v>40.421896098873916</v>
      </c>
      <c r="G2014">
        <v>135</v>
      </c>
    </row>
    <row r="2015" spans="1:7" x14ac:dyDescent="0.25">
      <c r="A2015">
        <v>18167</v>
      </c>
      <c r="B2015" t="s">
        <v>89</v>
      </c>
      <c r="C2015">
        <v>21</v>
      </c>
      <c r="D2015" s="3">
        <f>in_parking_demand_data_ver1!D2015*calibration!$I$31</f>
        <v>42.991891062774073</v>
      </c>
      <c r="E2015" s="3">
        <f>in_parking_demand_data_ver1!E2015*calibration!$I$31</f>
        <v>1.5864166443828049</v>
      </c>
      <c r="F2015" s="3">
        <f t="shared" si="31"/>
        <v>44.578307707156881</v>
      </c>
      <c r="G2015">
        <v>135</v>
      </c>
    </row>
    <row r="2016" spans="1:7" x14ac:dyDescent="0.25">
      <c r="A2016">
        <v>18167</v>
      </c>
      <c r="B2016" t="s">
        <v>89</v>
      </c>
      <c r="C2016">
        <v>22</v>
      </c>
      <c r="D2016" s="3">
        <f>in_parking_demand_data_ver1!D2016*calibration!$I$31</f>
        <v>45.27633103068527</v>
      </c>
      <c r="E2016" s="3">
        <f>in_parking_demand_data_ver1!E2016*calibration!$I$31</f>
        <v>2.2527116350235863</v>
      </c>
      <c r="F2016" s="3">
        <f t="shared" si="31"/>
        <v>47.529042665708857</v>
      </c>
      <c r="G2016">
        <v>135</v>
      </c>
    </row>
    <row r="2017" spans="1:7" x14ac:dyDescent="0.25">
      <c r="A2017">
        <v>18167</v>
      </c>
      <c r="B2017" t="s">
        <v>89</v>
      </c>
      <c r="C2017">
        <v>23</v>
      </c>
      <c r="D2017" s="3">
        <f>in_parking_demand_data_ver1!D2017*calibration!$I$31</f>
        <v>46.799291009292794</v>
      </c>
      <c r="E2017" s="3">
        <f>in_parking_demand_data_ver1!E2017*calibration!$I$31</f>
        <v>3.0776482901026485</v>
      </c>
      <c r="F2017" s="3">
        <f t="shared" si="31"/>
        <v>49.876939299395445</v>
      </c>
      <c r="G2017">
        <v>135</v>
      </c>
    </row>
    <row r="2018" spans="1:7" x14ac:dyDescent="0.25">
      <c r="A2018">
        <v>18169</v>
      </c>
      <c r="B2018" t="s">
        <v>90</v>
      </c>
      <c r="C2018">
        <v>0</v>
      </c>
      <c r="D2018" s="3">
        <f>in_parking_demand_data_ver1!D2018*calibration!$I$31</f>
        <v>7.4542133200831335</v>
      </c>
      <c r="E2018" s="3">
        <f>in_parking_demand_data_ver1!E2018*calibration!$I$31</f>
        <v>1.064887617154725</v>
      </c>
      <c r="F2018" s="3">
        <f t="shared" si="31"/>
        <v>8.5191009372378588</v>
      </c>
      <c r="G2018">
        <v>15</v>
      </c>
    </row>
    <row r="2019" spans="1:7" x14ac:dyDescent="0.25">
      <c r="A2019">
        <v>18169</v>
      </c>
      <c r="B2019" t="s">
        <v>90</v>
      </c>
      <c r="C2019">
        <v>1</v>
      </c>
      <c r="D2019" s="3">
        <f>in_parking_demand_data_ver1!D2019*calibration!$I$31</f>
        <v>7.4542133200831335</v>
      </c>
      <c r="E2019" s="3">
        <f>in_parking_demand_data_ver1!E2019*calibration!$I$31</f>
        <v>1.2170144196054085</v>
      </c>
      <c r="F2019" s="3">
        <f t="shared" si="31"/>
        <v>8.6712277396885415</v>
      </c>
      <c r="G2019">
        <v>15</v>
      </c>
    </row>
    <row r="2020" spans="1:7" x14ac:dyDescent="0.25">
      <c r="A2020">
        <v>18169</v>
      </c>
      <c r="B2020" t="s">
        <v>90</v>
      </c>
      <c r="C2020">
        <v>2</v>
      </c>
      <c r="D2020" s="3">
        <f>in_parking_demand_data_ver1!D2020*calibration!$I$31</f>
        <v>7.5302767213084714</v>
      </c>
      <c r="E2020" s="3">
        <f>in_parking_demand_data_ver1!E2020*calibration!$I$31</f>
        <v>1.1409510183800711</v>
      </c>
      <c r="F2020" s="3">
        <f t="shared" si="31"/>
        <v>8.6712277396885433</v>
      </c>
      <c r="G2020">
        <v>15</v>
      </c>
    </row>
    <row r="2021" spans="1:7" x14ac:dyDescent="0.25">
      <c r="A2021">
        <v>18169</v>
      </c>
      <c r="B2021" t="s">
        <v>90</v>
      </c>
      <c r="C2021">
        <v>3</v>
      </c>
      <c r="D2021" s="3">
        <f>in_parking_demand_data_ver1!D2021*calibration!$I$31</f>
        <v>7.5302767213084714</v>
      </c>
      <c r="E2021" s="3">
        <f>in_parking_demand_data_ver1!E2021*calibration!$I$31</f>
        <v>1.6733948269574335</v>
      </c>
      <c r="F2021" s="3">
        <f t="shared" si="31"/>
        <v>9.2036715482659055</v>
      </c>
      <c r="G2021">
        <v>15</v>
      </c>
    </row>
    <row r="2022" spans="1:7" x14ac:dyDescent="0.25">
      <c r="A2022">
        <v>18169</v>
      </c>
      <c r="B2022" t="s">
        <v>90</v>
      </c>
      <c r="C2022">
        <v>4</v>
      </c>
      <c r="D2022" s="3">
        <f>in_parking_demand_data_ver1!D2022*calibration!$I$31</f>
        <v>7.5302767213084714</v>
      </c>
      <c r="E2022" s="3">
        <f>in_parking_demand_data_ver1!E2022*calibration!$I$31</f>
        <v>1.9015850306334461</v>
      </c>
      <c r="F2022" s="3">
        <f t="shared" si="31"/>
        <v>9.4318617519419181</v>
      </c>
      <c r="G2022">
        <v>15</v>
      </c>
    </row>
    <row r="2023" spans="1:7" x14ac:dyDescent="0.25">
      <c r="A2023">
        <v>18169</v>
      </c>
      <c r="B2023" t="s">
        <v>90</v>
      </c>
      <c r="C2023">
        <v>5</v>
      </c>
      <c r="D2023" s="3">
        <f>in_parking_demand_data_ver1!D2023*calibration!$I$31</f>
        <v>7.682403523759147</v>
      </c>
      <c r="E2023" s="3">
        <f>in_parking_demand_data_ver1!E2023*calibration!$I$31</f>
        <v>2.1297752343094585</v>
      </c>
      <c r="F2023" s="3">
        <f t="shared" si="31"/>
        <v>9.8121787580686046</v>
      </c>
      <c r="G2023">
        <v>15</v>
      </c>
    </row>
    <row r="2024" spans="1:7" x14ac:dyDescent="0.25">
      <c r="A2024">
        <v>18169</v>
      </c>
      <c r="B2024" t="s">
        <v>90</v>
      </c>
      <c r="C2024">
        <v>6</v>
      </c>
      <c r="D2024" s="3">
        <f>in_parking_demand_data_ver1!D2024*calibration!$I$31</f>
        <v>7.0738963139564381</v>
      </c>
      <c r="E2024" s="3">
        <f>in_parking_demand_data_ver1!E2024*calibration!$I$31</f>
        <v>3.1185994502388548</v>
      </c>
      <c r="F2024" s="3">
        <f t="shared" si="31"/>
        <v>10.192495764195293</v>
      </c>
      <c r="G2024">
        <v>15</v>
      </c>
    </row>
    <row r="2025" spans="1:7" x14ac:dyDescent="0.25">
      <c r="A2025">
        <v>18169</v>
      </c>
      <c r="B2025" t="s">
        <v>90</v>
      </c>
      <c r="C2025">
        <v>7</v>
      </c>
      <c r="D2025" s="3">
        <f>in_parking_demand_data_ver1!D2025*calibration!$I$31</f>
        <v>6.0850720980270419</v>
      </c>
      <c r="E2025" s="3">
        <f>in_parking_demand_data_ver1!E2025*calibration!$I$31</f>
        <v>4.6398674747456212</v>
      </c>
      <c r="F2025" s="3">
        <f t="shared" si="31"/>
        <v>10.724939572772662</v>
      </c>
      <c r="G2025">
        <v>15</v>
      </c>
    </row>
    <row r="2026" spans="1:7" x14ac:dyDescent="0.25">
      <c r="A2026">
        <v>18169</v>
      </c>
      <c r="B2026" t="s">
        <v>90</v>
      </c>
      <c r="C2026">
        <v>8</v>
      </c>
      <c r="D2026" s="3">
        <f>in_parking_demand_data_ver1!D2026*calibration!$I$31</f>
        <v>3.1946628514641917</v>
      </c>
      <c r="E2026" s="3">
        <f>in_parking_demand_data_ver1!E2026*calibration!$I$31</f>
        <v>4.7159308759709591</v>
      </c>
      <c r="F2026" s="3">
        <f t="shared" si="31"/>
        <v>7.9105937274351508</v>
      </c>
      <c r="G2026">
        <v>15</v>
      </c>
    </row>
    <row r="2027" spans="1:7" x14ac:dyDescent="0.25">
      <c r="A2027">
        <v>18169</v>
      </c>
      <c r="B2027" t="s">
        <v>90</v>
      </c>
      <c r="C2027">
        <v>9</v>
      </c>
      <c r="D2027" s="3">
        <f>in_parking_demand_data_ver1!D2027*calibration!$I$31</f>
        <v>2.7382824441121669</v>
      </c>
      <c r="E2027" s="3">
        <f>in_parking_demand_data_ver1!E2027*calibration!$I$31</f>
        <v>5.0201844808723086</v>
      </c>
      <c r="F2027" s="3">
        <f t="shared" si="31"/>
        <v>7.7584669249844751</v>
      </c>
      <c r="G2027">
        <v>15</v>
      </c>
    </row>
    <row r="2028" spans="1:7" x14ac:dyDescent="0.25">
      <c r="A2028">
        <v>18169</v>
      </c>
      <c r="B2028" t="s">
        <v>90</v>
      </c>
      <c r="C2028">
        <v>10</v>
      </c>
      <c r="D2028" s="3">
        <f>in_parking_demand_data_ver1!D2028*calibration!$I$31</f>
        <v>3.0425360490135169</v>
      </c>
      <c r="E2028" s="3">
        <f>in_parking_demand_data_ver1!E2028*calibration!$I$31</f>
        <v>4.7919942771962969</v>
      </c>
      <c r="F2028" s="3">
        <f t="shared" si="31"/>
        <v>7.8345303262098138</v>
      </c>
      <c r="G2028">
        <v>15</v>
      </c>
    </row>
    <row r="2029" spans="1:7" x14ac:dyDescent="0.25">
      <c r="A2029">
        <v>18169</v>
      </c>
      <c r="B2029" t="s">
        <v>90</v>
      </c>
      <c r="C2029">
        <v>11</v>
      </c>
      <c r="D2029" s="3">
        <f>in_parking_demand_data_ver1!D2029*calibration!$I$31</f>
        <v>3.1185994502388548</v>
      </c>
      <c r="E2029" s="3">
        <f>in_parking_demand_data_ver1!E2029*calibration!$I$31</f>
        <v>6.6935793078297507</v>
      </c>
      <c r="F2029" s="3">
        <f t="shared" si="31"/>
        <v>9.8121787580686046</v>
      </c>
      <c r="G2029">
        <v>15</v>
      </c>
    </row>
    <row r="2030" spans="1:7" x14ac:dyDescent="0.25">
      <c r="A2030">
        <v>18169</v>
      </c>
      <c r="B2030" t="s">
        <v>90</v>
      </c>
      <c r="C2030">
        <v>12</v>
      </c>
      <c r="D2030" s="3">
        <f>in_parking_demand_data_ver1!D2030*calibration!$I$31</f>
        <v>3.0425360490135169</v>
      </c>
      <c r="E2030" s="3">
        <f>in_parking_demand_data_ver1!E2030*calibration!$I$31</f>
        <v>6.0090086968017049</v>
      </c>
      <c r="F2030" s="3">
        <f t="shared" si="31"/>
        <v>9.0515447458152209</v>
      </c>
      <c r="G2030">
        <v>15</v>
      </c>
    </row>
    <row r="2031" spans="1:7" x14ac:dyDescent="0.25">
      <c r="A2031">
        <v>18169</v>
      </c>
      <c r="B2031" t="s">
        <v>90</v>
      </c>
      <c r="C2031">
        <v>13</v>
      </c>
      <c r="D2031" s="3">
        <f>in_parking_demand_data_ver1!D2031*calibration!$I$31</f>
        <v>3.270726252689538</v>
      </c>
      <c r="E2031" s="3">
        <f>in_parking_demand_data_ver1!E2031*calibration!$I$31</f>
        <v>5.1723112833229843</v>
      </c>
      <c r="F2031" s="3">
        <f t="shared" si="31"/>
        <v>8.4430375360125218</v>
      </c>
      <c r="G2031">
        <v>15</v>
      </c>
    </row>
    <row r="2032" spans="1:7" x14ac:dyDescent="0.25">
      <c r="A2032">
        <v>18169</v>
      </c>
      <c r="B2032" t="s">
        <v>90</v>
      </c>
      <c r="C2032">
        <v>14</v>
      </c>
      <c r="D2032" s="3">
        <f>in_parking_demand_data_ver1!D2032*calibration!$I$31</f>
        <v>2.6622190428868291</v>
      </c>
      <c r="E2032" s="3">
        <f>in_parking_demand_data_ver1!E2032*calibration!$I$31</f>
        <v>3.7271066600415632</v>
      </c>
      <c r="F2032" s="3">
        <f t="shared" si="31"/>
        <v>6.3893257029283923</v>
      </c>
      <c r="G2032">
        <v>15</v>
      </c>
    </row>
    <row r="2033" spans="1:7" x14ac:dyDescent="0.25">
      <c r="A2033">
        <v>18169</v>
      </c>
      <c r="B2033" t="s">
        <v>90</v>
      </c>
      <c r="C2033">
        <v>15</v>
      </c>
      <c r="D2033" s="3">
        <f>in_parking_demand_data_ver1!D2033*calibration!$I$31</f>
        <v>2.3579654379854795</v>
      </c>
      <c r="E2033" s="3">
        <f>in_parking_demand_data_ver1!E2033*calibration!$I$31</f>
        <v>1.7494582281827711</v>
      </c>
      <c r="F2033" s="3">
        <f t="shared" si="31"/>
        <v>4.1074236661682502</v>
      </c>
      <c r="G2033">
        <v>15</v>
      </c>
    </row>
    <row r="2034" spans="1:7" x14ac:dyDescent="0.25">
      <c r="A2034">
        <v>18169</v>
      </c>
      <c r="B2034" t="s">
        <v>90</v>
      </c>
      <c r="C2034">
        <v>16</v>
      </c>
      <c r="D2034" s="3">
        <f>in_parking_demand_data_ver1!D2034*calibration!$I$31</f>
        <v>2.9664726477881795</v>
      </c>
      <c r="E2034" s="3">
        <f>in_parking_demand_data_ver1!E2034*calibration!$I$31</f>
        <v>1.3691412220560835</v>
      </c>
      <c r="F2034" s="3">
        <f t="shared" si="31"/>
        <v>4.3356138698442628</v>
      </c>
      <c r="G2034">
        <v>15</v>
      </c>
    </row>
    <row r="2035" spans="1:7" x14ac:dyDescent="0.25">
      <c r="A2035">
        <v>18169</v>
      </c>
      <c r="B2035" t="s">
        <v>90</v>
      </c>
      <c r="C2035">
        <v>17</v>
      </c>
      <c r="D2035" s="3">
        <f>in_parking_demand_data_ver1!D2035*calibration!$I$31</f>
        <v>3.4228530551402132</v>
      </c>
      <c r="E2035" s="3">
        <f>in_parking_demand_data_ver1!E2035*calibration!$I$31</f>
        <v>0.98882421592938752</v>
      </c>
      <c r="F2035" s="3">
        <f t="shared" si="31"/>
        <v>4.4116772710696006</v>
      </c>
      <c r="G2035">
        <v>15</v>
      </c>
    </row>
    <row r="2036" spans="1:7" x14ac:dyDescent="0.25">
      <c r="A2036">
        <v>18169</v>
      </c>
      <c r="B2036" t="s">
        <v>90</v>
      </c>
      <c r="C2036">
        <v>18</v>
      </c>
      <c r="D2036" s="3">
        <f>in_parking_demand_data_ver1!D2036*calibration!$I$31</f>
        <v>4.5638040735202843</v>
      </c>
      <c r="E2036" s="3">
        <f>in_parking_demand_data_ver1!E2036*calibration!$I$31</f>
        <v>0.91276081470405002</v>
      </c>
      <c r="F2036" s="3">
        <f t="shared" si="31"/>
        <v>5.4765648882243347</v>
      </c>
      <c r="G2036">
        <v>15</v>
      </c>
    </row>
    <row r="2037" spans="1:7" x14ac:dyDescent="0.25">
      <c r="A2037">
        <v>18169</v>
      </c>
      <c r="B2037" t="s">
        <v>90</v>
      </c>
      <c r="C2037">
        <v>19</v>
      </c>
      <c r="D2037" s="3">
        <f>in_parking_demand_data_ver1!D2037*calibration!$I$31</f>
        <v>5.7047550919003545</v>
      </c>
      <c r="E2037" s="3">
        <f>in_parking_demand_data_ver1!E2037*calibration!$I$31</f>
        <v>0.7606340122533809</v>
      </c>
      <c r="F2037" s="3">
        <f t="shared" si="31"/>
        <v>6.4653891041537355</v>
      </c>
      <c r="G2037">
        <v>15</v>
      </c>
    </row>
    <row r="2038" spans="1:7" x14ac:dyDescent="0.25">
      <c r="A2038">
        <v>18169</v>
      </c>
      <c r="B2038" t="s">
        <v>90</v>
      </c>
      <c r="C2038">
        <v>20</v>
      </c>
      <c r="D2038" s="3">
        <f>in_parking_demand_data_ver1!D2038*calibration!$I$31</f>
        <v>6.1611354992523806</v>
      </c>
      <c r="E2038" s="3">
        <f>in_parking_demand_data_ver1!E2038*calibration!$I$31</f>
        <v>0.91276081470405002</v>
      </c>
      <c r="F2038" s="3">
        <f t="shared" si="31"/>
        <v>7.0738963139564301</v>
      </c>
      <c r="G2038">
        <v>15</v>
      </c>
    </row>
    <row r="2039" spans="1:7" x14ac:dyDescent="0.25">
      <c r="A2039">
        <v>18169</v>
      </c>
      <c r="B2039" t="s">
        <v>90</v>
      </c>
      <c r="C2039">
        <v>21</v>
      </c>
      <c r="D2039" s="3">
        <f>in_parking_demand_data_ver1!D2039*calibration!$I$31</f>
        <v>6.8457061102804264</v>
      </c>
      <c r="E2039" s="3">
        <f>in_parking_demand_data_ver1!E2039*calibration!$I$31</f>
        <v>1.2170144196054085</v>
      </c>
      <c r="F2039" s="3">
        <f t="shared" si="31"/>
        <v>8.0627205298858353</v>
      </c>
      <c r="G2039">
        <v>15</v>
      </c>
    </row>
    <row r="2040" spans="1:7" x14ac:dyDescent="0.25">
      <c r="A2040">
        <v>18169</v>
      </c>
      <c r="B2040" t="s">
        <v>90</v>
      </c>
      <c r="C2040">
        <v>22</v>
      </c>
      <c r="D2040" s="3">
        <f>in_parking_demand_data_ver1!D2040*calibration!$I$31</f>
        <v>7.149959715181776</v>
      </c>
      <c r="E2040" s="3">
        <f>in_parking_demand_data_ver1!E2040*calibration!$I$31</f>
        <v>0.98882421592938752</v>
      </c>
      <c r="F2040" s="3">
        <f t="shared" si="31"/>
        <v>8.1387839311111634</v>
      </c>
      <c r="G2040">
        <v>15</v>
      </c>
    </row>
    <row r="2041" spans="1:7" x14ac:dyDescent="0.25">
      <c r="A2041">
        <v>18169</v>
      </c>
      <c r="B2041" t="s">
        <v>90</v>
      </c>
      <c r="C2041">
        <v>23</v>
      </c>
      <c r="D2041" s="3">
        <f>in_parking_demand_data_ver1!D2041*calibration!$I$31</f>
        <v>7.3781499188577886</v>
      </c>
      <c r="E2041" s="3">
        <f>in_parking_demand_data_ver1!E2041*calibration!$I$31</f>
        <v>1.1409510183800711</v>
      </c>
      <c r="F2041" s="3">
        <f t="shared" si="31"/>
        <v>8.5191009372378588</v>
      </c>
      <c r="G2041">
        <v>15</v>
      </c>
    </row>
    <row r="2042" spans="1:7" x14ac:dyDescent="0.25">
      <c r="A2042">
        <v>18171</v>
      </c>
      <c r="B2042" t="s">
        <v>91</v>
      </c>
      <c r="C2042">
        <v>0</v>
      </c>
      <c r="D2042" s="3">
        <f>in_parking_demand_data_ver1!D2042*calibration!$I$31</f>
        <v>0</v>
      </c>
      <c r="E2042" s="3">
        <f>in_parking_demand_data_ver1!E2042*calibration!$I$31</f>
        <v>3.3017542494014109</v>
      </c>
      <c r="F2042" s="3">
        <f t="shared" si="31"/>
        <v>3.3017542494014109</v>
      </c>
      <c r="G2042">
        <v>0</v>
      </c>
    </row>
    <row r="2043" spans="1:7" x14ac:dyDescent="0.25">
      <c r="A2043">
        <v>18171</v>
      </c>
      <c r="B2043" t="s">
        <v>91</v>
      </c>
      <c r="C2043">
        <v>1</v>
      </c>
      <c r="D2043" s="3">
        <f>in_parking_demand_data_ver1!D2043*calibration!$I$31</f>
        <v>0</v>
      </c>
      <c r="E2043" s="3">
        <f>in_parking_demand_data_ver1!E2043*calibration!$I$31</f>
        <v>3.3017542494014109</v>
      </c>
      <c r="F2043" s="3">
        <f t="shared" si="31"/>
        <v>3.3017542494014109</v>
      </c>
      <c r="G2043">
        <v>0</v>
      </c>
    </row>
    <row r="2044" spans="1:7" x14ac:dyDescent="0.25">
      <c r="A2044">
        <v>18171</v>
      </c>
      <c r="B2044" t="s">
        <v>91</v>
      </c>
      <c r="C2044">
        <v>2</v>
      </c>
      <c r="D2044" s="3">
        <f>in_parking_demand_data_ver1!D2044*calibration!$I$31</f>
        <v>0</v>
      </c>
      <c r="E2044" s="3">
        <f>in_parking_demand_data_ver1!E2044*calibration!$I$31</f>
        <v>3.2212236579525904</v>
      </c>
      <c r="F2044" s="3">
        <f t="shared" si="31"/>
        <v>3.2212236579525904</v>
      </c>
      <c r="G2044">
        <v>0</v>
      </c>
    </row>
    <row r="2045" spans="1:7" x14ac:dyDescent="0.25">
      <c r="A2045">
        <v>18171</v>
      </c>
      <c r="B2045" t="s">
        <v>91</v>
      </c>
      <c r="C2045">
        <v>3</v>
      </c>
      <c r="D2045" s="3">
        <f>in_parking_demand_data_ver1!D2045*calibration!$I$31</f>
        <v>0</v>
      </c>
      <c r="E2045" s="3">
        <f>in_parking_demand_data_ver1!E2045*calibration!$I$31</f>
        <v>3.2212236579525904</v>
      </c>
      <c r="F2045" s="3">
        <f t="shared" si="31"/>
        <v>3.2212236579525904</v>
      </c>
      <c r="G2045">
        <v>0</v>
      </c>
    </row>
    <row r="2046" spans="1:7" x14ac:dyDescent="0.25">
      <c r="A2046">
        <v>18171</v>
      </c>
      <c r="B2046" t="s">
        <v>91</v>
      </c>
      <c r="C2046">
        <v>4</v>
      </c>
      <c r="D2046" s="3">
        <f>in_parking_demand_data_ver1!D2046*calibration!$I$31</f>
        <v>0</v>
      </c>
      <c r="E2046" s="3">
        <f>in_parking_demand_data_ver1!E2046*calibration!$I$31</f>
        <v>3.2212236579525904</v>
      </c>
      <c r="F2046" s="3">
        <f t="shared" si="31"/>
        <v>3.2212236579525904</v>
      </c>
      <c r="G2046">
        <v>0</v>
      </c>
    </row>
    <row r="2047" spans="1:7" x14ac:dyDescent="0.25">
      <c r="A2047">
        <v>18171</v>
      </c>
      <c r="B2047" t="s">
        <v>91</v>
      </c>
      <c r="C2047">
        <v>5</v>
      </c>
      <c r="D2047" s="3">
        <f>in_parking_demand_data_ver1!D2047*calibration!$I$31</f>
        <v>0</v>
      </c>
      <c r="E2047" s="3">
        <f>in_parking_demand_data_ver1!E2047*calibration!$I$31</f>
        <v>2.8991012921573343</v>
      </c>
      <c r="F2047" s="3">
        <f t="shared" si="31"/>
        <v>2.8991012921573343</v>
      </c>
      <c r="G2047">
        <v>0</v>
      </c>
    </row>
    <row r="2048" spans="1:7" x14ac:dyDescent="0.25">
      <c r="A2048">
        <v>18171</v>
      </c>
      <c r="B2048" t="s">
        <v>91</v>
      </c>
      <c r="C2048">
        <v>6</v>
      </c>
      <c r="D2048" s="3">
        <f>in_parking_demand_data_ver1!D2048*calibration!$I$31</f>
        <v>0</v>
      </c>
      <c r="E2048" s="3">
        <f>in_parking_demand_data_ver1!E2048*calibration!$I$31</f>
        <v>2.415917743464445</v>
      </c>
      <c r="F2048" s="3">
        <f t="shared" si="31"/>
        <v>2.415917743464445</v>
      </c>
      <c r="G2048">
        <v>0</v>
      </c>
    </row>
    <row r="2049" spans="1:7" x14ac:dyDescent="0.25">
      <c r="A2049">
        <v>18171</v>
      </c>
      <c r="B2049" t="s">
        <v>91</v>
      </c>
      <c r="C2049">
        <v>7</v>
      </c>
      <c r="D2049" s="3">
        <f>in_parking_demand_data_ver1!D2049*calibration!$I$31</f>
        <v>0</v>
      </c>
      <c r="E2049" s="3">
        <f>in_parking_demand_data_ver1!E2049*calibration!$I$31</f>
        <v>2.415917743464445</v>
      </c>
      <c r="F2049" s="3">
        <f t="shared" si="31"/>
        <v>2.415917743464445</v>
      </c>
      <c r="G2049">
        <v>0</v>
      </c>
    </row>
    <row r="2050" spans="1:7" x14ac:dyDescent="0.25">
      <c r="A2050">
        <v>18171</v>
      </c>
      <c r="B2050" t="s">
        <v>91</v>
      </c>
      <c r="C2050">
        <v>8</v>
      </c>
      <c r="D2050" s="3">
        <f>in_parking_demand_data_ver1!D2050*calibration!$I$31</f>
        <v>0</v>
      </c>
      <c r="E2050" s="3">
        <f>in_parking_demand_data_ver1!E2050*calibration!$I$31</f>
        <v>2.8185707007085217</v>
      </c>
      <c r="F2050" s="3">
        <f t="shared" si="31"/>
        <v>2.8185707007085217</v>
      </c>
      <c r="G2050">
        <v>0</v>
      </c>
    </row>
    <row r="2051" spans="1:7" x14ac:dyDescent="0.25">
      <c r="A2051">
        <v>18171</v>
      </c>
      <c r="B2051" t="s">
        <v>91</v>
      </c>
      <c r="C2051">
        <v>9</v>
      </c>
      <c r="D2051" s="3">
        <f>in_parking_demand_data_ver1!D2051*calibration!$I$31</f>
        <v>0</v>
      </c>
      <c r="E2051" s="3">
        <f>in_parking_demand_data_ver1!E2051*calibration!$I$31</f>
        <v>3.6238766151966675</v>
      </c>
      <c r="F2051" s="3">
        <f t="shared" ref="F2051:F2114" si="32">SUM(D2051:E2051)</f>
        <v>3.6238766151966675</v>
      </c>
      <c r="G2051">
        <v>0</v>
      </c>
    </row>
    <row r="2052" spans="1:7" x14ac:dyDescent="0.25">
      <c r="A2052">
        <v>18171</v>
      </c>
      <c r="B2052" t="s">
        <v>91</v>
      </c>
      <c r="C2052">
        <v>10</v>
      </c>
      <c r="D2052" s="3">
        <f>in_parking_demand_data_ver1!D2052*calibration!$I$31</f>
        <v>0</v>
      </c>
      <c r="E2052" s="3">
        <f>in_parking_demand_data_ver1!E2052*calibration!$I$31</f>
        <v>5.1539578527241545</v>
      </c>
      <c r="F2052" s="3">
        <f t="shared" si="32"/>
        <v>5.1539578527241545</v>
      </c>
      <c r="G2052">
        <v>0</v>
      </c>
    </row>
    <row r="2053" spans="1:7" x14ac:dyDescent="0.25">
      <c r="A2053">
        <v>18171</v>
      </c>
      <c r="B2053" t="s">
        <v>91</v>
      </c>
      <c r="C2053">
        <v>11</v>
      </c>
      <c r="D2053" s="3">
        <f>in_parking_demand_data_ver1!D2053*calibration!$I$31</f>
        <v>0</v>
      </c>
      <c r="E2053" s="3">
        <f>in_parking_demand_data_ver1!E2053*calibration!$I$31</f>
        <v>4.9928966698265231</v>
      </c>
      <c r="F2053" s="3">
        <f t="shared" si="32"/>
        <v>4.9928966698265231</v>
      </c>
      <c r="G2053">
        <v>0</v>
      </c>
    </row>
    <row r="2054" spans="1:7" x14ac:dyDescent="0.25">
      <c r="A2054">
        <v>18171</v>
      </c>
      <c r="B2054" t="s">
        <v>91</v>
      </c>
      <c r="C2054">
        <v>12</v>
      </c>
      <c r="D2054" s="3">
        <f>in_parking_demand_data_ver1!D2054*calibration!$I$31</f>
        <v>0</v>
      </c>
      <c r="E2054" s="3">
        <f>in_parking_demand_data_ver1!E2054*calibration!$I$31</f>
        <v>5.7176719928658555</v>
      </c>
      <c r="F2054" s="3">
        <f t="shared" si="32"/>
        <v>5.7176719928658555</v>
      </c>
      <c r="G2054">
        <v>0</v>
      </c>
    </row>
    <row r="2055" spans="1:7" x14ac:dyDescent="0.25">
      <c r="A2055">
        <v>18171</v>
      </c>
      <c r="B2055" t="s">
        <v>91</v>
      </c>
      <c r="C2055">
        <v>13</v>
      </c>
      <c r="D2055" s="3">
        <f>in_parking_demand_data_ver1!D2055*calibration!$I$31</f>
        <v>0</v>
      </c>
      <c r="E2055" s="3">
        <f>in_parking_demand_data_ver1!E2055*calibration!$I$31</f>
        <v>5.7176719928658555</v>
      </c>
      <c r="F2055" s="3">
        <f t="shared" si="32"/>
        <v>5.7176719928658555</v>
      </c>
      <c r="G2055">
        <v>0</v>
      </c>
    </row>
    <row r="2056" spans="1:7" x14ac:dyDescent="0.25">
      <c r="A2056">
        <v>18171</v>
      </c>
      <c r="B2056" t="s">
        <v>91</v>
      </c>
      <c r="C2056">
        <v>14</v>
      </c>
      <c r="D2056" s="3">
        <f>in_parking_demand_data_ver1!D2056*calibration!$I$31</f>
        <v>0</v>
      </c>
      <c r="E2056" s="3">
        <f>in_parking_demand_data_ver1!E2056*calibration!$I$31</f>
        <v>5.7176719928658555</v>
      </c>
      <c r="F2056" s="3">
        <f t="shared" si="32"/>
        <v>5.7176719928658555</v>
      </c>
      <c r="G2056">
        <v>0</v>
      </c>
    </row>
    <row r="2057" spans="1:7" x14ac:dyDescent="0.25">
      <c r="A2057">
        <v>18171</v>
      </c>
      <c r="B2057" t="s">
        <v>91</v>
      </c>
      <c r="C2057">
        <v>15</v>
      </c>
      <c r="D2057" s="3">
        <f>in_parking_demand_data_ver1!D2057*calibration!$I$31</f>
        <v>0</v>
      </c>
      <c r="E2057" s="3">
        <f>in_parking_demand_data_ver1!E2057*calibration!$I$31</f>
        <v>5.6371414014170433</v>
      </c>
      <c r="F2057" s="3">
        <f t="shared" si="32"/>
        <v>5.6371414014170433</v>
      </c>
      <c r="G2057">
        <v>0</v>
      </c>
    </row>
    <row r="2058" spans="1:7" x14ac:dyDescent="0.25">
      <c r="A2058">
        <v>18171</v>
      </c>
      <c r="B2058" t="s">
        <v>91</v>
      </c>
      <c r="C2058">
        <v>16</v>
      </c>
      <c r="D2058" s="3">
        <f>in_parking_demand_data_ver1!D2058*calibration!$I$31</f>
        <v>0</v>
      </c>
      <c r="E2058" s="3">
        <f>in_parking_demand_data_ver1!E2058*calibration!$I$31</f>
        <v>3.9459989809919236</v>
      </c>
      <c r="F2058" s="3">
        <f t="shared" si="32"/>
        <v>3.9459989809919236</v>
      </c>
      <c r="G2058">
        <v>0</v>
      </c>
    </row>
    <row r="2059" spans="1:7" x14ac:dyDescent="0.25">
      <c r="A2059">
        <v>18171</v>
      </c>
      <c r="B2059" t="s">
        <v>91</v>
      </c>
      <c r="C2059">
        <v>17</v>
      </c>
      <c r="D2059" s="3">
        <f>in_parking_demand_data_ver1!D2059*calibration!$I$31</f>
        <v>0</v>
      </c>
      <c r="E2059" s="3">
        <f>in_parking_demand_data_ver1!E2059*calibration!$I$31</f>
        <v>3.7044072066454792</v>
      </c>
      <c r="F2059" s="3">
        <f t="shared" si="32"/>
        <v>3.7044072066454792</v>
      </c>
      <c r="G2059">
        <v>0</v>
      </c>
    </row>
    <row r="2060" spans="1:7" x14ac:dyDescent="0.25">
      <c r="A2060">
        <v>18171</v>
      </c>
      <c r="B2060" t="s">
        <v>91</v>
      </c>
      <c r="C2060">
        <v>18</v>
      </c>
      <c r="D2060" s="3">
        <f>in_parking_demand_data_ver1!D2060*calibration!$I$31</f>
        <v>0</v>
      </c>
      <c r="E2060" s="3">
        <f>in_parking_demand_data_ver1!E2060*calibration!$I$31</f>
        <v>3.4628154322990348</v>
      </c>
      <c r="F2060" s="3">
        <f t="shared" si="32"/>
        <v>3.4628154322990348</v>
      </c>
      <c r="G2060">
        <v>0</v>
      </c>
    </row>
    <row r="2061" spans="1:7" x14ac:dyDescent="0.25">
      <c r="A2061">
        <v>18171</v>
      </c>
      <c r="B2061" t="s">
        <v>91</v>
      </c>
      <c r="C2061">
        <v>19</v>
      </c>
      <c r="D2061" s="3">
        <f>in_parking_demand_data_ver1!D2061*calibration!$I$31</f>
        <v>0</v>
      </c>
      <c r="E2061" s="3">
        <f>in_parking_demand_data_ver1!E2061*calibration!$I$31</f>
        <v>3.3017542494014109</v>
      </c>
      <c r="F2061" s="3">
        <f t="shared" si="32"/>
        <v>3.3017542494014109</v>
      </c>
      <c r="G2061">
        <v>0</v>
      </c>
    </row>
    <row r="2062" spans="1:7" x14ac:dyDescent="0.25">
      <c r="A2062">
        <v>18171</v>
      </c>
      <c r="B2062" t="s">
        <v>91</v>
      </c>
      <c r="C2062">
        <v>20</v>
      </c>
      <c r="D2062" s="3">
        <f>in_parking_demand_data_ver1!D2062*calibration!$I$31</f>
        <v>0</v>
      </c>
      <c r="E2062" s="3">
        <f>in_parking_demand_data_ver1!E2062*calibration!$I$31</f>
        <v>3.3017542494014109</v>
      </c>
      <c r="F2062" s="3">
        <f t="shared" si="32"/>
        <v>3.3017542494014109</v>
      </c>
      <c r="G2062">
        <v>0</v>
      </c>
    </row>
    <row r="2063" spans="1:7" x14ac:dyDescent="0.25">
      <c r="A2063">
        <v>18171</v>
      </c>
      <c r="B2063" t="s">
        <v>91</v>
      </c>
      <c r="C2063">
        <v>21</v>
      </c>
      <c r="D2063" s="3">
        <f>in_parking_demand_data_ver1!D2063*calibration!$I$31</f>
        <v>0</v>
      </c>
      <c r="E2063" s="3">
        <f>in_parking_demand_data_ver1!E2063*calibration!$I$31</f>
        <v>3.3017542494014109</v>
      </c>
      <c r="F2063" s="3">
        <f t="shared" si="32"/>
        <v>3.3017542494014109</v>
      </c>
      <c r="G2063">
        <v>0</v>
      </c>
    </row>
    <row r="2064" spans="1:7" x14ac:dyDescent="0.25">
      <c r="A2064">
        <v>18171</v>
      </c>
      <c r="B2064" t="s">
        <v>91</v>
      </c>
      <c r="C2064">
        <v>22</v>
      </c>
      <c r="D2064" s="3">
        <f>in_parking_demand_data_ver1!D2064*calibration!$I$31</f>
        <v>0</v>
      </c>
      <c r="E2064" s="3">
        <f>in_parking_demand_data_ver1!E2064*calibration!$I$31</f>
        <v>3.3017542494014109</v>
      </c>
      <c r="F2064" s="3">
        <f t="shared" si="32"/>
        <v>3.3017542494014109</v>
      </c>
      <c r="G2064">
        <v>0</v>
      </c>
    </row>
    <row r="2065" spans="1:7" x14ac:dyDescent="0.25">
      <c r="A2065">
        <v>18171</v>
      </c>
      <c r="B2065" t="s">
        <v>91</v>
      </c>
      <c r="C2065">
        <v>23</v>
      </c>
      <c r="D2065" s="3">
        <f>in_parking_demand_data_ver1!D2065*calibration!$I$31</f>
        <v>0</v>
      </c>
      <c r="E2065" s="3">
        <f>in_parking_demand_data_ver1!E2065*calibration!$I$31</f>
        <v>3.3017542494014109</v>
      </c>
      <c r="F2065" s="3">
        <f t="shared" si="32"/>
        <v>3.3017542494014109</v>
      </c>
      <c r="G2065">
        <v>0</v>
      </c>
    </row>
    <row r="2066" spans="1:7" x14ac:dyDescent="0.25">
      <c r="A2066">
        <v>18173</v>
      </c>
      <c r="B2066" t="s">
        <v>92</v>
      </c>
      <c r="C2066">
        <v>0</v>
      </c>
      <c r="D2066" s="3">
        <f>in_parking_demand_data_ver1!D2066*calibration!$I$31</f>
        <v>0.52764240806603224</v>
      </c>
      <c r="E2066" s="3">
        <f>in_parking_demand_data_ver1!E2066*calibration!$I$31</f>
        <v>2.9020332443631807</v>
      </c>
      <c r="F2066" s="3">
        <f t="shared" si="32"/>
        <v>3.4296756524292129</v>
      </c>
      <c r="G2066">
        <v>10</v>
      </c>
    </row>
    <row r="2067" spans="1:7" x14ac:dyDescent="0.25">
      <c r="A2067">
        <v>18173</v>
      </c>
      <c r="B2067" t="s">
        <v>92</v>
      </c>
      <c r="C2067">
        <v>1</v>
      </c>
      <c r="D2067" s="3">
        <f>in_parking_demand_data_ver1!D2067*calibration!$I$31</f>
        <v>0.61558280941037091</v>
      </c>
      <c r="E2067" s="3">
        <f>in_parking_demand_data_ver1!E2067*calibration!$I$31</f>
        <v>3.0339438463796857</v>
      </c>
      <c r="F2067" s="3">
        <f t="shared" si="32"/>
        <v>3.6495266557900568</v>
      </c>
      <c r="G2067">
        <v>10</v>
      </c>
    </row>
    <row r="2068" spans="1:7" x14ac:dyDescent="0.25">
      <c r="A2068">
        <v>18173</v>
      </c>
      <c r="B2068" t="s">
        <v>92</v>
      </c>
      <c r="C2068">
        <v>2</v>
      </c>
      <c r="D2068" s="3">
        <f>in_parking_demand_data_ver1!D2068*calibration!$I$31</f>
        <v>0.61558280941037091</v>
      </c>
      <c r="E2068" s="3">
        <f>in_parking_demand_data_ver1!E2068*calibration!$I$31</f>
        <v>3.7814372578065676</v>
      </c>
      <c r="F2068" s="3">
        <f t="shared" si="32"/>
        <v>4.3970200672169382</v>
      </c>
      <c r="G2068">
        <v>10</v>
      </c>
    </row>
    <row r="2069" spans="1:7" x14ac:dyDescent="0.25">
      <c r="A2069">
        <v>18173</v>
      </c>
      <c r="B2069" t="s">
        <v>92</v>
      </c>
      <c r="C2069">
        <v>3</v>
      </c>
      <c r="D2069" s="3">
        <f>in_parking_demand_data_ver1!D2069*calibration!$I$31</f>
        <v>0.61558280941037091</v>
      </c>
      <c r="E2069" s="3">
        <f>in_parking_demand_data_ver1!E2069*calibration!$I$31</f>
        <v>4.2651094652004291</v>
      </c>
      <c r="F2069" s="3">
        <f t="shared" si="32"/>
        <v>4.8806922746107997</v>
      </c>
      <c r="G2069">
        <v>10</v>
      </c>
    </row>
    <row r="2070" spans="1:7" x14ac:dyDescent="0.25">
      <c r="A2070">
        <v>18173</v>
      </c>
      <c r="B2070" t="s">
        <v>92</v>
      </c>
      <c r="C2070">
        <v>4</v>
      </c>
      <c r="D2070" s="3">
        <f>in_parking_demand_data_ver1!D2070*calibration!$I$31</f>
        <v>0.61558280941037091</v>
      </c>
      <c r="E2070" s="3">
        <f>in_parking_demand_data_ver1!E2070*calibration!$I$31</f>
        <v>4.880692274610797</v>
      </c>
      <c r="F2070" s="3">
        <f t="shared" si="32"/>
        <v>5.4962750840211676</v>
      </c>
      <c r="G2070">
        <v>10</v>
      </c>
    </row>
    <row r="2071" spans="1:7" x14ac:dyDescent="0.25">
      <c r="A2071">
        <v>18173</v>
      </c>
      <c r="B2071" t="s">
        <v>92</v>
      </c>
      <c r="C2071">
        <v>5</v>
      </c>
      <c r="D2071" s="3">
        <f>in_parking_demand_data_ver1!D2071*calibration!$I$31</f>
        <v>0.70352321075470958</v>
      </c>
      <c r="E2071" s="3">
        <f>in_parking_demand_data_ver1!E2071*calibration!$I$31</f>
        <v>5.2764240806603215</v>
      </c>
      <c r="F2071" s="3">
        <f t="shared" si="32"/>
        <v>5.9799472914150309</v>
      </c>
      <c r="G2071">
        <v>10</v>
      </c>
    </row>
    <row r="2072" spans="1:7" x14ac:dyDescent="0.25">
      <c r="A2072">
        <v>18173</v>
      </c>
      <c r="B2072" t="s">
        <v>92</v>
      </c>
      <c r="C2072">
        <v>6</v>
      </c>
      <c r="D2072" s="3">
        <f>in_parking_demand_data_ver1!D2072*calibration!$I$31</f>
        <v>0.87940401344338703</v>
      </c>
      <c r="E2072" s="3">
        <f>in_parking_demand_data_ver1!E2072*calibration!$I$31</f>
        <v>7.1671427095636107</v>
      </c>
      <c r="F2072" s="3">
        <f t="shared" si="32"/>
        <v>8.0465467230069976</v>
      </c>
      <c r="G2072">
        <v>10</v>
      </c>
    </row>
    <row r="2073" spans="1:7" x14ac:dyDescent="0.25">
      <c r="A2073">
        <v>18173</v>
      </c>
      <c r="B2073" t="s">
        <v>92</v>
      </c>
      <c r="C2073">
        <v>7</v>
      </c>
      <c r="D2073" s="3">
        <f>in_parking_demand_data_ver1!D2073*calibration!$I$31</f>
        <v>0.52764240806603224</v>
      </c>
      <c r="E2073" s="3">
        <f>in_parking_demand_data_ver1!E2073*calibration!$I$31</f>
        <v>9.0578613384668287</v>
      </c>
      <c r="F2073" s="3">
        <f t="shared" si="32"/>
        <v>9.5855037465328614</v>
      </c>
      <c r="G2073">
        <v>10</v>
      </c>
    </row>
    <row r="2074" spans="1:7" x14ac:dyDescent="0.25">
      <c r="A2074">
        <v>18173</v>
      </c>
      <c r="B2074" t="s">
        <v>92</v>
      </c>
      <c r="C2074">
        <v>8</v>
      </c>
      <c r="D2074" s="3">
        <f>in_parking_demand_data_ver1!D2074*calibration!$I$31</f>
        <v>0.43970200672169352</v>
      </c>
      <c r="E2074" s="3">
        <f>in_parking_demand_data_ver1!E2074*calibration!$I$31</f>
        <v>8.6181593317451455</v>
      </c>
      <c r="F2074" s="3">
        <f t="shared" si="32"/>
        <v>9.0578613384668394</v>
      </c>
      <c r="G2074">
        <v>10</v>
      </c>
    </row>
    <row r="2075" spans="1:7" x14ac:dyDescent="0.25">
      <c r="A2075">
        <v>18173</v>
      </c>
      <c r="B2075" t="s">
        <v>92</v>
      </c>
      <c r="C2075">
        <v>9</v>
      </c>
      <c r="D2075" s="3">
        <f>in_parking_demand_data_ver1!D2075*calibration!$I$31</f>
        <v>0.39573180604952413</v>
      </c>
      <c r="E2075" s="3">
        <f>in_parking_demand_data_ver1!E2075*calibration!$I$31</f>
        <v>7.7387553183018092</v>
      </c>
      <c r="F2075" s="3">
        <f t="shared" si="32"/>
        <v>8.1344871243513328</v>
      </c>
      <c r="G2075">
        <v>10</v>
      </c>
    </row>
    <row r="2076" spans="1:7" x14ac:dyDescent="0.25">
      <c r="A2076">
        <v>18173</v>
      </c>
      <c r="B2076" t="s">
        <v>92</v>
      </c>
      <c r="C2076">
        <v>10</v>
      </c>
      <c r="D2076" s="3">
        <f>in_parking_demand_data_ver1!D2076*calibration!$I$31</f>
        <v>0.39573180604952413</v>
      </c>
      <c r="E2076" s="3">
        <f>in_parking_demand_data_ver1!E2076*calibration!$I$31</f>
        <v>6.9472917062027593</v>
      </c>
      <c r="F2076" s="3">
        <f t="shared" si="32"/>
        <v>7.3430235122522838</v>
      </c>
      <c r="G2076">
        <v>10</v>
      </c>
    </row>
    <row r="2077" spans="1:7" x14ac:dyDescent="0.25">
      <c r="A2077">
        <v>18173</v>
      </c>
      <c r="B2077" t="s">
        <v>92</v>
      </c>
      <c r="C2077">
        <v>11</v>
      </c>
      <c r="D2077" s="3">
        <f>in_parking_demand_data_ver1!D2077*calibration!$I$31</f>
        <v>1.0992550168042294</v>
      </c>
      <c r="E2077" s="3">
        <f>in_parking_demand_data_ver1!E2077*calibration!$I$31</f>
        <v>5.4523048833490044</v>
      </c>
      <c r="F2077" s="3">
        <f t="shared" si="32"/>
        <v>6.5515599001532339</v>
      </c>
      <c r="G2077">
        <v>10</v>
      </c>
    </row>
    <row r="2078" spans="1:7" x14ac:dyDescent="0.25">
      <c r="A2078">
        <v>18173</v>
      </c>
      <c r="B2078" t="s">
        <v>92</v>
      </c>
      <c r="C2078">
        <v>12</v>
      </c>
      <c r="D2078" s="3">
        <f>in_parking_demand_data_ver1!D2078*calibration!$I$31</f>
        <v>1.5829272241980914</v>
      </c>
      <c r="E2078" s="3">
        <f>in_parking_demand_data_ver1!E2078*calibration!$I$31</f>
        <v>3.8254074584787356</v>
      </c>
      <c r="F2078" s="3">
        <f t="shared" si="32"/>
        <v>5.408334682676827</v>
      </c>
      <c r="G2078">
        <v>10</v>
      </c>
    </row>
    <row r="2079" spans="1:7" x14ac:dyDescent="0.25">
      <c r="A2079">
        <v>18173</v>
      </c>
      <c r="B2079" t="s">
        <v>92</v>
      </c>
      <c r="C2079">
        <v>13</v>
      </c>
      <c r="D2079" s="3">
        <f>in_parking_demand_data_ver1!D2079*calibration!$I$31</f>
        <v>1.1432252174763979</v>
      </c>
      <c r="E2079" s="3">
        <f>in_parking_demand_data_ver1!E2079*calibration!$I$31</f>
        <v>2.7701226423466663</v>
      </c>
      <c r="F2079" s="3">
        <f t="shared" si="32"/>
        <v>3.9133478598230642</v>
      </c>
      <c r="G2079">
        <v>10</v>
      </c>
    </row>
    <row r="2080" spans="1:7" x14ac:dyDescent="0.25">
      <c r="A2080">
        <v>18173</v>
      </c>
      <c r="B2080" t="s">
        <v>92</v>
      </c>
      <c r="C2080">
        <v>14</v>
      </c>
      <c r="D2080" s="3">
        <f>in_parking_demand_data_ver1!D2080*calibration!$I$31</f>
        <v>0.74749341142687986</v>
      </c>
      <c r="E2080" s="3">
        <f>in_parking_demand_data_ver1!E2080*calibration!$I$31</f>
        <v>2.2864504349528048</v>
      </c>
      <c r="F2080" s="3">
        <f t="shared" si="32"/>
        <v>3.0339438463796844</v>
      </c>
      <c r="G2080">
        <v>10</v>
      </c>
    </row>
    <row r="2081" spans="1:7" x14ac:dyDescent="0.25">
      <c r="A2081">
        <v>18173</v>
      </c>
      <c r="B2081" t="s">
        <v>92</v>
      </c>
      <c r="C2081">
        <v>15</v>
      </c>
      <c r="D2081" s="3">
        <f>in_parking_demand_data_ver1!D2081*calibration!$I$31</f>
        <v>1.0113146154598924</v>
      </c>
      <c r="E2081" s="3">
        <f>in_parking_demand_data_ver1!E2081*calibration!$I$31</f>
        <v>3.4736458531013796</v>
      </c>
      <c r="F2081" s="3">
        <f t="shared" si="32"/>
        <v>4.4849604685612725</v>
      </c>
      <c r="G2081">
        <v>10</v>
      </c>
    </row>
    <row r="2082" spans="1:7" x14ac:dyDescent="0.25">
      <c r="A2082">
        <v>18173</v>
      </c>
      <c r="B2082" t="s">
        <v>92</v>
      </c>
      <c r="C2082">
        <v>16</v>
      </c>
      <c r="D2082" s="3">
        <f>in_parking_demand_data_ver1!D2082*calibration!$I$31</f>
        <v>0.43970200672169352</v>
      </c>
      <c r="E2082" s="3">
        <f>in_parking_demand_data_ver1!E2082*calibration!$I$31</f>
        <v>2.1545398329362992</v>
      </c>
      <c r="F2082" s="3">
        <f t="shared" si="32"/>
        <v>2.5942418396579927</v>
      </c>
      <c r="G2082">
        <v>10</v>
      </c>
    </row>
    <row r="2083" spans="1:7" x14ac:dyDescent="0.25">
      <c r="A2083">
        <v>18173</v>
      </c>
      <c r="B2083" t="s">
        <v>92</v>
      </c>
      <c r="C2083">
        <v>17</v>
      </c>
      <c r="D2083" s="3">
        <f>in_parking_demand_data_ver1!D2083*calibration!$I$31</f>
        <v>0.13191060201650806</v>
      </c>
      <c r="E2083" s="3">
        <f>in_parking_demand_data_ver1!E2083*calibration!$I$31</f>
        <v>1.3191060201650804</v>
      </c>
      <c r="F2083" s="3">
        <f t="shared" si="32"/>
        <v>1.4510166221815886</v>
      </c>
      <c r="G2083">
        <v>10</v>
      </c>
    </row>
    <row r="2084" spans="1:7" x14ac:dyDescent="0.25">
      <c r="A2084">
        <v>18173</v>
      </c>
      <c r="B2084" t="s">
        <v>92</v>
      </c>
      <c r="C2084">
        <v>18</v>
      </c>
      <c r="D2084" s="3">
        <f>in_parking_demand_data_ver1!D2084*calibration!$I$31</f>
        <v>0.21985100336084676</v>
      </c>
      <c r="E2084" s="3">
        <f>in_parking_demand_data_ver1!E2084*calibration!$I$31</f>
        <v>1.0992550168042294</v>
      </c>
      <c r="F2084" s="3">
        <f t="shared" si="32"/>
        <v>1.3191060201650762</v>
      </c>
      <c r="G2084">
        <v>10</v>
      </c>
    </row>
    <row r="2085" spans="1:7" x14ac:dyDescent="0.25">
      <c r="A2085">
        <v>18173</v>
      </c>
      <c r="B2085" t="s">
        <v>92</v>
      </c>
      <c r="C2085">
        <v>19</v>
      </c>
      <c r="D2085" s="3">
        <f>in_parking_demand_data_ver1!D2085*calibration!$I$31</f>
        <v>0.30779140470518546</v>
      </c>
      <c r="E2085" s="3">
        <f>in_parking_demand_data_ver1!E2085*calibration!$I$31</f>
        <v>1.4510166221815859</v>
      </c>
      <c r="F2085" s="3">
        <f t="shared" si="32"/>
        <v>1.7588080268867714</v>
      </c>
      <c r="G2085">
        <v>10</v>
      </c>
    </row>
    <row r="2086" spans="1:7" x14ac:dyDescent="0.25">
      <c r="A2086">
        <v>18173</v>
      </c>
      <c r="B2086" t="s">
        <v>92</v>
      </c>
      <c r="C2086">
        <v>20</v>
      </c>
      <c r="D2086" s="3">
        <f>in_parking_demand_data_ver1!D2086*calibration!$I$31</f>
        <v>0.48367220739386285</v>
      </c>
      <c r="E2086" s="3">
        <f>in_parking_demand_data_ver1!E2086*calibration!$I$31</f>
        <v>1.8907186289032794</v>
      </c>
      <c r="F2086" s="3">
        <f t="shared" si="32"/>
        <v>2.3743908362971422</v>
      </c>
      <c r="G2086">
        <v>10</v>
      </c>
    </row>
    <row r="2087" spans="1:7" x14ac:dyDescent="0.25">
      <c r="A2087">
        <v>18173</v>
      </c>
      <c r="B2087" t="s">
        <v>92</v>
      </c>
      <c r="C2087">
        <v>21</v>
      </c>
      <c r="D2087" s="3">
        <f>in_parking_demand_data_ver1!D2087*calibration!$I$31</f>
        <v>0.52764240806603224</v>
      </c>
      <c r="E2087" s="3">
        <f>in_parking_demand_data_ver1!E2087*calibration!$I$31</f>
        <v>2.1545398329362992</v>
      </c>
      <c r="F2087" s="3">
        <f t="shared" si="32"/>
        <v>2.6821822410023315</v>
      </c>
      <c r="G2087">
        <v>10</v>
      </c>
    </row>
    <row r="2088" spans="1:7" x14ac:dyDescent="0.25">
      <c r="A2088">
        <v>18173</v>
      </c>
      <c r="B2088" t="s">
        <v>92</v>
      </c>
      <c r="C2088">
        <v>22</v>
      </c>
      <c r="D2088" s="3">
        <f>in_parking_demand_data_ver1!D2088*calibration!$I$31</f>
        <v>0.39573180604952413</v>
      </c>
      <c r="E2088" s="3">
        <f>in_parking_demand_data_ver1!E2088*calibration!$I$31</f>
        <v>2.3304206356249728</v>
      </c>
      <c r="F2088" s="3">
        <f t="shared" si="32"/>
        <v>2.7261524416744969</v>
      </c>
      <c r="G2088">
        <v>10</v>
      </c>
    </row>
    <row r="2089" spans="1:7" x14ac:dyDescent="0.25">
      <c r="A2089">
        <v>18173</v>
      </c>
      <c r="B2089" t="s">
        <v>92</v>
      </c>
      <c r="C2089">
        <v>23</v>
      </c>
      <c r="D2089" s="3">
        <f>in_parking_demand_data_ver1!D2089*calibration!$I$31</f>
        <v>0.48367220739386285</v>
      </c>
      <c r="E2089" s="3">
        <f>in_parking_demand_data_ver1!E2089*calibration!$I$31</f>
        <v>2.5063014383136557</v>
      </c>
      <c r="F2089" s="3">
        <f t="shared" si="32"/>
        <v>2.9899736457075186</v>
      </c>
      <c r="G2089">
        <v>10</v>
      </c>
    </row>
    <row r="2090" spans="1:7" x14ac:dyDescent="0.25">
      <c r="A2090">
        <v>18175</v>
      </c>
      <c r="B2090" t="s">
        <v>93</v>
      </c>
      <c r="C2090">
        <v>0</v>
      </c>
      <c r="D2090" s="3">
        <f>in_parking_demand_data_ver1!D2090*calibration!$I$31</f>
        <v>0</v>
      </c>
      <c r="E2090" s="3">
        <f>in_parking_demand_data_ver1!E2090*calibration!$I$31</f>
        <v>0</v>
      </c>
      <c r="F2090" s="3">
        <f t="shared" si="32"/>
        <v>0</v>
      </c>
      <c r="G2090">
        <v>0</v>
      </c>
    </row>
    <row r="2091" spans="1:7" x14ac:dyDescent="0.25">
      <c r="A2091">
        <v>18175</v>
      </c>
      <c r="B2091" t="s">
        <v>93</v>
      </c>
      <c r="C2091">
        <v>1</v>
      </c>
      <c r="D2091" s="3">
        <f>in_parking_demand_data_ver1!D2091*calibration!$I$31</f>
        <v>0</v>
      </c>
      <c r="E2091" s="3">
        <f>in_parking_demand_data_ver1!E2091*calibration!$I$31</f>
        <v>0</v>
      </c>
      <c r="F2091" s="3">
        <f t="shared" si="32"/>
        <v>0</v>
      </c>
      <c r="G2091">
        <v>0</v>
      </c>
    </row>
    <row r="2092" spans="1:7" x14ac:dyDescent="0.25">
      <c r="A2092">
        <v>18175</v>
      </c>
      <c r="B2092" t="s">
        <v>93</v>
      </c>
      <c r="C2092">
        <v>2</v>
      </c>
      <c r="D2092" s="3">
        <f>in_parking_demand_data_ver1!D2092*calibration!$I$31</f>
        <v>0</v>
      </c>
      <c r="E2092" s="3">
        <f>in_parking_demand_data_ver1!E2092*calibration!$I$31</f>
        <v>0</v>
      </c>
      <c r="F2092" s="3">
        <f t="shared" si="32"/>
        <v>0</v>
      </c>
      <c r="G2092">
        <v>0</v>
      </c>
    </row>
    <row r="2093" spans="1:7" x14ac:dyDescent="0.25">
      <c r="A2093">
        <v>18175</v>
      </c>
      <c r="B2093" t="s">
        <v>93</v>
      </c>
      <c r="C2093">
        <v>3</v>
      </c>
      <c r="D2093" s="3">
        <f>in_parking_demand_data_ver1!D2093*calibration!$I$31</f>
        <v>0</v>
      </c>
      <c r="E2093" s="3">
        <f>in_parking_demand_data_ver1!E2093*calibration!$I$31</f>
        <v>0</v>
      </c>
      <c r="F2093" s="3">
        <f t="shared" si="32"/>
        <v>0</v>
      </c>
      <c r="G2093">
        <v>0</v>
      </c>
    </row>
    <row r="2094" spans="1:7" x14ac:dyDescent="0.25">
      <c r="A2094">
        <v>18175</v>
      </c>
      <c r="B2094" t="s">
        <v>93</v>
      </c>
      <c r="C2094">
        <v>4</v>
      </c>
      <c r="D2094" s="3">
        <f>in_parking_demand_data_ver1!D2094*calibration!$I$31</f>
        <v>0</v>
      </c>
      <c r="E2094" s="3">
        <f>in_parking_demand_data_ver1!E2094*calibration!$I$31</f>
        <v>0</v>
      </c>
      <c r="F2094" s="3">
        <f t="shared" si="32"/>
        <v>0</v>
      </c>
      <c r="G2094">
        <v>0</v>
      </c>
    </row>
    <row r="2095" spans="1:7" x14ac:dyDescent="0.25">
      <c r="A2095">
        <v>18175</v>
      </c>
      <c r="B2095" t="s">
        <v>93</v>
      </c>
      <c r="C2095">
        <v>5</v>
      </c>
      <c r="D2095" s="3">
        <f>in_parking_demand_data_ver1!D2095*calibration!$I$31</f>
        <v>0</v>
      </c>
      <c r="E2095" s="3">
        <f>in_parking_demand_data_ver1!E2095*calibration!$I$31</f>
        <v>0</v>
      </c>
      <c r="F2095" s="3">
        <f t="shared" si="32"/>
        <v>0</v>
      </c>
      <c r="G2095">
        <v>0</v>
      </c>
    </row>
    <row r="2096" spans="1:7" x14ac:dyDescent="0.25">
      <c r="A2096">
        <v>18175</v>
      </c>
      <c r="B2096" t="s">
        <v>93</v>
      </c>
      <c r="C2096">
        <v>6</v>
      </c>
      <c r="D2096" s="3">
        <f>in_parking_demand_data_ver1!D2096*calibration!$I$31</f>
        <v>0</v>
      </c>
      <c r="E2096" s="3">
        <f>in_parking_demand_data_ver1!E2096*calibration!$I$31</f>
        <v>0.46279766745330009</v>
      </c>
      <c r="F2096" s="3">
        <f t="shared" si="32"/>
        <v>0.46279766745330009</v>
      </c>
      <c r="G2096">
        <v>0</v>
      </c>
    </row>
    <row r="2097" spans="1:7" x14ac:dyDescent="0.25">
      <c r="A2097">
        <v>18175</v>
      </c>
      <c r="B2097" t="s">
        <v>93</v>
      </c>
      <c r="C2097">
        <v>7</v>
      </c>
      <c r="D2097" s="3">
        <f>in_parking_demand_data_ver1!D2097*calibration!$I$31</f>
        <v>0</v>
      </c>
      <c r="E2097" s="3">
        <f>in_parking_demand_data_ver1!E2097*calibration!$I$31</f>
        <v>1.652848812333211</v>
      </c>
      <c r="F2097" s="3">
        <f t="shared" si="32"/>
        <v>1.652848812333211</v>
      </c>
      <c r="G2097">
        <v>0</v>
      </c>
    </row>
    <row r="2098" spans="1:7" x14ac:dyDescent="0.25">
      <c r="A2098">
        <v>18175</v>
      </c>
      <c r="B2098" t="s">
        <v>93</v>
      </c>
      <c r="C2098">
        <v>8</v>
      </c>
      <c r="D2098" s="3">
        <f>in_parking_demand_data_ver1!D2098*calibration!$I$31</f>
        <v>0</v>
      </c>
      <c r="E2098" s="3">
        <f>in_parking_demand_data_ver1!E2098*calibration!$I$31</f>
        <v>5.3552301519596135</v>
      </c>
      <c r="F2098" s="3">
        <f t="shared" si="32"/>
        <v>5.3552301519596135</v>
      </c>
      <c r="G2098">
        <v>0</v>
      </c>
    </row>
    <row r="2099" spans="1:7" x14ac:dyDescent="0.25">
      <c r="A2099">
        <v>18175</v>
      </c>
      <c r="B2099" t="s">
        <v>93</v>
      </c>
      <c r="C2099">
        <v>9</v>
      </c>
      <c r="D2099" s="3">
        <f>in_parking_demand_data_ver1!D2099*calibration!$I$31</f>
        <v>0</v>
      </c>
      <c r="E2099" s="3">
        <f>in_parking_demand_data_ver1!E2099*calibration!$I$31</f>
        <v>7.8675603467061004</v>
      </c>
      <c r="F2099" s="3">
        <f t="shared" si="32"/>
        <v>7.8675603467061004</v>
      </c>
      <c r="G2099">
        <v>0</v>
      </c>
    </row>
    <row r="2100" spans="1:7" x14ac:dyDescent="0.25">
      <c r="A2100">
        <v>18175</v>
      </c>
      <c r="B2100" t="s">
        <v>93</v>
      </c>
      <c r="C2100">
        <v>10</v>
      </c>
      <c r="D2100" s="3">
        <f>in_parking_demand_data_ver1!D2100*calibration!$I$31</f>
        <v>0</v>
      </c>
      <c r="E2100" s="3">
        <f>in_parking_demand_data_ver1!E2100*calibration!$I$31</f>
        <v>7.8675603467061004</v>
      </c>
      <c r="F2100" s="3">
        <f t="shared" si="32"/>
        <v>7.8675603467061004</v>
      </c>
      <c r="G2100">
        <v>0</v>
      </c>
    </row>
    <row r="2101" spans="1:7" x14ac:dyDescent="0.25">
      <c r="A2101">
        <v>18175</v>
      </c>
      <c r="B2101" t="s">
        <v>93</v>
      </c>
      <c r="C2101">
        <v>11</v>
      </c>
      <c r="D2101" s="3">
        <f>in_parking_demand_data_ver1!D2101*calibration!$I$31</f>
        <v>0</v>
      </c>
      <c r="E2101" s="3">
        <f>in_parking_demand_data_ver1!E2101*calibration!$I$31</f>
        <v>5.9502557243995708</v>
      </c>
      <c r="F2101" s="3">
        <f t="shared" si="32"/>
        <v>5.9502557243995708</v>
      </c>
      <c r="G2101">
        <v>0</v>
      </c>
    </row>
    <row r="2102" spans="1:7" x14ac:dyDescent="0.25">
      <c r="A2102">
        <v>18175</v>
      </c>
      <c r="B2102" t="s">
        <v>93</v>
      </c>
      <c r="C2102">
        <v>12</v>
      </c>
      <c r="D2102" s="3">
        <f>in_parking_demand_data_ver1!D2102*calibration!$I$31</f>
        <v>0</v>
      </c>
      <c r="E2102" s="3">
        <f>in_parking_demand_data_ver1!E2102*calibration!$I$31</f>
        <v>3.305697624666422</v>
      </c>
      <c r="F2102" s="3">
        <f t="shared" si="32"/>
        <v>3.305697624666422</v>
      </c>
      <c r="G2102">
        <v>0</v>
      </c>
    </row>
    <row r="2103" spans="1:7" x14ac:dyDescent="0.25">
      <c r="A2103">
        <v>18175</v>
      </c>
      <c r="B2103" t="s">
        <v>93</v>
      </c>
      <c r="C2103">
        <v>13</v>
      </c>
      <c r="D2103" s="3">
        <f>in_parking_demand_data_ver1!D2103*calibration!$I$31</f>
        <v>0</v>
      </c>
      <c r="E2103" s="3">
        <f>in_parking_demand_data_ver1!E2103*calibration!$I$31</f>
        <v>1.7850767173198654</v>
      </c>
      <c r="F2103" s="3">
        <f t="shared" si="32"/>
        <v>1.7850767173198654</v>
      </c>
      <c r="G2103">
        <v>0</v>
      </c>
    </row>
    <row r="2104" spans="1:7" x14ac:dyDescent="0.25">
      <c r="A2104">
        <v>18175</v>
      </c>
      <c r="B2104" t="s">
        <v>93</v>
      </c>
      <c r="C2104">
        <v>14</v>
      </c>
      <c r="D2104" s="3">
        <f>in_parking_demand_data_ver1!D2104*calibration!$I$31</f>
        <v>0</v>
      </c>
      <c r="E2104" s="3">
        <f>in_parking_demand_data_ver1!E2104*calibration!$I$31</f>
        <v>2.842899957213127</v>
      </c>
      <c r="F2104" s="3">
        <f t="shared" si="32"/>
        <v>2.842899957213127</v>
      </c>
      <c r="G2104">
        <v>0</v>
      </c>
    </row>
    <row r="2105" spans="1:7" x14ac:dyDescent="0.25">
      <c r="A2105">
        <v>18175</v>
      </c>
      <c r="B2105" t="s">
        <v>93</v>
      </c>
      <c r="C2105">
        <v>15</v>
      </c>
      <c r="D2105" s="3">
        <f>in_parking_demand_data_ver1!D2105*calibration!$I$31</f>
        <v>0</v>
      </c>
      <c r="E2105" s="3">
        <f>in_parking_demand_data_ver1!E2105*calibration!$I$31</f>
        <v>0.39668371495997112</v>
      </c>
      <c r="F2105" s="3">
        <f t="shared" si="32"/>
        <v>0.39668371495997112</v>
      </c>
      <c r="G2105">
        <v>0</v>
      </c>
    </row>
    <row r="2106" spans="1:7" x14ac:dyDescent="0.25">
      <c r="A2106">
        <v>18175</v>
      </c>
      <c r="B2106" t="s">
        <v>93</v>
      </c>
      <c r="C2106">
        <v>16</v>
      </c>
      <c r="D2106" s="3">
        <f>in_parking_demand_data_ver1!D2106*calibration!$I$31</f>
        <v>0</v>
      </c>
      <c r="E2106" s="3">
        <f>in_parking_demand_data_ver1!E2106*calibration!$I$31</f>
        <v>0.19834185747998515</v>
      </c>
      <c r="F2106" s="3">
        <f t="shared" si="32"/>
        <v>0.19834185747998515</v>
      </c>
      <c r="G2106">
        <v>0</v>
      </c>
    </row>
    <row r="2107" spans="1:7" x14ac:dyDescent="0.25">
      <c r="A2107">
        <v>18175</v>
      </c>
      <c r="B2107" t="s">
        <v>93</v>
      </c>
      <c r="C2107">
        <v>17</v>
      </c>
      <c r="D2107" s="3">
        <f>in_parking_demand_data_ver1!D2107*calibration!$I$31</f>
        <v>0</v>
      </c>
      <c r="E2107" s="3">
        <f>in_parking_demand_data_ver1!E2107*calibration!$I$31</f>
        <v>0</v>
      </c>
      <c r="F2107" s="3">
        <f t="shared" si="32"/>
        <v>0</v>
      </c>
      <c r="G2107">
        <v>0</v>
      </c>
    </row>
    <row r="2108" spans="1:7" x14ac:dyDescent="0.25">
      <c r="A2108">
        <v>18175</v>
      </c>
      <c r="B2108" t="s">
        <v>93</v>
      </c>
      <c r="C2108">
        <v>18</v>
      </c>
      <c r="D2108" s="3">
        <f>in_parking_demand_data_ver1!D2108*calibration!$I$31</f>
        <v>0</v>
      </c>
      <c r="E2108" s="3">
        <f>in_parking_demand_data_ver1!E2108*calibration!$I$31</f>
        <v>0</v>
      </c>
      <c r="F2108" s="3">
        <f t="shared" si="32"/>
        <v>0</v>
      </c>
      <c r="G2108">
        <v>0</v>
      </c>
    </row>
    <row r="2109" spans="1:7" x14ac:dyDescent="0.25">
      <c r="A2109">
        <v>18175</v>
      </c>
      <c r="B2109" t="s">
        <v>93</v>
      </c>
      <c r="C2109">
        <v>19</v>
      </c>
      <c r="D2109" s="3">
        <f>in_parking_demand_data_ver1!D2109*calibration!$I$31</f>
        <v>0</v>
      </c>
      <c r="E2109" s="3">
        <f>in_parking_demand_data_ver1!E2109*calibration!$I$31</f>
        <v>0</v>
      </c>
      <c r="F2109" s="3">
        <f t="shared" si="32"/>
        <v>0</v>
      </c>
      <c r="G2109">
        <v>0</v>
      </c>
    </row>
    <row r="2110" spans="1:7" x14ac:dyDescent="0.25">
      <c r="A2110">
        <v>18175</v>
      </c>
      <c r="B2110" t="s">
        <v>93</v>
      </c>
      <c r="C2110">
        <v>20</v>
      </c>
      <c r="D2110" s="3">
        <f>in_parking_demand_data_ver1!D2110*calibration!$I$31</f>
        <v>0</v>
      </c>
      <c r="E2110" s="3">
        <f>in_parking_demand_data_ver1!E2110*calibration!$I$31</f>
        <v>0</v>
      </c>
      <c r="F2110" s="3">
        <f t="shared" si="32"/>
        <v>0</v>
      </c>
      <c r="G2110">
        <v>0</v>
      </c>
    </row>
    <row r="2111" spans="1:7" x14ac:dyDescent="0.25">
      <c r="A2111">
        <v>18175</v>
      </c>
      <c r="B2111" t="s">
        <v>93</v>
      </c>
      <c r="C2111">
        <v>21</v>
      </c>
      <c r="D2111" s="3">
        <f>in_parking_demand_data_ver1!D2111*calibration!$I$31</f>
        <v>0</v>
      </c>
      <c r="E2111" s="3">
        <f>in_parking_demand_data_ver1!E2111*calibration!$I$31</f>
        <v>0</v>
      </c>
      <c r="F2111" s="3">
        <f t="shared" si="32"/>
        <v>0</v>
      </c>
      <c r="G2111">
        <v>0</v>
      </c>
    </row>
    <row r="2112" spans="1:7" x14ac:dyDescent="0.25">
      <c r="A2112">
        <v>18175</v>
      </c>
      <c r="B2112" t="s">
        <v>93</v>
      </c>
      <c r="C2112">
        <v>22</v>
      </c>
      <c r="D2112" s="3">
        <f>in_parking_demand_data_ver1!D2112*calibration!$I$31</f>
        <v>0</v>
      </c>
      <c r="E2112" s="3">
        <f>in_parking_demand_data_ver1!E2112*calibration!$I$31</f>
        <v>0</v>
      </c>
      <c r="F2112" s="3">
        <f t="shared" si="32"/>
        <v>0</v>
      </c>
      <c r="G2112">
        <v>0</v>
      </c>
    </row>
    <row r="2113" spans="1:7" x14ac:dyDescent="0.25">
      <c r="A2113">
        <v>18175</v>
      </c>
      <c r="B2113" t="s">
        <v>93</v>
      </c>
      <c r="C2113">
        <v>23</v>
      </c>
      <c r="D2113" s="3">
        <f>in_parking_demand_data_ver1!D2113*calibration!$I$31</f>
        <v>0</v>
      </c>
      <c r="E2113" s="3">
        <f>in_parking_demand_data_ver1!E2113*calibration!$I$31</f>
        <v>0</v>
      </c>
      <c r="F2113" s="3">
        <f t="shared" si="32"/>
        <v>0</v>
      </c>
      <c r="G2113">
        <v>0</v>
      </c>
    </row>
    <row r="2114" spans="1:7" x14ac:dyDescent="0.25">
      <c r="A2114">
        <v>18177</v>
      </c>
      <c r="B2114" t="s">
        <v>94</v>
      </c>
      <c r="C2114">
        <v>0</v>
      </c>
      <c r="D2114" s="3">
        <f>in_parking_demand_data_ver1!D2114*calibration!$I$31</f>
        <v>303.06318705686931</v>
      </c>
      <c r="E2114" s="3">
        <f>in_parking_demand_data_ver1!E2114*calibration!$I$31</f>
        <v>5.1777252961126656</v>
      </c>
      <c r="F2114" s="3">
        <f t="shared" si="32"/>
        <v>308.24091235298198</v>
      </c>
      <c r="G2114">
        <v>355</v>
      </c>
    </row>
    <row r="2115" spans="1:7" x14ac:dyDescent="0.25">
      <c r="A2115">
        <v>18177</v>
      </c>
      <c r="B2115" t="s">
        <v>94</v>
      </c>
      <c r="C2115">
        <v>1</v>
      </c>
      <c r="D2115" s="3">
        <f>in_parking_demand_data_ver1!D2115*calibration!$I$31</f>
        <v>306.62584207713036</v>
      </c>
      <c r="E2115" s="3">
        <f>in_parking_demand_data_ver1!E2115*calibration!$I$31</f>
        <v>5.9852604340384952</v>
      </c>
      <c r="F2115" s="3">
        <f t="shared" ref="F2115:F2178" si="33">SUM(D2115:E2115)</f>
        <v>312.61110251116884</v>
      </c>
      <c r="G2115">
        <v>355</v>
      </c>
    </row>
    <row r="2116" spans="1:7" x14ac:dyDescent="0.25">
      <c r="A2116">
        <v>18177</v>
      </c>
      <c r="B2116" t="s">
        <v>94</v>
      </c>
      <c r="C2116">
        <v>2</v>
      </c>
      <c r="D2116" s="3">
        <f>in_parking_demand_data_ver1!D2116*calibration!$I$31</f>
        <v>307.14836481343531</v>
      </c>
      <c r="E2116" s="3">
        <f>in_parking_demand_data_ver1!E2116*calibration!$I$31</f>
        <v>7.6953348437637805</v>
      </c>
      <c r="F2116" s="3">
        <f t="shared" si="33"/>
        <v>314.84369965719907</v>
      </c>
      <c r="G2116">
        <v>355</v>
      </c>
    </row>
    <row r="2117" spans="1:7" x14ac:dyDescent="0.25">
      <c r="A2117">
        <v>18177</v>
      </c>
      <c r="B2117" t="s">
        <v>94</v>
      </c>
      <c r="C2117">
        <v>3</v>
      </c>
      <c r="D2117" s="3">
        <f>in_parking_demand_data_ver1!D2117*calibration!$I$31</f>
        <v>303.7757180609222</v>
      </c>
      <c r="E2117" s="3">
        <f>in_parking_demand_data_ver1!E2117*calibration!$I$31</f>
        <v>8.5978741155631599</v>
      </c>
      <c r="F2117" s="3">
        <f t="shared" si="33"/>
        <v>312.37359217648537</v>
      </c>
      <c r="G2117">
        <v>355</v>
      </c>
    </row>
    <row r="2118" spans="1:7" x14ac:dyDescent="0.25">
      <c r="A2118">
        <v>18177</v>
      </c>
      <c r="B2118" t="s">
        <v>94</v>
      </c>
      <c r="C2118">
        <v>4</v>
      </c>
      <c r="D2118" s="3">
        <f>in_parking_demand_data_ver1!D2118*calibration!$I$31</f>
        <v>294.84532947680083</v>
      </c>
      <c r="E2118" s="3">
        <f>in_parking_demand_data_ver1!E2118*calibration!$I$31</f>
        <v>9.0253927179945599</v>
      </c>
      <c r="F2118" s="3">
        <f t="shared" si="33"/>
        <v>303.87072219479541</v>
      </c>
      <c r="G2118">
        <v>355</v>
      </c>
    </row>
    <row r="2119" spans="1:7" x14ac:dyDescent="0.25">
      <c r="A2119">
        <v>18177</v>
      </c>
      <c r="B2119" t="s">
        <v>94</v>
      </c>
      <c r="C2119">
        <v>5</v>
      </c>
      <c r="D2119" s="3">
        <f>in_parking_demand_data_ver1!D2119*calibration!$I$31</f>
        <v>283.44483341196548</v>
      </c>
      <c r="E2119" s="3">
        <f>in_parking_demand_data_ver1!E2119*calibration!$I$31</f>
        <v>9.3104051196153801</v>
      </c>
      <c r="F2119" s="3">
        <f t="shared" si="33"/>
        <v>292.75523853158086</v>
      </c>
      <c r="G2119">
        <v>355</v>
      </c>
    </row>
    <row r="2120" spans="1:7" x14ac:dyDescent="0.25">
      <c r="A2120">
        <v>18177</v>
      </c>
      <c r="B2120" t="s">
        <v>94</v>
      </c>
      <c r="C2120">
        <v>6</v>
      </c>
      <c r="D2120" s="3">
        <f>in_parking_demand_data_ver1!D2120*calibration!$I$31</f>
        <v>259.17127720725432</v>
      </c>
      <c r="E2120" s="3">
        <f>in_parking_demand_data_ver1!E2120*calibration!$I$31</f>
        <v>13.395582876181344</v>
      </c>
      <c r="F2120" s="3">
        <f t="shared" si="33"/>
        <v>272.56686008343564</v>
      </c>
      <c r="G2120">
        <v>355</v>
      </c>
    </row>
    <row r="2121" spans="1:7" x14ac:dyDescent="0.25">
      <c r="A2121">
        <v>18177</v>
      </c>
      <c r="B2121" t="s">
        <v>94</v>
      </c>
      <c r="C2121">
        <v>7</v>
      </c>
      <c r="D2121" s="3">
        <f>in_parking_demand_data_ver1!D2121*calibration!$I$31</f>
        <v>225.91983035148462</v>
      </c>
      <c r="E2121" s="3">
        <f>in_parking_demand_data_ver1!E2121*calibration!$I$31</f>
        <v>15.533175888338006</v>
      </c>
      <c r="F2121" s="3">
        <f t="shared" si="33"/>
        <v>241.45300623982263</v>
      </c>
      <c r="G2121">
        <v>355</v>
      </c>
    </row>
    <row r="2122" spans="1:7" x14ac:dyDescent="0.25">
      <c r="A2122">
        <v>18177</v>
      </c>
      <c r="B2122" t="s">
        <v>94</v>
      </c>
      <c r="C2122">
        <v>8</v>
      </c>
      <c r="D2122" s="3">
        <f>in_parking_demand_data_ver1!D2122*calibration!$I$31</f>
        <v>187.58566233347619</v>
      </c>
      <c r="E2122" s="3">
        <f>in_parking_demand_data_ver1!E2122*calibration!$I$31</f>
        <v>18.383299904546799</v>
      </c>
      <c r="F2122" s="3">
        <f t="shared" si="33"/>
        <v>205.96896223802298</v>
      </c>
      <c r="G2122">
        <v>355</v>
      </c>
    </row>
    <row r="2123" spans="1:7" x14ac:dyDescent="0.25">
      <c r="A2123">
        <v>18177</v>
      </c>
      <c r="B2123" t="s">
        <v>94</v>
      </c>
      <c r="C2123">
        <v>9</v>
      </c>
      <c r="D2123" s="3">
        <f>in_parking_demand_data_ver1!D2123*calibration!$I$31</f>
        <v>153.62168447365443</v>
      </c>
      <c r="E2123" s="3">
        <f>in_parking_demand_data_ver1!E2123*calibration!$I$31</f>
        <v>22.943498330480853</v>
      </c>
      <c r="F2123" s="3">
        <f t="shared" si="33"/>
        <v>176.56518280413528</v>
      </c>
      <c r="G2123">
        <v>355</v>
      </c>
    </row>
    <row r="2124" spans="1:7" x14ac:dyDescent="0.25">
      <c r="A2124">
        <v>18177</v>
      </c>
      <c r="B2124" t="s">
        <v>94</v>
      </c>
      <c r="C2124">
        <v>10</v>
      </c>
      <c r="D2124" s="3">
        <f>in_parking_demand_data_ver1!D2124*calibration!$I$31</f>
        <v>134.62085769892917</v>
      </c>
      <c r="E2124" s="3">
        <f>in_parking_demand_data_ver1!E2124*calibration!$I$31</f>
        <v>24.226054137774799</v>
      </c>
      <c r="F2124" s="3">
        <f t="shared" si="33"/>
        <v>158.84691183670398</v>
      </c>
      <c r="G2124">
        <v>355</v>
      </c>
    </row>
    <row r="2125" spans="1:7" x14ac:dyDescent="0.25">
      <c r="A2125">
        <v>18177</v>
      </c>
      <c r="B2125" t="s">
        <v>94</v>
      </c>
      <c r="C2125">
        <v>11</v>
      </c>
      <c r="D2125" s="3">
        <f>in_parking_demand_data_ver1!D2125*calibration!$I$31</f>
        <v>124.88293397688219</v>
      </c>
      <c r="E2125" s="3">
        <f>in_parking_demand_data_ver1!E2125*calibration!$I$31</f>
        <v>19.713357778777517</v>
      </c>
      <c r="F2125" s="3">
        <f t="shared" si="33"/>
        <v>144.59629175565971</v>
      </c>
      <c r="G2125">
        <v>355</v>
      </c>
    </row>
    <row r="2126" spans="1:7" x14ac:dyDescent="0.25">
      <c r="A2126">
        <v>18177</v>
      </c>
      <c r="B2126" t="s">
        <v>94</v>
      </c>
      <c r="C2126">
        <v>12</v>
      </c>
      <c r="D2126" s="3">
        <f>in_parking_demand_data_ver1!D2126*calibration!$I$31</f>
        <v>121.27277688968475</v>
      </c>
      <c r="E2126" s="3">
        <f>in_parking_demand_data_ver1!E2126*calibration!$I$31</f>
        <v>14.773142817348926</v>
      </c>
      <c r="F2126" s="3">
        <f t="shared" si="33"/>
        <v>136.04591970703368</v>
      </c>
      <c r="G2126">
        <v>355</v>
      </c>
    </row>
    <row r="2127" spans="1:7" x14ac:dyDescent="0.25">
      <c r="A2127">
        <v>18177</v>
      </c>
      <c r="B2127" t="s">
        <v>94</v>
      </c>
      <c r="C2127">
        <v>13</v>
      </c>
      <c r="D2127" s="3">
        <f>in_parking_demand_data_ver1!D2127*calibration!$I$31</f>
        <v>123.93289263814583</v>
      </c>
      <c r="E2127" s="3">
        <f>in_parking_demand_data_ver1!E2127*calibration!$I$31</f>
        <v>8.8828865171840654</v>
      </c>
      <c r="F2127" s="3">
        <f t="shared" si="33"/>
        <v>132.81577915532989</v>
      </c>
      <c r="G2127">
        <v>355</v>
      </c>
    </row>
    <row r="2128" spans="1:7" x14ac:dyDescent="0.25">
      <c r="A2128">
        <v>18177</v>
      </c>
      <c r="B2128" t="s">
        <v>94</v>
      </c>
      <c r="C2128">
        <v>14</v>
      </c>
      <c r="D2128" s="3">
        <f>in_parking_demand_data_ver1!D2128*calibration!$I$31</f>
        <v>124.9304360438194</v>
      </c>
      <c r="E2128" s="3">
        <f>in_parking_demand_data_ver1!E2128*calibration!$I$31</f>
        <v>6.9828038397115764</v>
      </c>
      <c r="F2128" s="3">
        <f t="shared" si="33"/>
        <v>131.91323988353096</v>
      </c>
      <c r="G2128">
        <v>355</v>
      </c>
    </row>
    <row r="2129" spans="1:7" x14ac:dyDescent="0.25">
      <c r="A2129">
        <v>18177</v>
      </c>
      <c r="B2129" t="s">
        <v>94</v>
      </c>
      <c r="C2129">
        <v>15</v>
      </c>
      <c r="D2129" s="3">
        <f>in_parking_demand_data_ver1!D2129*calibration!$I$31</f>
        <v>131.77073368272011</v>
      </c>
      <c r="E2129" s="3">
        <f>in_parking_demand_data_ver1!E2129*calibration!$I$31</f>
        <v>3.5626550202610061</v>
      </c>
      <c r="F2129" s="3">
        <f t="shared" si="33"/>
        <v>135.33338870298113</v>
      </c>
      <c r="G2129">
        <v>355</v>
      </c>
    </row>
    <row r="2130" spans="1:7" x14ac:dyDescent="0.25">
      <c r="A2130">
        <v>18177</v>
      </c>
      <c r="B2130" t="s">
        <v>94</v>
      </c>
      <c r="C2130">
        <v>16</v>
      </c>
      <c r="D2130" s="3">
        <f>in_parking_demand_data_ver1!D2130*calibration!$I$31</f>
        <v>141.65116360557778</v>
      </c>
      <c r="E2130" s="3">
        <f>in_parking_demand_data_ver1!E2130*calibration!$I$31</f>
        <v>2.94512815008243</v>
      </c>
      <c r="F2130" s="3">
        <f t="shared" si="33"/>
        <v>144.59629175566022</v>
      </c>
      <c r="G2130">
        <v>355</v>
      </c>
    </row>
    <row r="2131" spans="1:7" x14ac:dyDescent="0.25">
      <c r="A2131">
        <v>18177</v>
      </c>
      <c r="B2131" t="s">
        <v>94</v>
      </c>
      <c r="C2131">
        <v>17</v>
      </c>
      <c r="D2131" s="3">
        <f>in_parking_demand_data_ver1!D2131*calibration!$I$31</f>
        <v>160.0344635101246</v>
      </c>
      <c r="E2131" s="3">
        <f>in_parking_demand_data_ver1!E2131*calibration!$I$31</f>
        <v>3.1826384847665006</v>
      </c>
      <c r="F2131" s="3">
        <f t="shared" si="33"/>
        <v>163.2171019948911</v>
      </c>
      <c r="G2131">
        <v>355</v>
      </c>
    </row>
    <row r="2132" spans="1:7" x14ac:dyDescent="0.25">
      <c r="A2132">
        <v>18177</v>
      </c>
      <c r="B2132" t="s">
        <v>94</v>
      </c>
      <c r="C2132">
        <v>18</v>
      </c>
      <c r="D2132" s="3">
        <f>in_parking_demand_data_ver1!D2132*calibration!$I$31</f>
        <v>179.13029441872345</v>
      </c>
      <c r="E2132" s="3">
        <f>in_parking_demand_data_ver1!E2132*calibration!$I$31</f>
        <v>3.4676508863873798</v>
      </c>
      <c r="F2132" s="3">
        <f t="shared" si="33"/>
        <v>182.59794530511084</v>
      </c>
      <c r="G2132">
        <v>355</v>
      </c>
    </row>
    <row r="2133" spans="1:7" x14ac:dyDescent="0.25">
      <c r="A2133">
        <v>18177</v>
      </c>
      <c r="B2133" t="s">
        <v>94</v>
      </c>
      <c r="C2133">
        <v>19</v>
      </c>
      <c r="D2133" s="3">
        <f>in_parking_demand_data_ver1!D2133*calibration!$I$31</f>
        <v>204.68640643072879</v>
      </c>
      <c r="E2133" s="3">
        <f>in_parking_demand_data_ver1!E2133*calibration!$I$31</f>
        <v>3.2301405517033093</v>
      </c>
      <c r="F2133" s="3">
        <f t="shared" si="33"/>
        <v>207.9165469824321</v>
      </c>
      <c r="G2133">
        <v>355</v>
      </c>
    </row>
    <row r="2134" spans="1:7" x14ac:dyDescent="0.25">
      <c r="A2134">
        <v>18177</v>
      </c>
      <c r="B2134" t="s">
        <v>94</v>
      </c>
      <c r="C2134">
        <v>20</v>
      </c>
      <c r="D2134" s="3">
        <f>in_parking_demand_data_ver1!D2134*calibration!$I$31</f>
        <v>232.47511558876471</v>
      </c>
      <c r="E2134" s="3">
        <f>in_parking_demand_data_ver1!E2134*calibration!$I$31</f>
        <v>3.1351364178296826</v>
      </c>
      <c r="F2134" s="3">
        <f t="shared" si="33"/>
        <v>235.61025200659438</v>
      </c>
      <c r="G2134">
        <v>355</v>
      </c>
    </row>
    <row r="2135" spans="1:7" x14ac:dyDescent="0.25">
      <c r="A2135">
        <v>18177</v>
      </c>
      <c r="B2135" t="s">
        <v>94</v>
      </c>
      <c r="C2135">
        <v>21</v>
      </c>
      <c r="D2135" s="3">
        <f>in_parking_demand_data_ver1!D2135*calibration!$I$31</f>
        <v>256.65366765960312</v>
      </c>
      <c r="E2135" s="3">
        <f>in_parking_demand_data_ver1!E2135*calibration!$I$31</f>
        <v>3.1351364178296826</v>
      </c>
      <c r="F2135" s="3">
        <f t="shared" si="33"/>
        <v>259.78880407743281</v>
      </c>
      <c r="G2135">
        <v>355</v>
      </c>
    </row>
    <row r="2136" spans="1:7" x14ac:dyDescent="0.25">
      <c r="A2136">
        <v>18177</v>
      </c>
      <c r="B2136" t="s">
        <v>94</v>
      </c>
      <c r="C2136">
        <v>22</v>
      </c>
      <c r="D2136" s="3">
        <f>in_parking_demand_data_ver1!D2136*calibration!$I$31</f>
        <v>279.9296804586416</v>
      </c>
      <c r="E2136" s="3">
        <f>in_parking_demand_data_ver1!E2136*calibration!$I$31</f>
        <v>3.7526632880082595</v>
      </c>
      <c r="F2136" s="3">
        <f t="shared" si="33"/>
        <v>283.68234374664985</v>
      </c>
      <c r="G2136">
        <v>355</v>
      </c>
    </row>
    <row r="2137" spans="1:7" x14ac:dyDescent="0.25">
      <c r="A2137">
        <v>18177</v>
      </c>
      <c r="B2137" t="s">
        <v>94</v>
      </c>
      <c r="C2137">
        <v>23</v>
      </c>
      <c r="D2137" s="3">
        <f>in_parking_demand_data_ver1!D2137*calibration!$I$31</f>
        <v>295.03533774454797</v>
      </c>
      <c r="E2137" s="3">
        <f>in_parking_demand_data_ver1!E2137*calibration!$I$31</f>
        <v>4.2276839573763914</v>
      </c>
      <c r="F2137" s="3">
        <f t="shared" si="33"/>
        <v>299.26302170192434</v>
      </c>
      <c r="G2137">
        <v>355</v>
      </c>
    </row>
    <row r="2138" spans="1:7" x14ac:dyDescent="0.25">
      <c r="A2138">
        <v>18179</v>
      </c>
      <c r="B2138" t="s">
        <v>95</v>
      </c>
      <c r="C2138">
        <v>0</v>
      </c>
      <c r="D2138" s="3">
        <f>in_parking_demand_data_ver1!D2138*calibration!$I$31</f>
        <v>0</v>
      </c>
      <c r="E2138" s="3">
        <f>in_parking_demand_data_ver1!E2138*calibration!$I$31</f>
        <v>0.25059254953193189</v>
      </c>
      <c r="F2138" s="3">
        <f t="shared" si="33"/>
        <v>0.25059254953193189</v>
      </c>
      <c r="G2138">
        <v>0</v>
      </c>
    </row>
    <row r="2139" spans="1:7" x14ac:dyDescent="0.25">
      <c r="A2139">
        <v>18179</v>
      </c>
      <c r="B2139" t="s">
        <v>95</v>
      </c>
      <c r="C2139">
        <v>1</v>
      </c>
      <c r="D2139" s="3">
        <f>in_parking_demand_data_ver1!D2139*calibration!$I$31</f>
        <v>0</v>
      </c>
      <c r="E2139" s="3">
        <f>in_parking_demand_data_ver1!E2139*calibration!$I$31</f>
        <v>0.1879444121489485</v>
      </c>
      <c r="F2139" s="3">
        <f t="shared" si="33"/>
        <v>0.1879444121489485</v>
      </c>
      <c r="G2139">
        <v>0</v>
      </c>
    </row>
    <row r="2140" spans="1:7" x14ac:dyDescent="0.25">
      <c r="A2140">
        <v>18179</v>
      </c>
      <c r="B2140" t="s">
        <v>95</v>
      </c>
      <c r="C2140">
        <v>2</v>
      </c>
      <c r="D2140" s="3">
        <f>in_parking_demand_data_ver1!D2140*calibration!$I$31</f>
        <v>0</v>
      </c>
      <c r="E2140" s="3">
        <f>in_parking_demand_data_ver1!E2140*calibration!$I$31</f>
        <v>0.1879444121489485</v>
      </c>
      <c r="F2140" s="3">
        <f t="shared" si="33"/>
        <v>0.1879444121489485</v>
      </c>
      <c r="G2140">
        <v>0</v>
      </c>
    </row>
    <row r="2141" spans="1:7" x14ac:dyDescent="0.25">
      <c r="A2141">
        <v>18179</v>
      </c>
      <c r="B2141" t="s">
        <v>95</v>
      </c>
      <c r="C2141">
        <v>3</v>
      </c>
      <c r="D2141" s="3">
        <f>in_parking_demand_data_ver1!D2141*calibration!$I$31</f>
        <v>0</v>
      </c>
      <c r="E2141" s="3">
        <f>in_parking_demand_data_ver1!E2141*calibration!$I$31</f>
        <v>0.1879444121489485</v>
      </c>
      <c r="F2141" s="3">
        <f t="shared" si="33"/>
        <v>0.1879444121489485</v>
      </c>
      <c r="G2141">
        <v>0</v>
      </c>
    </row>
    <row r="2142" spans="1:7" x14ac:dyDescent="0.25">
      <c r="A2142">
        <v>18179</v>
      </c>
      <c r="B2142" t="s">
        <v>95</v>
      </c>
      <c r="C2142">
        <v>4</v>
      </c>
      <c r="D2142" s="3">
        <f>in_parking_demand_data_ver1!D2142*calibration!$I$31</f>
        <v>0</v>
      </c>
      <c r="E2142" s="3">
        <f>in_parking_demand_data_ver1!E2142*calibration!$I$31</f>
        <v>0.25059254953193189</v>
      </c>
      <c r="F2142" s="3">
        <f t="shared" si="33"/>
        <v>0.25059254953193189</v>
      </c>
      <c r="G2142">
        <v>0</v>
      </c>
    </row>
    <row r="2143" spans="1:7" x14ac:dyDescent="0.25">
      <c r="A2143">
        <v>18179</v>
      </c>
      <c r="B2143" t="s">
        <v>95</v>
      </c>
      <c r="C2143">
        <v>5</v>
      </c>
      <c r="D2143" s="3">
        <f>in_parking_demand_data_ver1!D2143*calibration!$I$31</f>
        <v>0</v>
      </c>
      <c r="E2143" s="3">
        <f>in_parking_demand_data_ver1!E2143*calibration!$I$31</f>
        <v>0.25059254953193189</v>
      </c>
      <c r="F2143" s="3">
        <f t="shared" si="33"/>
        <v>0.25059254953193189</v>
      </c>
      <c r="G2143">
        <v>0</v>
      </c>
    </row>
    <row r="2144" spans="1:7" x14ac:dyDescent="0.25">
      <c r="A2144">
        <v>18179</v>
      </c>
      <c r="B2144" t="s">
        <v>95</v>
      </c>
      <c r="C2144">
        <v>6</v>
      </c>
      <c r="D2144" s="3">
        <f>in_parking_demand_data_ver1!D2144*calibration!$I$31</f>
        <v>0</v>
      </c>
      <c r="E2144" s="3">
        <f>in_parking_demand_data_ver1!E2144*calibration!$I$31</f>
        <v>0.50118509906386377</v>
      </c>
      <c r="F2144" s="3">
        <f t="shared" si="33"/>
        <v>0.50118509906386377</v>
      </c>
      <c r="G2144">
        <v>0</v>
      </c>
    </row>
    <row r="2145" spans="1:7" x14ac:dyDescent="0.25">
      <c r="A2145">
        <v>18179</v>
      </c>
      <c r="B2145" t="s">
        <v>95</v>
      </c>
      <c r="C2145">
        <v>7</v>
      </c>
      <c r="D2145" s="3">
        <f>in_parking_demand_data_ver1!D2145*calibration!$I$31</f>
        <v>0</v>
      </c>
      <c r="E2145" s="3">
        <f>in_parking_demand_data_ver1!E2145*calibration!$I$31</f>
        <v>1.2529627476596594</v>
      </c>
      <c r="F2145" s="3">
        <f t="shared" si="33"/>
        <v>1.2529627476596594</v>
      </c>
      <c r="G2145">
        <v>0</v>
      </c>
    </row>
    <row r="2146" spans="1:7" x14ac:dyDescent="0.25">
      <c r="A2146">
        <v>18179</v>
      </c>
      <c r="B2146" t="s">
        <v>95</v>
      </c>
      <c r="C2146">
        <v>8</v>
      </c>
      <c r="D2146" s="3">
        <f>in_parking_demand_data_ver1!D2146*calibration!$I$31</f>
        <v>0</v>
      </c>
      <c r="E2146" s="3">
        <f>in_parking_demand_data_ver1!E2146*calibration!$I$31</f>
        <v>3.8841845177449468</v>
      </c>
      <c r="F2146" s="3">
        <f t="shared" si="33"/>
        <v>3.8841845177449468</v>
      </c>
      <c r="G2146">
        <v>0</v>
      </c>
    </row>
    <row r="2147" spans="1:7" x14ac:dyDescent="0.25">
      <c r="A2147">
        <v>18179</v>
      </c>
      <c r="B2147" t="s">
        <v>95</v>
      </c>
      <c r="C2147">
        <v>9</v>
      </c>
      <c r="D2147" s="3">
        <f>in_parking_demand_data_ver1!D2147*calibration!$I$31</f>
        <v>0</v>
      </c>
      <c r="E2147" s="3">
        <f>in_parking_demand_data_ver1!E2147*calibration!$I$31</f>
        <v>7.1418876616600588</v>
      </c>
      <c r="F2147" s="3">
        <f t="shared" si="33"/>
        <v>7.1418876616600588</v>
      </c>
      <c r="G2147">
        <v>0</v>
      </c>
    </row>
    <row r="2148" spans="1:7" x14ac:dyDescent="0.25">
      <c r="A2148">
        <v>18179</v>
      </c>
      <c r="B2148" t="s">
        <v>95</v>
      </c>
      <c r="C2148">
        <v>10</v>
      </c>
      <c r="D2148" s="3">
        <f>in_parking_demand_data_ver1!D2148*calibration!$I$31</f>
        <v>0</v>
      </c>
      <c r="E2148" s="3">
        <f>in_parking_demand_data_ver1!E2148*calibration!$I$31</f>
        <v>6.0768693261493496</v>
      </c>
      <c r="F2148" s="3">
        <f t="shared" si="33"/>
        <v>6.0768693261493496</v>
      </c>
      <c r="G2148">
        <v>0</v>
      </c>
    </row>
    <row r="2149" spans="1:7" x14ac:dyDescent="0.25">
      <c r="A2149">
        <v>18179</v>
      </c>
      <c r="B2149" t="s">
        <v>95</v>
      </c>
      <c r="C2149">
        <v>11</v>
      </c>
      <c r="D2149" s="3">
        <f>in_parking_demand_data_ver1!D2149*calibration!$I$31</f>
        <v>0</v>
      </c>
      <c r="E2149" s="3">
        <f>in_parking_demand_data_ver1!E2149*calibration!$I$31</f>
        <v>3.5709438308300294</v>
      </c>
      <c r="F2149" s="3">
        <f t="shared" si="33"/>
        <v>3.5709438308300294</v>
      </c>
      <c r="G2149">
        <v>0</v>
      </c>
    </row>
    <row r="2150" spans="1:7" x14ac:dyDescent="0.25">
      <c r="A2150">
        <v>18179</v>
      </c>
      <c r="B2150" t="s">
        <v>95</v>
      </c>
      <c r="C2150">
        <v>12</v>
      </c>
      <c r="D2150" s="3">
        <f>in_parking_demand_data_ver1!D2150*calibration!$I$31</f>
        <v>0</v>
      </c>
      <c r="E2150" s="3">
        <f>in_parking_demand_data_ver1!E2150*calibration!$I$31</f>
        <v>4.0094807925109146</v>
      </c>
      <c r="F2150" s="3">
        <f t="shared" si="33"/>
        <v>4.0094807925109146</v>
      </c>
      <c r="G2150">
        <v>0</v>
      </c>
    </row>
    <row r="2151" spans="1:7" x14ac:dyDescent="0.25">
      <c r="A2151">
        <v>18179</v>
      </c>
      <c r="B2151" t="s">
        <v>95</v>
      </c>
      <c r="C2151">
        <v>13</v>
      </c>
      <c r="D2151" s="3">
        <f>in_parking_demand_data_ver1!D2151*calibration!$I$31</f>
        <v>0</v>
      </c>
      <c r="E2151" s="3">
        <f>in_parking_demand_data_ver1!E2151*calibration!$I$31</f>
        <v>1.3156108850426396</v>
      </c>
      <c r="F2151" s="3">
        <f t="shared" si="33"/>
        <v>1.3156108850426396</v>
      </c>
      <c r="G2151">
        <v>0</v>
      </c>
    </row>
    <row r="2152" spans="1:7" x14ac:dyDescent="0.25">
      <c r="A2152">
        <v>18179</v>
      </c>
      <c r="B2152" t="s">
        <v>95</v>
      </c>
      <c r="C2152">
        <v>14</v>
      </c>
      <c r="D2152" s="3">
        <f>in_parking_demand_data_ver1!D2152*calibration!$I$31</f>
        <v>0</v>
      </c>
      <c r="E2152" s="3">
        <f>in_parking_demand_data_ver1!E2152*calibration!$I$31</f>
        <v>0.81442578597877902</v>
      </c>
      <c r="F2152" s="3">
        <f t="shared" si="33"/>
        <v>0.81442578597877902</v>
      </c>
      <c r="G2152">
        <v>0</v>
      </c>
    </row>
    <row r="2153" spans="1:7" x14ac:dyDescent="0.25">
      <c r="A2153">
        <v>18179</v>
      </c>
      <c r="B2153" t="s">
        <v>95</v>
      </c>
      <c r="C2153">
        <v>15</v>
      </c>
      <c r="D2153" s="3">
        <f>in_parking_demand_data_ver1!D2153*calibration!$I$31</f>
        <v>0</v>
      </c>
      <c r="E2153" s="3">
        <f>in_parking_demand_data_ver1!E2153*calibration!$I$31</f>
        <v>0.75177764859579577</v>
      </c>
      <c r="F2153" s="3">
        <f t="shared" si="33"/>
        <v>0.75177764859579577</v>
      </c>
      <c r="G2153">
        <v>0</v>
      </c>
    </row>
    <row r="2154" spans="1:7" x14ac:dyDescent="0.25">
      <c r="A2154">
        <v>18179</v>
      </c>
      <c r="B2154" t="s">
        <v>95</v>
      </c>
      <c r="C2154">
        <v>16</v>
      </c>
      <c r="D2154" s="3">
        <f>in_parking_demand_data_ver1!D2154*calibration!$I$31</f>
        <v>0</v>
      </c>
      <c r="E2154" s="3">
        <f>in_parking_demand_data_ver1!E2154*calibration!$I$31</f>
        <v>0.75177764859579577</v>
      </c>
      <c r="F2154" s="3">
        <f t="shared" si="33"/>
        <v>0.75177764859579577</v>
      </c>
      <c r="G2154">
        <v>0</v>
      </c>
    </row>
    <row r="2155" spans="1:7" x14ac:dyDescent="0.25">
      <c r="A2155">
        <v>18179</v>
      </c>
      <c r="B2155" t="s">
        <v>95</v>
      </c>
      <c r="C2155">
        <v>17</v>
      </c>
      <c r="D2155" s="3">
        <f>in_parking_demand_data_ver1!D2155*calibration!$I$31</f>
        <v>0</v>
      </c>
      <c r="E2155" s="3">
        <f>in_parking_demand_data_ver1!E2155*calibration!$I$31</f>
        <v>0.68912951121281318</v>
      </c>
      <c r="F2155" s="3">
        <f t="shared" si="33"/>
        <v>0.68912951121281318</v>
      </c>
      <c r="G2155">
        <v>0</v>
      </c>
    </row>
    <row r="2156" spans="1:7" x14ac:dyDescent="0.25">
      <c r="A2156">
        <v>18179</v>
      </c>
      <c r="B2156" t="s">
        <v>95</v>
      </c>
      <c r="C2156">
        <v>18</v>
      </c>
      <c r="D2156" s="3">
        <f>in_parking_demand_data_ver1!D2156*calibration!$I$31</f>
        <v>0</v>
      </c>
      <c r="E2156" s="3">
        <f>in_parking_demand_data_ver1!E2156*calibration!$I$31</f>
        <v>0.50118509906386377</v>
      </c>
      <c r="F2156" s="3">
        <f t="shared" si="33"/>
        <v>0.50118509906386377</v>
      </c>
      <c r="G2156">
        <v>0</v>
      </c>
    </row>
    <row r="2157" spans="1:7" x14ac:dyDescent="0.25">
      <c r="A2157">
        <v>18179</v>
      </c>
      <c r="B2157" t="s">
        <v>95</v>
      </c>
      <c r="C2157">
        <v>19</v>
      </c>
      <c r="D2157" s="3">
        <f>in_parking_demand_data_ver1!D2157*calibration!$I$31</f>
        <v>0</v>
      </c>
      <c r="E2157" s="3">
        <f>in_parking_demand_data_ver1!E2157*calibration!$I$31</f>
        <v>0.1879444121489485</v>
      </c>
      <c r="F2157" s="3">
        <f t="shared" si="33"/>
        <v>0.1879444121489485</v>
      </c>
      <c r="G2157">
        <v>0</v>
      </c>
    </row>
    <row r="2158" spans="1:7" x14ac:dyDescent="0.25">
      <c r="A2158">
        <v>18179</v>
      </c>
      <c r="B2158" t="s">
        <v>95</v>
      </c>
      <c r="C2158">
        <v>20</v>
      </c>
      <c r="D2158" s="3">
        <f>in_parking_demand_data_ver1!D2158*calibration!$I$31</f>
        <v>0</v>
      </c>
      <c r="E2158" s="3">
        <f>in_parking_demand_data_ver1!E2158*calibration!$I$31</f>
        <v>0</v>
      </c>
      <c r="F2158" s="3">
        <f t="shared" si="33"/>
        <v>0</v>
      </c>
      <c r="G2158">
        <v>0</v>
      </c>
    </row>
    <row r="2159" spans="1:7" x14ac:dyDescent="0.25">
      <c r="A2159">
        <v>18179</v>
      </c>
      <c r="B2159" t="s">
        <v>95</v>
      </c>
      <c r="C2159">
        <v>21</v>
      </c>
      <c r="D2159" s="3">
        <f>in_parking_demand_data_ver1!D2159*calibration!$I$31</f>
        <v>0</v>
      </c>
      <c r="E2159" s="3">
        <f>in_parking_demand_data_ver1!E2159*calibration!$I$31</f>
        <v>0.1879444121489485</v>
      </c>
      <c r="F2159" s="3">
        <f t="shared" si="33"/>
        <v>0.1879444121489485</v>
      </c>
      <c r="G2159">
        <v>0</v>
      </c>
    </row>
    <row r="2160" spans="1:7" x14ac:dyDescent="0.25">
      <c r="A2160">
        <v>18179</v>
      </c>
      <c r="B2160" t="s">
        <v>95</v>
      </c>
      <c r="C2160">
        <v>22</v>
      </c>
      <c r="D2160" s="3">
        <f>in_parking_demand_data_ver1!D2160*calibration!$I$31</f>
        <v>0</v>
      </c>
      <c r="E2160" s="3">
        <f>in_parking_demand_data_ver1!E2160*calibration!$I$31</f>
        <v>0.1879444121489485</v>
      </c>
      <c r="F2160" s="3">
        <f t="shared" si="33"/>
        <v>0.1879444121489485</v>
      </c>
      <c r="G2160">
        <v>0</v>
      </c>
    </row>
    <row r="2161" spans="1:7" x14ac:dyDescent="0.25">
      <c r="A2161">
        <v>18179</v>
      </c>
      <c r="B2161" t="s">
        <v>95</v>
      </c>
      <c r="C2161">
        <v>23</v>
      </c>
      <c r="D2161" s="3">
        <f>in_parking_demand_data_ver1!D2161*calibration!$I$31</f>
        <v>0</v>
      </c>
      <c r="E2161" s="3">
        <f>in_parking_demand_data_ver1!E2161*calibration!$I$31</f>
        <v>0.1879444121489485</v>
      </c>
      <c r="F2161" s="3">
        <f t="shared" si="33"/>
        <v>0.1879444121489485</v>
      </c>
      <c r="G2161">
        <v>0</v>
      </c>
    </row>
    <row r="2162" spans="1:7" x14ac:dyDescent="0.25">
      <c r="A2162">
        <v>18181</v>
      </c>
      <c r="B2162" t="s">
        <v>96</v>
      </c>
      <c r="C2162">
        <v>0</v>
      </c>
      <c r="D2162" s="3">
        <f>in_parking_demand_data_ver1!D2162*calibration!$I$31</f>
        <v>20.867498979167426</v>
      </c>
      <c r="E2162" s="3">
        <f>in_parking_demand_data_ver1!E2162*calibration!$I$31</f>
        <v>15.20663489439327</v>
      </c>
      <c r="F2162" s="3">
        <f t="shared" si="33"/>
        <v>36.074133873560697</v>
      </c>
      <c r="G2162">
        <v>28</v>
      </c>
    </row>
    <row r="2163" spans="1:7" x14ac:dyDescent="0.25">
      <c r="A2163">
        <v>18181</v>
      </c>
      <c r="B2163" t="s">
        <v>96</v>
      </c>
      <c r="C2163">
        <v>1</v>
      </c>
      <c r="D2163" s="3">
        <f>in_parking_demand_data_ver1!D2163*calibration!$I$31</f>
        <v>21.061744315409687</v>
      </c>
      <c r="E2163" s="3">
        <f>in_parking_demand_data_ver1!E2163*calibration!$I$31</f>
        <v>17.065840255569064</v>
      </c>
      <c r="F2163" s="3">
        <f t="shared" si="33"/>
        <v>38.127584570978755</v>
      </c>
      <c r="G2163">
        <v>28</v>
      </c>
    </row>
    <row r="2164" spans="1:7" x14ac:dyDescent="0.25">
      <c r="A2164">
        <v>18181</v>
      </c>
      <c r="B2164" t="s">
        <v>96</v>
      </c>
      <c r="C2164">
        <v>2</v>
      </c>
      <c r="D2164" s="3">
        <f>in_parking_demand_data_ver1!D2164*calibration!$I$31</f>
        <v>20.867498979167426</v>
      </c>
      <c r="E2164" s="3">
        <f>in_parking_demand_data_ver1!E2164*calibration!$I$31</f>
        <v>18.037066936780302</v>
      </c>
      <c r="F2164" s="3">
        <f t="shared" si="33"/>
        <v>38.904565915947728</v>
      </c>
      <c r="G2164">
        <v>28</v>
      </c>
    </row>
    <row r="2165" spans="1:7" x14ac:dyDescent="0.25">
      <c r="A2165">
        <v>18181</v>
      </c>
      <c r="B2165" t="s">
        <v>96</v>
      </c>
      <c r="C2165">
        <v>3</v>
      </c>
      <c r="D2165" s="3">
        <f>in_parking_demand_data_ver1!D2165*calibration!$I$31</f>
        <v>21.144992316656374</v>
      </c>
      <c r="E2165" s="3">
        <f>in_parking_demand_data_ver1!E2165*calibration!$I$31</f>
        <v>18.814048281749365</v>
      </c>
      <c r="F2165" s="3">
        <f t="shared" si="33"/>
        <v>39.959040598405736</v>
      </c>
      <c r="G2165">
        <v>28</v>
      </c>
    </row>
    <row r="2166" spans="1:7" x14ac:dyDescent="0.25">
      <c r="A2166">
        <v>18181</v>
      </c>
      <c r="B2166" t="s">
        <v>96</v>
      </c>
      <c r="C2166">
        <v>4</v>
      </c>
      <c r="D2166" s="3">
        <f>in_parking_demand_data_ver1!D2166*calibration!$I$31</f>
        <v>21.561232322889715</v>
      </c>
      <c r="E2166" s="3">
        <f>in_parking_demand_data_ver1!E2166*calibration!$I$31</f>
        <v>19.785274962960607</v>
      </c>
      <c r="F2166" s="3">
        <f t="shared" si="33"/>
        <v>41.346507285850322</v>
      </c>
      <c r="G2166">
        <v>28</v>
      </c>
    </row>
    <row r="2167" spans="1:7" x14ac:dyDescent="0.25">
      <c r="A2167">
        <v>18181</v>
      </c>
      <c r="B2167" t="s">
        <v>96</v>
      </c>
      <c r="C2167">
        <v>5</v>
      </c>
      <c r="D2167" s="3">
        <f>in_parking_demand_data_ver1!D2167*calibration!$I$31</f>
        <v>21.588981656638609</v>
      </c>
      <c r="E2167" s="3">
        <f>in_parking_demand_data_ver1!E2167*calibration!$I$31</f>
        <v>18.952794950493839</v>
      </c>
      <c r="F2167" s="3">
        <f t="shared" si="33"/>
        <v>40.541776607132448</v>
      </c>
      <c r="G2167">
        <v>28</v>
      </c>
    </row>
    <row r="2168" spans="1:7" x14ac:dyDescent="0.25">
      <c r="A2168">
        <v>18181</v>
      </c>
      <c r="B2168" t="s">
        <v>96</v>
      </c>
      <c r="C2168">
        <v>6</v>
      </c>
      <c r="D2168" s="3">
        <f>in_parking_demand_data_ver1!D2168*calibration!$I$31</f>
        <v>21.228240317903062</v>
      </c>
      <c r="E2168" s="3">
        <f>in_parking_demand_data_ver1!E2168*calibration!$I$31</f>
        <v>20.201514969194029</v>
      </c>
      <c r="F2168" s="3">
        <f t="shared" si="33"/>
        <v>41.429755287097095</v>
      </c>
      <c r="G2168">
        <v>28</v>
      </c>
    </row>
    <row r="2169" spans="1:7" x14ac:dyDescent="0.25">
      <c r="A2169">
        <v>18181</v>
      </c>
      <c r="B2169" t="s">
        <v>96</v>
      </c>
      <c r="C2169">
        <v>7</v>
      </c>
      <c r="D2169" s="3">
        <f>in_parking_demand_data_ver1!D2169*calibration!$I$31</f>
        <v>20.25701363669182</v>
      </c>
      <c r="E2169" s="3">
        <f>in_parking_demand_data_ver1!E2169*calibration!$I$31</f>
        <v>18.6198029455071</v>
      </c>
      <c r="F2169" s="3">
        <f t="shared" si="33"/>
        <v>38.87681658219892</v>
      </c>
      <c r="G2169">
        <v>28</v>
      </c>
    </row>
    <row r="2170" spans="1:7" x14ac:dyDescent="0.25">
      <c r="A2170">
        <v>18181</v>
      </c>
      <c r="B2170" t="s">
        <v>96</v>
      </c>
      <c r="C2170">
        <v>8</v>
      </c>
      <c r="D2170" s="3">
        <f>in_parking_demand_data_ver1!D2170*calibration!$I$31</f>
        <v>17.92606960178481</v>
      </c>
      <c r="E2170" s="3">
        <f>in_parking_demand_data_ver1!E2170*calibration!$I$31</f>
        <v>14.318656214428714</v>
      </c>
      <c r="F2170" s="3">
        <f t="shared" si="33"/>
        <v>32.244725816213524</v>
      </c>
      <c r="G2170">
        <v>28</v>
      </c>
    </row>
    <row r="2171" spans="1:7" x14ac:dyDescent="0.25">
      <c r="A2171">
        <v>18181</v>
      </c>
      <c r="B2171" t="s">
        <v>96</v>
      </c>
      <c r="C2171">
        <v>9</v>
      </c>
      <c r="D2171" s="3">
        <f>in_parking_demand_data_ver1!D2171*calibration!$I$31</f>
        <v>14.707146886913158</v>
      </c>
      <c r="E2171" s="3">
        <f>in_parking_demand_data_ver1!E2171*calibration!$I$31</f>
        <v>8.8797867996457196</v>
      </c>
      <c r="F2171" s="3">
        <f t="shared" si="33"/>
        <v>23.586933686558879</v>
      </c>
      <c r="G2171">
        <v>28</v>
      </c>
    </row>
    <row r="2172" spans="1:7" x14ac:dyDescent="0.25">
      <c r="A2172">
        <v>18181</v>
      </c>
      <c r="B2172" t="s">
        <v>96</v>
      </c>
      <c r="C2172">
        <v>10</v>
      </c>
      <c r="D2172" s="3">
        <f>in_parking_demand_data_ver1!D2172*calibration!$I$31</f>
        <v>13.208682864472999</v>
      </c>
      <c r="E2172" s="3">
        <f>in_parking_demand_data_ver1!E2172*calibration!$I$31</f>
        <v>6.6043414322365077</v>
      </c>
      <c r="F2172" s="3">
        <f t="shared" si="33"/>
        <v>19.813024296709507</v>
      </c>
      <c r="G2172">
        <v>28</v>
      </c>
    </row>
    <row r="2173" spans="1:7" x14ac:dyDescent="0.25">
      <c r="A2173">
        <v>18181</v>
      </c>
      <c r="B2173" t="s">
        <v>96</v>
      </c>
      <c r="C2173">
        <v>11</v>
      </c>
      <c r="D2173" s="3">
        <f>in_parking_demand_data_ver1!D2173*calibration!$I$31</f>
        <v>15.151136226895478</v>
      </c>
      <c r="E2173" s="3">
        <f>in_parking_demand_data_ver1!E2173*calibration!$I$31</f>
        <v>6.1603520922542225</v>
      </c>
      <c r="F2173" s="3">
        <f t="shared" si="33"/>
        <v>21.311488319149699</v>
      </c>
      <c r="G2173">
        <v>28</v>
      </c>
    </row>
    <row r="2174" spans="1:7" x14ac:dyDescent="0.25">
      <c r="A2174">
        <v>18181</v>
      </c>
      <c r="B2174" t="s">
        <v>96</v>
      </c>
      <c r="C2174">
        <v>12</v>
      </c>
      <c r="D2174" s="3">
        <f>in_parking_demand_data_ver1!D2174*calibration!$I$31</f>
        <v>18.925045616744946</v>
      </c>
      <c r="E2174" s="3">
        <f>in_parking_demand_data_ver1!E2174*calibration!$I$31</f>
        <v>5.3001227460385367</v>
      </c>
      <c r="F2174" s="3">
        <f t="shared" si="33"/>
        <v>24.225168362783482</v>
      </c>
      <c r="G2174">
        <v>28</v>
      </c>
    </row>
    <row r="2175" spans="1:7" x14ac:dyDescent="0.25">
      <c r="A2175">
        <v>18181</v>
      </c>
      <c r="B2175" t="s">
        <v>96</v>
      </c>
      <c r="C2175">
        <v>13</v>
      </c>
      <c r="D2175" s="3">
        <f>in_parking_demand_data_ver1!D2175*calibration!$I$31</f>
        <v>19.285786955480493</v>
      </c>
      <c r="E2175" s="3">
        <f>in_parking_demand_data_ver1!E2175*calibration!$I$31</f>
        <v>5.3833707472852215</v>
      </c>
      <c r="F2175" s="3">
        <f t="shared" si="33"/>
        <v>24.669157702765716</v>
      </c>
      <c r="G2175">
        <v>28</v>
      </c>
    </row>
    <row r="2176" spans="1:7" x14ac:dyDescent="0.25">
      <c r="A2176">
        <v>18181</v>
      </c>
      <c r="B2176" t="s">
        <v>96</v>
      </c>
      <c r="C2176">
        <v>14</v>
      </c>
      <c r="D2176" s="3">
        <f>in_parking_demand_data_ver1!D2176*calibration!$I$31</f>
        <v>17.953818935533704</v>
      </c>
      <c r="E2176" s="3">
        <f>in_parking_demand_data_ver1!E2176*calibration!$I$31</f>
        <v>4.8006347385584691</v>
      </c>
      <c r="F2176" s="3">
        <f t="shared" si="33"/>
        <v>22.754453674092172</v>
      </c>
      <c r="G2176">
        <v>28</v>
      </c>
    </row>
    <row r="2177" spans="1:7" x14ac:dyDescent="0.25">
      <c r="A2177">
        <v>18181</v>
      </c>
      <c r="B2177" t="s">
        <v>96</v>
      </c>
      <c r="C2177">
        <v>15</v>
      </c>
      <c r="D2177" s="3">
        <f>in_parking_demand_data_ver1!D2177*calibration!$I$31</f>
        <v>18.647552279255994</v>
      </c>
      <c r="E2177" s="3">
        <f>in_parking_demand_data_ver1!E2177*calibration!$I$31</f>
        <v>4.689637403562898</v>
      </c>
      <c r="F2177" s="3">
        <f t="shared" si="33"/>
        <v>23.337189682818892</v>
      </c>
      <c r="G2177">
        <v>28</v>
      </c>
    </row>
    <row r="2178" spans="1:7" x14ac:dyDescent="0.25">
      <c r="A2178">
        <v>18181</v>
      </c>
      <c r="B2178" t="s">
        <v>96</v>
      </c>
      <c r="C2178">
        <v>16</v>
      </c>
      <c r="D2178" s="3">
        <f>in_parking_demand_data_ver1!D2178*calibration!$I$31</f>
        <v>18.259061606771464</v>
      </c>
      <c r="E2178" s="3">
        <f>in_parking_demand_data_ver1!E2178*calibration!$I$31</f>
        <v>5.0503787422985074</v>
      </c>
      <c r="F2178" s="3">
        <f t="shared" si="33"/>
        <v>23.309440349069973</v>
      </c>
      <c r="G2178">
        <v>28</v>
      </c>
    </row>
    <row r="2179" spans="1:7" x14ac:dyDescent="0.25">
      <c r="A2179">
        <v>18181</v>
      </c>
      <c r="B2179" t="s">
        <v>96</v>
      </c>
      <c r="C2179">
        <v>17</v>
      </c>
      <c r="D2179" s="3">
        <f>in_parking_demand_data_ver1!D2179*calibration!$I$31</f>
        <v>18.092565604278096</v>
      </c>
      <c r="E2179" s="3">
        <f>in_parking_demand_data_ver1!E2179*calibration!$I$31</f>
        <v>4.689637403562898</v>
      </c>
      <c r="F2179" s="3">
        <f t="shared" ref="F2179:F2209" si="34">SUM(D2179:E2179)</f>
        <v>22.782203007840995</v>
      </c>
      <c r="G2179">
        <v>28</v>
      </c>
    </row>
    <row r="2180" spans="1:7" x14ac:dyDescent="0.25">
      <c r="A2180">
        <v>18181</v>
      </c>
      <c r="B2180" t="s">
        <v>96</v>
      </c>
      <c r="C2180">
        <v>18</v>
      </c>
      <c r="D2180" s="3">
        <f>in_parking_demand_data_ver1!D2180*calibration!$I$31</f>
        <v>17.898320268035913</v>
      </c>
      <c r="E2180" s="3">
        <f>in_parking_demand_data_ver1!E2180*calibration!$I$31</f>
        <v>4.9116320735540411</v>
      </c>
      <c r="F2180" s="3">
        <f t="shared" si="34"/>
        <v>22.809952341589955</v>
      </c>
      <c r="G2180">
        <v>28</v>
      </c>
    </row>
    <row r="2181" spans="1:7" x14ac:dyDescent="0.25">
      <c r="A2181">
        <v>18181</v>
      </c>
      <c r="B2181" t="s">
        <v>96</v>
      </c>
      <c r="C2181">
        <v>19</v>
      </c>
      <c r="D2181" s="3">
        <f>in_parking_demand_data_ver1!D2181*calibration!$I$31</f>
        <v>18.980544284242736</v>
      </c>
      <c r="E2181" s="3">
        <f>in_parking_demand_data_ver1!E2181*calibration!$I$31</f>
        <v>5.438869414783003</v>
      </c>
      <c r="F2181" s="3">
        <f t="shared" si="34"/>
        <v>24.419413699025739</v>
      </c>
      <c r="G2181">
        <v>28</v>
      </c>
    </row>
    <row r="2182" spans="1:7" x14ac:dyDescent="0.25">
      <c r="A2182">
        <v>18181</v>
      </c>
      <c r="B2182" t="s">
        <v>96</v>
      </c>
      <c r="C2182">
        <v>20</v>
      </c>
      <c r="D2182" s="3">
        <f>in_parking_demand_data_ver1!D2182*calibration!$I$31</f>
        <v>19.618778960467235</v>
      </c>
      <c r="E2182" s="3">
        <f>in_parking_demand_data_ver1!E2182*calibration!$I$31</f>
        <v>7.409072110954404</v>
      </c>
      <c r="F2182" s="3">
        <f t="shared" si="34"/>
        <v>27.02785107142164</v>
      </c>
      <c r="G2182">
        <v>28</v>
      </c>
    </row>
    <row r="2183" spans="1:7" x14ac:dyDescent="0.25">
      <c r="A2183">
        <v>18181</v>
      </c>
      <c r="B2183" t="s">
        <v>96</v>
      </c>
      <c r="C2183">
        <v>21</v>
      </c>
      <c r="D2183" s="3">
        <f>in_parking_demand_data_ver1!D2183*calibration!$I$31</f>
        <v>20.479008306682893</v>
      </c>
      <c r="E2183" s="3">
        <f>in_parking_demand_data_ver1!E2183*calibration!$I$31</f>
        <v>9.9897601496014339</v>
      </c>
      <c r="F2183" s="3">
        <f t="shared" si="34"/>
        <v>30.468768456284327</v>
      </c>
      <c r="G2183">
        <v>28</v>
      </c>
    </row>
    <row r="2184" spans="1:7" x14ac:dyDescent="0.25">
      <c r="A2184">
        <v>18181</v>
      </c>
      <c r="B2184" t="s">
        <v>96</v>
      </c>
      <c r="C2184">
        <v>22</v>
      </c>
      <c r="D2184" s="3">
        <f>in_parking_demand_data_ver1!D2184*calibration!$I$31</f>
        <v>20.50675764043179</v>
      </c>
      <c r="E2184" s="3">
        <f>in_parking_demand_data_ver1!E2184*calibration!$I$31</f>
        <v>12.514949520750625</v>
      </c>
      <c r="F2184" s="3">
        <f t="shared" si="34"/>
        <v>33.021707161182412</v>
      </c>
      <c r="G2184">
        <v>28</v>
      </c>
    </row>
    <row r="2185" spans="1:7" x14ac:dyDescent="0.25">
      <c r="A2185">
        <v>18181</v>
      </c>
      <c r="B2185" t="s">
        <v>96</v>
      </c>
      <c r="C2185">
        <v>23</v>
      </c>
      <c r="D2185" s="3">
        <f>in_parking_demand_data_ver1!D2185*calibration!$I$31</f>
        <v>20.56225630792958</v>
      </c>
      <c r="E2185" s="3">
        <f>in_parking_demand_data_ver1!E2185*calibration!$I$31</f>
        <v>14.596149551917666</v>
      </c>
      <c r="F2185" s="3">
        <f t="shared" si="34"/>
        <v>35.15840585984725</v>
      </c>
      <c r="G2185">
        <v>28</v>
      </c>
    </row>
    <row r="2186" spans="1:7" x14ac:dyDescent="0.25">
      <c r="A2186">
        <v>18183</v>
      </c>
      <c r="B2186" t="s">
        <v>97</v>
      </c>
      <c r="C2186">
        <v>0</v>
      </c>
      <c r="D2186" s="3">
        <f>in_parking_demand_data_ver1!D2186*calibration!$I$31</f>
        <v>0</v>
      </c>
      <c r="E2186" s="3">
        <f>in_parking_demand_data_ver1!E2186*calibration!$I$31</f>
        <v>0.17398120966897154</v>
      </c>
      <c r="F2186" s="3">
        <f t="shared" si="34"/>
        <v>0.17398120966897154</v>
      </c>
      <c r="G2186">
        <v>0</v>
      </c>
    </row>
    <row r="2187" spans="1:7" x14ac:dyDescent="0.25">
      <c r="A2187">
        <v>18183</v>
      </c>
      <c r="B2187" t="s">
        <v>97</v>
      </c>
      <c r="C2187">
        <v>1</v>
      </c>
      <c r="D2187" s="3">
        <f>in_parking_demand_data_ver1!D2187*calibration!$I$31</f>
        <v>0</v>
      </c>
      <c r="E2187" s="3">
        <f>in_parking_demand_data_ver1!E2187*calibration!$I$31</f>
        <v>0.17398120966897154</v>
      </c>
      <c r="F2187" s="3">
        <f t="shared" si="34"/>
        <v>0.17398120966897154</v>
      </c>
      <c r="G2187">
        <v>0</v>
      </c>
    </row>
    <row r="2188" spans="1:7" x14ac:dyDescent="0.25">
      <c r="A2188">
        <v>18183</v>
      </c>
      <c r="B2188" t="s">
        <v>97</v>
      </c>
      <c r="C2188">
        <v>2</v>
      </c>
      <c r="D2188" s="3">
        <f>in_parking_demand_data_ver1!D2188*calibration!$I$31</f>
        <v>0</v>
      </c>
      <c r="E2188" s="3">
        <f>in_parking_demand_data_ver1!E2188*calibration!$I$31</f>
        <v>0.24357369353656</v>
      </c>
      <c r="F2188" s="3">
        <f t="shared" si="34"/>
        <v>0.24357369353656</v>
      </c>
      <c r="G2188">
        <v>0</v>
      </c>
    </row>
    <row r="2189" spans="1:7" x14ac:dyDescent="0.25">
      <c r="A2189">
        <v>18183</v>
      </c>
      <c r="B2189" t="s">
        <v>97</v>
      </c>
      <c r="C2189">
        <v>3</v>
      </c>
      <c r="D2189" s="3">
        <f>in_parking_demand_data_ver1!D2189*calibration!$I$31</f>
        <v>0</v>
      </c>
      <c r="E2189" s="3">
        <f>in_parking_demand_data_ver1!E2189*calibration!$I$31</f>
        <v>0.24357369353656</v>
      </c>
      <c r="F2189" s="3">
        <f t="shared" si="34"/>
        <v>0.24357369353656</v>
      </c>
      <c r="G2189">
        <v>0</v>
      </c>
    </row>
    <row r="2190" spans="1:7" x14ac:dyDescent="0.25">
      <c r="A2190">
        <v>18183</v>
      </c>
      <c r="B2190" t="s">
        <v>97</v>
      </c>
      <c r="C2190">
        <v>4</v>
      </c>
      <c r="D2190" s="3">
        <f>in_parking_demand_data_ver1!D2190*calibration!$I$31</f>
        <v>0</v>
      </c>
      <c r="E2190" s="3">
        <f>in_parking_demand_data_ver1!E2190*calibration!$I$31</f>
        <v>0.17398120966897154</v>
      </c>
      <c r="F2190" s="3">
        <f t="shared" si="34"/>
        <v>0.17398120966897154</v>
      </c>
      <c r="G2190">
        <v>0</v>
      </c>
    </row>
    <row r="2191" spans="1:7" x14ac:dyDescent="0.25">
      <c r="A2191">
        <v>18183</v>
      </c>
      <c r="B2191" t="s">
        <v>97</v>
      </c>
      <c r="C2191">
        <v>5</v>
      </c>
      <c r="D2191" s="3">
        <f>in_parking_demand_data_ver1!D2191*calibration!$I$31</f>
        <v>0</v>
      </c>
      <c r="E2191" s="3">
        <f>in_parking_demand_data_ver1!E2191*calibration!$I$31</f>
        <v>0.34796241933794309</v>
      </c>
      <c r="F2191" s="3">
        <f t="shared" si="34"/>
        <v>0.34796241933794309</v>
      </c>
      <c r="G2191">
        <v>0</v>
      </c>
    </row>
    <row r="2192" spans="1:7" x14ac:dyDescent="0.25">
      <c r="A2192">
        <v>18183</v>
      </c>
      <c r="B2192" t="s">
        <v>97</v>
      </c>
      <c r="C2192">
        <v>6</v>
      </c>
      <c r="D2192" s="3">
        <f>in_parking_demand_data_ver1!D2192*calibration!$I$31</f>
        <v>0</v>
      </c>
      <c r="E2192" s="3">
        <f>in_parking_demand_data_ver1!E2192*calibration!$I$31</f>
        <v>1.1134797418814135</v>
      </c>
      <c r="F2192" s="3">
        <f t="shared" si="34"/>
        <v>1.1134797418814135</v>
      </c>
      <c r="G2192">
        <v>0</v>
      </c>
    </row>
    <row r="2193" spans="1:7" x14ac:dyDescent="0.25">
      <c r="A2193">
        <v>18183</v>
      </c>
      <c r="B2193" t="s">
        <v>97</v>
      </c>
      <c r="C2193">
        <v>7</v>
      </c>
      <c r="D2193" s="3">
        <f>in_parking_demand_data_ver1!D2193*calibration!$I$31</f>
        <v>0</v>
      </c>
      <c r="E2193" s="3">
        <f>in_parking_demand_data_ver1!E2193*calibration!$I$31</f>
        <v>2.6445143869683641</v>
      </c>
      <c r="F2193" s="3">
        <f t="shared" si="34"/>
        <v>2.6445143869683641</v>
      </c>
      <c r="G2193">
        <v>0</v>
      </c>
    </row>
    <row r="2194" spans="1:7" x14ac:dyDescent="0.25">
      <c r="A2194">
        <v>18183</v>
      </c>
      <c r="B2194" t="s">
        <v>97</v>
      </c>
      <c r="C2194">
        <v>8</v>
      </c>
      <c r="D2194" s="3">
        <f>in_parking_demand_data_ver1!D2194*calibration!$I$31</f>
        <v>0</v>
      </c>
      <c r="E2194" s="3">
        <f>in_parking_demand_data_ver1!E2194*calibration!$I$31</f>
        <v>3.9319753385187552</v>
      </c>
      <c r="F2194" s="3">
        <f t="shared" si="34"/>
        <v>3.9319753385187552</v>
      </c>
      <c r="G2194">
        <v>0</v>
      </c>
    </row>
    <row r="2195" spans="1:7" x14ac:dyDescent="0.25">
      <c r="A2195">
        <v>18183</v>
      </c>
      <c r="B2195" t="s">
        <v>97</v>
      </c>
      <c r="C2195">
        <v>9</v>
      </c>
      <c r="D2195" s="3">
        <f>in_parking_demand_data_ver1!D2195*calibration!$I$31</f>
        <v>0</v>
      </c>
      <c r="E2195" s="3">
        <f>in_parking_demand_data_ver1!E2195*calibration!$I$31</f>
        <v>3.9319753385187552</v>
      </c>
      <c r="F2195" s="3">
        <f t="shared" si="34"/>
        <v>3.9319753385187552</v>
      </c>
      <c r="G2195">
        <v>0</v>
      </c>
    </row>
    <row r="2196" spans="1:7" x14ac:dyDescent="0.25">
      <c r="A2196">
        <v>18183</v>
      </c>
      <c r="B2196" t="s">
        <v>97</v>
      </c>
      <c r="C2196">
        <v>10</v>
      </c>
      <c r="D2196" s="3">
        <f>in_parking_demand_data_ver1!D2196*calibration!$I$31</f>
        <v>0</v>
      </c>
      <c r="E2196" s="3">
        <f>in_parking_demand_data_ver1!E2196*calibration!$I$31</f>
        <v>3.1316617740414845</v>
      </c>
      <c r="F2196" s="3">
        <f t="shared" si="34"/>
        <v>3.1316617740414845</v>
      </c>
      <c r="G2196">
        <v>0</v>
      </c>
    </row>
    <row r="2197" spans="1:7" x14ac:dyDescent="0.25">
      <c r="A2197">
        <v>18183</v>
      </c>
      <c r="B2197" t="s">
        <v>97</v>
      </c>
      <c r="C2197">
        <v>11</v>
      </c>
      <c r="D2197" s="3">
        <f>in_parking_demand_data_ver1!D2197*calibration!$I$31</f>
        <v>0</v>
      </c>
      <c r="E2197" s="3">
        <f>in_parking_demand_data_ver1!E2197*calibration!$I$31</f>
        <v>3.3056429837104533</v>
      </c>
      <c r="F2197" s="3">
        <f t="shared" si="34"/>
        <v>3.3056429837104533</v>
      </c>
      <c r="G2197">
        <v>0</v>
      </c>
    </row>
    <row r="2198" spans="1:7" x14ac:dyDescent="0.25">
      <c r="A2198">
        <v>18183</v>
      </c>
      <c r="B2198" t="s">
        <v>97</v>
      </c>
      <c r="C2198">
        <v>12</v>
      </c>
      <c r="D2198" s="3">
        <f>in_parking_demand_data_ver1!D2198*calibration!$I$31</f>
        <v>0</v>
      </c>
      <c r="E2198" s="3">
        <f>in_parking_demand_data_ver1!E2198*calibration!$I$31</f>
        <v>3.89717909658496</v>
      </c>
      <c r="F2198" s="3">
        <f t="shared" si="34"/>
        <v>3.89717909658496</v>
      </c>
      <c r="G2198">
        <v>0</v>
      </c>
    </row>
    <row r="2199" spans="1:7" x14ac:dyDescent="0.25">
      <c r="A2199">
        <v>18183</v>
      </c>
      <c r="B2199" t="s">
        <v>97</v>
      </c>
      <c r="C2199">
        <v>13</v>
      </c>
      <c r="D2199" s="3">
        <f>in_parking_demand_data_ver1!D2199*calibration!$I$31</f>
        <v>0</v>
      </c>
      <c r="E2199" s="3">
        <f>in_parking_demand_data_ver1!E2199*calibration!$I$31</f>
        <v>1.3570534354179735</v>
      </c>
      <c r="F2199" s="3">
        <f t="shared" si="34"/>
        <v>1.3570534354179735</v>
      </c>
      <c r="G2199">
        <v>0</v>
      </c>
    </row>
    <row r="2200" spans="1:7" x14ac:dyDescent="0.25">
      <c r="A2200">
        <v>18183</v>
      </c>
      <c r="B2200" t="s">
        <v>97</v>
      </c>
      <c r="C2200">
        <v>14</v>
      </c>
      <c r="D2200" s="3">
        <f>in_parking_demand_data_ver1!D2200*calibration!$I$31</f>
        <v>0</v>
      </c>
      <c r="E2200" s="3">
        <f>in_parking_demand_data_ver1!E2200*calibration!$I$31</f>
        <v>1.6006271289545335</v>
      </c>
      <c r="F2200" s="3">
        <f t="shared" si="34"/>
        <v>1.6006271289545335</v>
      </c>
      <c r="G2200">
        <v>0</v>
      </c>
    </row>
    <row r="2201" spans="1:7" x14ac:dyDescent="0.25">
      <c r="A2201">
        <v>18183</v>
      </c>
      <c r="B2201" t="s">
        <v>97</v>
      </c>
      <c r="C2201">
        <v>15</v>
      </c>
      <c r="D2201" s="3">
        <f>in_parking_demand_data_ver1!D2201*calibration!$I$31</f>
        <v>0</v>
      </c>
      <c r="E2201" s="3">
        <f>in_parking_demand_data_ver1!E2201*calibration!$I$31</f>
        <v>0.80031356447726931</v>
      </c>
      <c r="F2201" s="3">
        <f t="shared" si="34"/>
        <v>0.80031356447726931</v>
      </c>
      <c r="G2201">
        <v>0</v>
      </c>
    </row>
    <row r="2202" spans="1:7" x14ac:dyDescent="0.25">
      <c r="A2202">
        <v>18183</v>
      </c>
      <c r="B2202" t="s">
        <v>97</v>
      </c>
      <c r="C2202">
        <v>16</v>
      </c>
      <c r="D2202" s="3">
        <f>in_parking_demand_data_ver1!D2202*calibration!$I$31</f>
        <v>0</v>
      </c>
      <c r="E2202" s="3">
        <f>in_parking_demand_data_ver1!E2202*calibration!$I$31</f>
        <v>0.13918496773517688</v>
      </c>
      <c r="F2202" s="3">
        <f t="shared" si="34"/>
        <v>0.13918496773517688</v>
      </c>
      <c r="G2202">
        <v>0</v>
      </c>
    </row>
    <row r="2203" spans="1:7" x14ac:dyDescent="0.25">
      <c r="A2203">
        <v>18183</v>
      </c>
      <c r="B2203" t="s">
        <v>97</v>
      </c>
      <c r="C2203">
        <v>17</v>
      </c>
      <c r="D2203" s="3">
        <f>in_parking_demand_data_ver1!D2203*calibration!$I$31</f>
        <v>0</v>
      </c>
      <c r="E2203" s="3">
        <f>in_parking_demand_data_ver1!E2203*calibration!$I$31</f>
        <v>6.9592483867588623E-2</v>
      </c>
      <c r="F2203" s="3">
        <f t="shared" si="34"/>
        <v>6.9592483867588623E-2</v>
      </c>
      <c r="G2203">
        <v>0</v>
      </c>
    </row>
    <row r="2204" spans="1:7" x14ac:dyDescent="0.25">
      <c r="A2204">
        <v>18183</v>
      </c>
      <c r="B2204" t="s">
        <v>97</v>
      </c>
      <c r="C2204">
        <v>18</v>
      </c>
      <c r="D2204" s="3">
        <f>in_parking_demand_data_ver1!D2204*calibration!$I$31</f>
        <v>0</v>
      </c>
      <c r="E2204" s="2">
        <f>in_parking_demand_data_ver1!E2204*calibration!$I$31</f>
        <v>6.9592483867588623E-2</v>
      </c>
      <c r="F2204" s="3">
        <f t="shared" si="34"/>
        <v>6.9592483867588623E-2</v>
      </c>
      <c r="G2204">
        <v>0</v>
      </c>
    </row>
    <row r="2205" spans="1:7" x14ac:dyDescent="0.25">
      <c r="A2205">
        <v>18183</v>
      </c>
      <c r="B2205" t="s">
        <v>97</v>
      </c>
      <c r="C2205">
        <v>19</v>
      </c>
      <c r="D2205" s="3">
        <f>in_parking_demand_data_ver1!D2205*calibration!$I$31</f>
        <v>0</v>
      </c>
      <c r="E2205" s="2">
        <f>in_parking_demand_data_ver1!E2205*calibration!$I$31</f>
        <v>6.9592483867588623E-2</v>
      </c>
      <c r="F2205" s="3">
        <f t="shared" si="34"/>
        <v>6.9592483867588623E-2</v>
      </c>
      <c r="G2205">
        <v>0</v>
      </c>
    </row>
    <row r="2206" spans="1:7" x14ac:dyDescent="0.25">
      <c r="A2206">
        <v>18183</v>
      </c>
      <c r="B2206" t="s">
        <v>97</v>
      </c>
      <c r="C2206">
        <v>20</v>
      </c>
      <c r="D2206" s="3">
        <f>in_parking_demand_data_ver1!D2206*calibration!$I$31</f>
        <v>0</v>
      </c>
      <c r="E2206" s="2">
        <f>in_parking_demand_data_ver1!E2206*calibration!$I$31</f>
        <v>6.9592483867588623E-2</v>
      </c>
      <c r="F2206" s="3">
        <f t="shared" si="34"/>
        <v>6.9592483867588623E-2</v>
      </c>
      <c r="G2206">
        <v>0</v>
      </c>
    </row>
    <row r="2207" spans="1:7" x14ac:dyDescent="0.25">
      <c r="A2207">
        <v>18183</v>
      </c>
      <c r="B2207" t="s">
        <v>97</v>
      </c>
      <c r="C2207">
        <v>21</v>
      </c>
      <c r="D2207" s="3">
        <f>in_parking_demand_data_ver1!D2207*calibration!$I$31</f>
        <v>0</v>
      </c>
      <c r="E2207" s="2">
        <f>in_parking_demand_data_ver1!E2207*calibration!$I$31</f>
        <v>6.9592483867588623E-2</v>
      </c>
      <c r="F2207" s="3">
        <f t="shared" si="34"/>
        <v>6.9592483867588623E-2</v>
      </c>
      <c r="G2207">
        <v>0</v>
      </c>
    </row>
    <row r="2208" spans="1:7" x14ac:dyDescent="0.25">
      <c r="A2208">
        <v>18183</v>
      </c>
      <c r="B2208" t="s">
        <v>97</v>
      </c>
      <c r="C2208">
        <v>22</v>
      </c>
      <c r="D2208" s="3">
        <f>in_parking_demand_data_ver1!D2208*calibration!$I$31</f>
        <v>0</v>
      </c>
      <c r="E2208" s="2">
        <f>in_parking_demand_data_ver1!E2208*calibration!$I$31</f>
        <v>0</v>
      </c>
      <c r="F2208" s="3">
        <f t="shared" si="34"/>
        <v>0</v>
      </c>
      <c r="G2208">
        <v>0</v>
      </c>
    </row>
    <row r="2209" spans="1:7" x14ac:dyDescent="0.25">
      <c r="A2209">
        <v>18183</v>
      </c>
      <c r="B2209" t="s">
        <v>97</v>
      </c>
      <c r="C2209">
        <v>23</v>
      </c>
      <c r="D2209" s="3">
        <f>in_parking_demand_data_ver1!D2209*calibration!$I$31</f>
        <v>0</v>
      </c>
      <c r="E2209" s="2">
        <f>in_parking_demand_data_ver1!E2209*calibration!$I$31</f>
        <v>0.10438872580138224</v>
      </c>
      <c r="F2209" s="3">
        <f t="shared" si="34"/>
        <v>0.10438872580138224</v>
      </c>
      <c r="G220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CE5CC-E6B9-426A-8F95-A978B4956EAB}">
  <dimension ref="A1:R94"/>
  <sheetViews>
    <sheetView tabSelected="1" topLeftCell="A10" zoomScale="90" zoomScaleNormal="90" workbookViewId="0">
      <selection activeCell="M22" sqref="M22"/>
    </sheetView>
  </sheetViews>
  <sheetFormatPr defaultRowHeight="15" x14ac:dyDescent="0.25"/>
  <cols>
    <col min="1" max="1" width="12.7109375" customWidth="1"/>
    <col min="2" max="2" width="19" customWidth="1"/>
    <col min="3" max="3" width="14.5703125" bestFit="1" customWidth="1"/>
    <col min="8" max="8" width="13.42578125" customWidth="1"/>
    <col min="10" max="10" width="13.7109375" customWidth="1"/>
    <col min="16" max="16" width="13.140625" customWidth="1"/>
  </cols>
  <sheetData>
    <row r="1" spans="1:18" x14ac:dyDescent="0.25">
      <c r="A1" t="s">
        <v>0</v>
      </c>
      <c r="B1" t="s">
        <v>113</v>
      </c>
      <c r="C1" t="s">
        <v>114</v>
      </c>
      <c r="D1" t="s">
        <v>115</v>
      </c>
      <c r="E1" t="s">
        <v>117</v>
      </c>
      <c r="F1" t="s">
        <v>118</v>
      </c>
      <c r="G1" t="s">
        <v>120</v>
      </c>
      <c r="H1" t="s">
        <v>119</v>
      </c>
      <c r="I1" t="s">
        <v>127</v>
      </c>
      <c r="J1" t="s">
        <v>121</v>
      </c>
      <c r="K1" t="s">
        <v>122</v>
      </c>
      <c r="L1" t="s">
        <v>123</v>
      </c>
      <c r="M1" t="s">
        <v>124</v>
      </c>
    </row>
    <row r="2" spans="1:18" x14ac:dyDescent="0.25">
      <c r="A2">
        <v>18001</v>
      </c>
      <c r="B2" t="str">
        <f ca="1">OFFSET(park_dem_calibrtd_by_hour!B$1,MATCH(A2,park_dem_calibrtd_by_hour!A:A,0)-1,0)</f>
        <v>Adams County</v>
      </c>
      <c r="C2">
        <f ca="1">OFFSET(park_dem_calibrtd_by_hour!G$1,MATCH(A2,park_dem_calibrtd_by_hour!A:A,0)-1,0)</f>
        <v>30</v>
      </c>
      <c r="D2" s="3">
        <f>_xlfn.MAXIFS(park_dem_calibrtd_by_hour!D:D,park_dem_calibrtd_by_hour!$A:$A,$A2)</f>
        <v>18.283098439284988</v>
      </c>
      <c r="E2" s="3">
        <f>SUMIFS(park_dem_calibrtd_by_hour!D:D,park_dem_calibrtd_by_hour!$A:$A,$A2)</f>
        <v>284.34192659705343</v>
      </c>
      <c r="F2" s="3">
        <f>SUMIFS(park_dem_calibrtd_by_hour!E:E,park_dem_calibrtd_by_hour!$A:$A,$A2)</f>
        <v>69.634757533972262</v>
      </c>
      <c r="G2" s="3">
        <f>SUM(E2:F2)</f>
        <v>353.97668413102571</v>
      </c>
      <c r="H2" s="5">
        <f>F2/SUM(E2:F2)</f>
        <v>0.1967213114754098</v>
      </c>
      <c r="I2" s="5">
        <f ca="1">D2/C2</f>
        <v>0.60943661464283294</v>
      </c>
      <c r="J2">
        <f ca="1">IFERROR(IF(AND(G2&gt;=1000,OR(I2&gt;=0.9,H2&gt;0.5)),1,0),0)</f>
        <v>0</v>
      </c>
      <c r="K2">
        <f ca="1">IFERROR(IF(AND(J2=0,G2&gt;=300,OR(I2&gt;=0.7,H2&gt;0.2)),1,0),0)</f>
        <v>0</v>
      </c>
      <c r="L2">
        <f ca="1">IF(SUM(J2,K2,M2)=0,1,0)</f>
        <v>1</v>
      </c>
      <c r="M2">
        <f ca="1">IF(AND(C2=0,J2=0,K2=0),1,0)</f>
        <v>0</v>
      </c>
    </row>
    <row r="3" spans="1:18" x14ac:dyDescent="0.25">
      <c r="A3">
        <v>18003</v>
      </c>
      <c r="B3" t="str">
        <f ca="1">OFFSET(park_dem_calibrtd_by_hour!B$1,MATCH(A3,park_dem_calibrtd_by_hour!A:A,0)-1,0)</f>
        <v>Allen County</v>
      </c>
      <c r="C3">
        <f ca="1">OFFSET(park_dem_calibrtd_by_hour!G$1,MATCH(A3,park_dem_calibrtd_by_hour!A:A,0)-1,0)</f>
        <v>365</v>
      </c>
      <c r="D3" s="3">
        <f>_xlfn.MAXIFS(park_dem_calibrtd_by_hour!D:D,park_dem_calibrtd_by_hour!$A:$A,$A3)</f>
        <v>322.98442802351099</v>
      </c>
      <c r="E3" s="3">
        <f>SUMIFS(park_dem_calibrtd_by_hour!D:D,park_dem_calibrtd_by_hour!$A:$A,$A3)</f>
        <v>6245.0557461212684</v>
      </c>
      <c r="F3" s="3">
        <f>SUMIFS(park_dem_calibrtd_by_hour!E:E,park_dem_calibrtd_by_hour!$A:$A,$A3)</f>
        <v>596.32207764757504</v>
      </c>
      <c r="G3" s="3">
        <f t="shared" ref="G3:G66" si="0">SUM(E3:F3)</f>
        <v>6841.3778237688439</v>
      </c>
      <c r="H3" s="5">
        <f t="shared" ref="H3:H66" si="1">F3/SUM(E3:F3)</f>
        <v>8.7164032305859035E-2</v>
      </c>
      <c r="I3" s="5">
        <f t="shared" ref="I3:I66" ca="1" si="2">D3/C3</f>
        <v>0.88488884390003009</v>
      </c>
      <c r="J3">
        <f t="shared" ref="J3:J66" ca="1" si="3">IFERROR(IF(AND(G3&gt;=1000,OR(I3&gt;=0.9,H3&gt;0.5)),1,0),0)</f>
        <v>0</v>
      </c>
      <c r="K3">
        <f t="shared" ref="K3:K66" ca="1" si="4">IFERROR(IF(AND(J3=0,G3&gt;=300,OR(I3&gt;=0.7,H3&gt;0.2)),1,0),0)</f>
        <v>1</v>
      </c>
      <c r="L3">
        <f t="shared" ref="L3:L66" ca="1" si="5">IF(SUM(J3,K3,M3)=0,1,0)</f>
        <v>0</v>
      </c>
      <c r="M3">
        <f t="shared" ref="M3:M66" ca="1" si="6">IF(AND(C3=0,J3=0,K3=0),1,0)</f>
        <v>0</v>
      </c>
      <c r="P3" t="s">
        <v>121</v>
      </c>
      <c r="Q3">
        <f ca="1">SUM(J:J)</f>
        <v>12</v>
      </c>
      <c r="R3" t="s">
        <v>131</v>
      </c>
    </row>
    <row r="4" spans="1:18" x14ac:dyDescent="0.25">
      <c r="A4">
        <v>18005</v>
      </c>
      <c r="B4" t="str">
        <f ca="1">OFFSET(park_dem_calibrtd_by_hour!B$1,MATCH(A4,park_dem_calibrtd_by_hour!A:A,0)-1,0)</f>
        <v>Bartholomew County</v>
      </c>
      <c r="C4">
        <f ca="1">OFFSET(park_dem_calibrtd_by_hour!G$1,MATCH(A4,park_dem_calibrtd_by_hour!A:A,0)-1,0)</f>
        <v>83</v>
      </c>
      <c r="D4" s="3">
        <f>_xlfn.MAXIFS(park_dem_calibrtd_by_hour!D:D,park_dem_calibrtd_by_hour!$A:$A,$A4)</f>
        <v>158.72209293534894</v>
      </c>
      <c r="E4" s="3">
        <f>SUMIFS(park_dem_calibrtd_by_hour!D:D,park_dem_calibrtd_by_hour!$A:$A,$A4)</f>
        <v>2787.17168740447</v>
      </c>
      <c r="F4" s="3">
        <f>SUMIFS(park_dem_calibrtd_by_hour!E:E,park_dem_calibrtd_by_hour!$A:$A,$A4)</f>
        <v>519.36743996081805</v>
      </c>
      <c r="G4" s="3">
        <f t="shared" si="0"/>
        <v>3306.5391273652881</v>
      </c>
      <c r="H4" s="5">
        <f t="shared" si="1"/>
        <v>0.15707282447150706</v>
      </c>
      <c r="I4" s="5">
        <f t="shared" ca="1" si="2"/>
        <v>1.9123143727150476</v>
      </c>
      <c r="J4">
        <f t="shared" ca="1" si="3"/>
        <v>1</v>
      </c>
      <c r="K4">
        <f t="shared" ca="1" si="4"/>
        <v>0</v>
      </c>
      <c r="L4">
        <f t="shared" ca="1" si="5"/>
        <v>0</v>
      </c>
      <c r="M4">
        <f t="shared" ca="1" si="6"/>
        <v>0</v>
      </c>
      <c r="P4" t="s">
        <v>122</v>
      </c>
      <c r="Q4">
        <f ca="1">SUM(K:K)</f>
        <v>20</v>
      </c>
      <c r="R4" t="s">
        <v>128</v>
      </c>
    </row>
    <row r="5" spans="1:18" x14ac:dyDescent="0.25">
      <c r="A5">
        <v>18007</v>
      </c>
      <c r="B5" t="str">
        <f ca="1">OFFSET(park_dem_calibrtd_by_hour!B$1,MATCH(A5,park_dem_calibrtd_by_hour!A:A,0)-1,0)</f>
        <v>Benton County</v>
      </c>
      <c r="C5">
        <f ca="1">OFFSET(park_dem_calibrtd_by_hour!G$1,MATCH(A5,park_dem_calibrtd_by_hour!A:A,0)-1,0)</f>
        <v>39</v>
      </c>
      <c r="D5" s="3">
        <f>_xlfn.MAXIFS(park_dem_calibrtd_by_hour!D:D,park_dem_calibrtd_by_hour!$A:$A,$A5)</f>
        <v>9.7923768196636907</v>
      </c>
      <c r="E5" s="3">
        <f>SUMIFS(park_dem_calibrtd_by_hour!D:D,park_dem_calibrtd_by_hour!$A:$A,$A5)</f>
        <v>157.96227525490329</v>
      </c>
      <c r="F5" s="3">
        <f>SUMIFS(park_dem_calibrtd_by_hour!E:E,park_dem_calibrtd_by_hour!$A:$A,$A5)</f>
        <v>22.955899757572308</v>
      </c>
      <c r="G5" s="3">
        <f t="shared" si="0"/>
        <v>180.91817501247559</v>
      </c>
      <c r="H5" s="5">
        <f t="shared" si="1"/>
        <v>0.12688553682342493</v>
      </c>
      <c r="I5" s="5">
        <f t="shared" ca="1" si="2"/>
        <v>0.25108658511958182</v>
      </c>
      <c r="J5">
        <f t="shared" ca="1" si="3"/>
        <v>0</v>
      </c>
      <c r="K5">
        <f t="shared" ca="1" si="4"/>
        <v>0</v>
      </c>
      <c r="L5">
        <f t="shared" ca="1" si="5"/>
        <v>1</v>
      </c>
      <c r="M5">
        <f t="shared" ca="1" si="6"/>
        <v>0</v>
      </c>
      <c r="P5" t="s">
        <v>123</v>
      </c>
      <c r="Q5">
        <f ca="1">SUM(L:L)</f>
        <v>37</v>
      </c>
      <c r="R5" t="s">
        <v>130</v>
      </c>
    </row>
    <row r="6" spans="1:18" x14ac:dyDescent="0.25">
      <c r="A6">
        <v>18009</v>
      </c>
      <c r="B6" t="str">
        <f ca="1">OFFSET(park_dem_calibrtd_by_hour!B$1,MATCH(A6,park_dem_calibrtd_by_hour!A:A,0)-1,0)</f>
        <v>Blackford County</v>
      </c>
      <c r="C6">
        <f ca="1">OFFSET(park_dem_calibrtd_by_hour!G$1,MATCH(A6,park_dem_calibrtd_by_hour!A:A,0)-1,0)</f>
        <v>0</v>
      </c>
      <c r="D6" s="3">
        <f>_xlfn.MAXIFS(park_dem_calibrtd_by_hour!D:D,park_dem_calibrtd_by_hour!$A:$A,$A6)</f>
        <v>0</v>
      </c>
      <c r="E6" s="3">
        <f>SUMIFS(park_dem_calibrtd_by_hour!D:D,park_dem_calibrtd_by_hour!$A:$A,$A6)</f>
        <v>0</v>
      </c>
      <c r="F6" s="3">
        <f>SUMIFS(park_dem_calibrtd_by_hour!E:E,park_dem_calibrtd_by_hour!$A:$A,$A6)</f>
        <v>0</v>
      </c>
      <c r="G6" s="3">
        <f t="shared" si="0"/>
        <v>0</v>
      </c>
      <c r="H6" s="5" t="e">
        <f t="shared" si="1"/>
        <v>#DIV/0!</v>
      </c>
      <c r="I6" s="5" t="e">
        <f t="shared" ca="1" si="2"/>
        <v>#DIV/0!</v>
      </c>
      <c r="J6">
        <f t="shared" ca="1" si="3"/>
        <v>0</v>
      </c>
      <c r="K6">
        <f t="shared" ca="1" si="4"/>
        <v>0</v>
      </c>
      <c r="L6">
        <f t="shared" ca="1" si="5"/>
        <v>0</v>
      </c>
      <c r="M6">
        <f t="shared" ca="1" si="6"/>
        <v>1</v>
      </c>
      <c r="P6" t="s">
        <v>124</v>
      </c>
      <c r="Q6">
        <f ca="1">SUM(M:M)</f>
        <v>23</v>
      </c>
      <c r="R6" t="s">
        <v>129</v>
      </c>
    </row>
    <row r="7" spans="1:18" x14ac:dyDescent="0.25">
      <c r="A7">
        <v>18011</v>
      </c>
      <c r="B7" t="str">
        <f ca="1">OFFSET(park_dem_calibrtd_by_hour!B$1,MATCH(A7,park_dem_calibrtd_by_hour!A:A,0)-1,0)</f>
        <v>Boone County</v>
      </c>
      <c r="C7">
        <f ca="1">OFFSET(park_dem_calibrtd_by_hour!G$1,MATCH(A7,park_dem_calibrtd_by_hour!A:A,0)-1,0)</f>
        <v>550</v>
      </c>
      <c r="D7" s="3">
        <f>_xlfn.MAXIFS(park_dem_calibrtd_by_hour!D:D,park_dem_calibrtd_by_hour!$A:$A,$A7)</f>
        <v>525.49455289020807</v>
      </c>
      <c r="E7" s="3">
        <f>SUMIFS(park_dem_calibrtd_by_hour!D:D,park_dem_calibrtd_by_hour!$A:$A,$A7)</f>
        <v>9499.3093733541609</v>
      </c>
      <c r="F7" s="3">
        <f>SUMIFS(park_dem_calibrtd_by_hour!E:E,park_dem_calibrtd_by_hour!$A:$A,$A7)</f>
        <v>526.38589306661345</v>
      </c>
      <c r="G7" s="3">
        <f t="shared" si="0"/>
        <v>10025.695266420775</v>
      </c>
      <c r="H7" s="5">
        <f>F7/SUM(E7:F7)</f>
        <v>5.2503679702857749E-2</v>
      </c>
      <c r="I7" s="5">
        <f t="shared" ca="1" si="2"/>
        <v>0.95544464161856013</v>
      </c>
      <c r="J7">
        <f t="shared" ca="1" si="3"/>
        <v>1</v>
      </c>
      <c r="K7">
        <f t="shared" ca="1" si="4"/>
        <v>0</v>
      </c>
      <c r="L7">
        <f t="shared" ca="1" si="5"/>
        <v>0</v>
      </c>
      <c r="M7">
        <f t="shared" ca="1" si="6"/>
        <v>0</v>
      </c>
      <c r="P7" t="s">
        <v>125</v>
      </c>
      <c r="Q7">
        <f ca="1">SUM(Q3:Q6)</f>
        <v>92</v>
      </c>
    </row>
    <row r="8" spans="1:18" x14ac:dyDescent="0.25">
      <c r="A8">
        <v>18013</v>
      </c>
      <c r="B8" t="str">
        <f ca="1">OFFSET(park_dem_calibrtd_by_hour!B$1,MATCH(A8,park_dem_calibrtd_by_hour!A:A,0)-1,0)</f>
        <v>Brown County</v>
      </c>
      <c r="C8">
        <f ca="1">OFFSET(park_dem_calibrtd_by_hour!G$1,MATCH(A8,park_dem_calibrtd_by_hour!A:A,0)-1,0)</f>
        <v>0</v>
      </c>
      <c r="D8" s="3">
        <f>_xlfn.MAXIFS(park_dem_calibrtd_by_hour!D:D,park_dem_calibrtd_by_hour!$A:$A,$A8)</f>
        <v>0</v>
      </c>
      <c r="E8" s="3">
        <f>SUMIFS(park_dem_calibrtd_by_hour!D:D,park_dem_calibrtd_by_hour!$A:$A,$A8)</f>
        <v>0</v>
      </c>
      <c r="F8" s="3">
        <f>SUMIFS(park_dem_calibrtd_by_hour!E:E,park_dem_calibrtd_by_hour!$A:$A,$A8)</f>
        <v>0</v>
      </c>
      <c r="G8" s="3">
        <f t="shared" si="0"/>
        <v>0</v>
      </c>
      <c r="H8" s="5" t="e">
        <f t="shared" si="1"/>
        <v>#DIV/0!</v>
      </c>
      <c r="I8" s="5" t="e">
        <f t="shared" ca="1" si="2"/>
        <v>#DIV/0!</v>
      </c>
      <c r="J8">
        <f t="shared" ca="1" si="3"/>
        <v>0</v>
      </c>
      <c r="K8">
        <f t="shared" ca="1" si="4"/>
        <v>0</v>
      </c>
      <c r="L8">
        <f t="shared" ca="1" si="5"/>
        <v>0</v>
      </c>
      <c r="M8">
        <f t="shared" ca="1" si="6"/>
        <v>1</v>
      </c>
      <c r="P8" t="s">
        <v>126</v>
      </c>
      <c r="Q8">
        <v>92</v>
      </c>
    </row>
    <row r="9" spans="1:18" x14ac:dyDescent="0.25">
      <c r="A9">
        <v>18015</v>
      </c>
      <c r="B9" t="str">
        <f ca="1">OFFSET(park_dem_calibrtd_by_hour!B$1,MATCH(A9,park_dem_calibrtd_by_hour!A:A,0)-1,0)</f>
        <v>Carroll County</v>
      </c>
      <c r="C9">
        <f ca="1">OFFSET(park_dem_calibrtd_by_hour!G$1,MATCH(A9,park_dem_calibrtd_by_hour!A:A,0)-1,0)</f>
        <v>0</v>
      </c>
      <c r="D9" s="3">
        <f>_xlfn.MAXIFS(park_dem_calibrtd_by_hour!D:D,park_dem_calibrtd_by_hour!$A:$A,$A9)</f>
        <v>0</v>
      </c>
      <c r="E9" s="3">
        <f>SUMIFS(park_dem_calibrtd_by_hour!D:D,park_dem_calibrtd_by_hour!$A:$A,$A9)</f>
        <v>0</v>
      </c>
      <c r="F9" s="3">
        <f>SUMIFS(park_dem_calibrtd_by_hour!E:E,park_dem_calibrtd_by_hour!$A:$A,$A9)</f>
        <v>14.393274464774315</v>
      </c>
      <c r="G9" s="3">
        <f t="shared" si="0"/>
        <v>14.393274464774315</v>
      </c>
      <c r="H9" s="5">
        <f t="shared" si="1"/>
        <v>1</v>
      </c>
      <c r="I9" s="5" t="e">
        <f t="shared" ca="1" si="2"/>
        <v>#DIV/0!</v>
      </c>
      <c r="J9">
        <f t="shared" ca="1" si="3"/>
        <v>0</v>
      </c>
      <c r="K9">
        <f t="shared" ca="1" si="4"/>
        <v>0</v>
      </c>
      <c r="L9">
        <f t="shared" ca="1" si="5"/>
        <v>0</v>
      </c>
      <c r="M9">
        <f t="shared" ca="1" si="6"/>
        <v>1</v>
      </c>
    </row>
    <row r="10" spans="1:18" x14ac:dyDescent="0.25">
      <c r="A10">
        <v>18017</v>
      </c>
      <c r="B10" t="str">
        <f ca="1">OFFSET(park_dem_calibrtd_by_hour!B$1,MATCH(A10,park_dem_calibrtd_by_hour!A:A,0)-1,0)</f>
        <v>Cass County</v>
      </c>
      <c r="C10">
        <f ca="1">OFFSET(park_dem_calibrtd_by_hour!G$1,MATCH(A10,park_dem_calibrtd_by_hour!A:A,0)-1,0)</f>
        <v>41</v>
      </c>
      <c r="D10" s="3">
        <f>_xlfn.MAXIFS(park_dem_calibrtd_by_hour!D:D,park_dem_calibrtd_by_hour!$A:$A,$A10)</f>
        <v>31.853733093645861</v>
      </c>
      <c r="E10" s="3">
        <f>SUMIFS(park_dem_calibrtd_by_hour!D:D,park_dem_calibrtd_by_hour!$A:$A,$A10)</f>
        <v>534.91774578767695</v>
      </c>
      <c r="F10" s="3">
        <f>SUMIFS(park_dem_calibrtd_by_hour!E:E,park_dem_calibrtd_by_hour!$A:$A,$A10)</f>
        <v>81.909599383660762</v>
      </c>
      <c r="G10" s="3">
        <f t="shared" si="0"/>
        <v>616.8273451713377</v>
      </c>
      <c r="H10" s="5">
        <f t="shared" si="1"/>
        <v>0.13279177718832896</v>
      </c>
      <c r="I10" s="5">
        <f t="shared" ca="1" si="2"/>
        <v>0.77692031935721617</v>
      </c>
      <c r="J10">
        <f t="shared" ca="1" si="3"/>
        <v>0</v>
      </c>
      <c r="K10">
        <f t="shared" ca="1" si="4"/>
        <v>1</v>
      </c>
      <c r="L10">
        <f t="shared" ca="1" si="5"/>
        <v>0</v>
      </c>
      <c r="M10">
        <f t="shared" ca="1" si="6"/>
        <v>0</v>
      </c>
    </row>
    <row r="11" spans="1:18" x14ac:dyDescent="0.25">
      <c r="A11">
        <v>18019</v>
      </c>
      <c r="B11" t="str">
        <f ca="1">OFFSET(park_dem_calibrtd_by_hour!B$1,MATCH(A11,park_dem_calibrtd_by_hour!A:A,0)-1,0)</f>
        <v>Clark County</v>
      </c>
      <c r="C11">
        <f ca="1">OFFSET(park_dem_calibrtd_by_hour!G$1,MATCH(A11,park_dem_calibrtd_by_hour!A:A,0)-1,0)</f>
        <v>571</v>
      </c>
      <c r="D11" s="3">
        <f>_xlfn.MAXIFS(park_dem_calibrtd_by_hour!D:D,park_dem_calibrtd_by_hour!$A:$A,$A11)</f>
        <v>321.65932887223391</v>
      </c>
      <c r="E11" s="3">
        <f>SUMIFS(park_dem_calibrtd_by_hour!D:D,park_dem_calibrtd_by_hour!$A:$A,$A11)</f>
        <v>5638.8579722005607</v>
      </c>
      <c r="F11" s="3">
        <f>SUMIFS(park_dem_calibrtd_by_hour!E:E,park_dem_calibrtd_by_hour!$A:$A,$A11)</f>
        <v>416.09142542188061</v>
      </c>
      <c r="G11" s="3">
        <f t="shared" si="0"/>
        <v>6054.9493976224412</v>
      </c>
      <c r="H11" s="5">
        <f t="shared" si="1"/>
        <v>6.8719224240794588E-2</v>
      </c>
      <c r="I11" s="5">
        <f t="shared" ca="1" si="2"/>
        <v>0.56332632026660934</v>
      </c>
      <c r="J11">
        <f t="shared" ca="1" si="3"/>
        <v>0</v>
      </c>
      <c r="K11">
        <f t="shared" ca="1" si="4"/>
        <v>0</v>
      </c>
      <c r="L11">
        <f t="shared" ca="1" si="5"/>
        <v>1</v>
      </c>
      <c r="M11">
        <f t="shared" ca="1" si="6"/>
        <v>0</v>
      </c>
      <c r="P11">
        <f>COUNTIFS(G:G,"&gt;=1000")</f>
        <v>38</v>
      </c>
    </row>
    <row r="12" spans="1:18" x14ac:dyDescent="0.25">
      <c r="A12">
        <v>18021</v>
      </c>
      <c r="B12" t="str">
        <f ca="1">OFFSET(park_dem_calibrtd_by_hour!B$1,MATCH(A12,park_dem_calibrtd_by_hour!A:A,0)-1,0)</f>
        <v>Clay County</v>
      </c>
      <c r="C12">
        <f ca="1">OFFSET(park_dem_calibrtd_by_hour!G$1,MATCH(A12,park_dem_calibrtd_by_hour!A:A,0)-1,0)</f>
        <v>277</v>
      </c>
      <c r="D12" s="3">
        <f>_xlfn.MAXIFS(park_dem_calibrtd_by_hour!D:D,park_dem_calibrtd_by_hour!$A:$A,$A12)</f>
        <v>255.37521662264942</v>
      </c>
      <c r="E12" s="3">
        <f>SUMIFS(park_dem_calibrtd_by_hour!D:D,park_dem_calibrtd_by_hour!$A:$A,$A12)</f>
        <v>4331.224874952436</v>
      </c>
      <c r="F12" s="3">
        <f>SUMIFS(park_dem_calibrtd_by_hour!E:E,park_dem_calibrtd_by_hour!$A:$A,$A12)</f>
        <v>295.80498947939401</v>
      </c>
      <c r="G12" s="3">
        <f t="shared" si="0"/>
        <v>4627.02986443183</v>
      </c>
      <c r="H12" s="5">
        <f t="shared" si="1"/>
        <v>6.3929777448219899E-2</v>
      </c>
      <c r="I12" s="5">
        <f t="shared" ca="1" si="2"/>
        <v>0.9219321899734636</v>
      </c>
      <c r="J12">
        <f t="shared" ca="1" si="3"/>
        <v>1</v>
      </c>
      <c r="K12">
        <f t="shared" ca="1" si="4"/>
        <v>0</v>
      </c>
      <c r="L12">
        <f t="shared" ca="1" si="5"/>
        <v>0</v>
      </c>
      <c r="M12">
        <f t="shared" ca="1" si="6"/>
        <v>0</v>
      </c>
      <c r="P12">
        <f>COUNTIFS(G:G,"&gt;=300")</f>
        <v>52</v>
      </c>
    </row>
    <row r="13" spans="1:18" x14ac:dyDescent="0.25">
      <c r="A13">
        <v>18023</v>
      </c>
      <c r="B13" t="str">
        <f ca="1">OFFSET(park_dem_calibrtd_by_hour!B$1,MATCH(A13,park_dem_calibrtd_by_hour!A:A,0)-1,0)</f>
        <v>Clinton County</v>
      </c>
      <c r="C13">
        <f ca="1">OFFSET(park_dem_calibrtd_by_hour!G$1,MATCH(A13,park_dem_calibrtd_by_hour!A:A,0)-1,0)</f>
        <v>100</v>
      </c>
      <c r="D13" s="3">
        <f>_xlfn.MAXIFS(park_dem_calibrtd_by_hour!D:D,park_dem_calibrtd_by_hour!$A:$A,$A13)</f>
        <v>81.141987503017162</v>
      </c>
      <c r="E13" s="3">
        <f>SUMIFS(park_dem_calibrtd_by_hour!D:D,park_dem_calibrtd_by_hour!$A:$A,$A13)</f>
        <v>1260.774979302862</v>
      </c>
      <c r="F13" s="3">
        <f>SUMIFS(park_dem_calibrtd_by_hour!E:E,park_dem_calibrtd_by_hour!$A:$A,$A13)</f>
        <v>164.67050405024051</v>
      </c>
      <c r="G13" s="3">
        <f t="shared" si="0"/>
        <v>1425.4454833531024</v>
      </c>
      <c r="H13" s="5">
        <f t="shared" si="1"/>
        <v>0.11552213393870593</v>
      </c>
      <c r="I13" s="5">
        <f t="shared" ca="1" si="2"/>
        <v>0.81141987503017166</v>
      </c>
      <c r="J13">
        <f t="shared" ca="1" si="3"/>
        <v>0</v>
      </c>
      <c r="K13">
        <f t="shared" ca="1" si="4"/>
        <v>1</v>
      </c>
      <c r="L13">
        <f t="shared" ca="1" si="5"/>
        <v>0</v>
      </c>
      <c r="M13">
        <f t="shared" ca="1" si="6"/>
        <v>0</v>
      </c>
    </row>
    <row r="14" spans="1:18" x14ac:dyDescent="0.25">
      <c r="A14">
        <v>18025</v>
      </c>
      <c r="B14" t="str">
        <f ca="1">OFFSET(park_dem_calibrtd_by_hour!B$1,MATCH(A14,park_dem_calibrtd_by_hour!A:A,0)-1,0)</f>
        <v>Crawford County</v>
      </c>
      <c r="C14">
        <f ca="1">OFFSET(park_dem_calibrtd_by_hour!G$1,MATCH(A14,park_dem_calibrtd_by_hour!A:A,0)-1,0)</f>
        <v>115</v>
      </c>
      <c r="D14" s="3">
        <f>_xlfn.MAXIFS(park_dem_calibrtd_by_hour!D:D,park_dem_calibrtd_by_hour!$A:$A,$A14)</f>
        <v>96.836539487348347</v>
      </c>
      <c r="E14" s="3">
        <f>SUMIFS(park_dem_calibrtd_by_hour!D:D,park_dem_calibrtd_by_hour!$A:$A,$A14)</f>
        <v>1712.364586127652</v>
      </c>
      <c r="F14" s="3">
        <f>SUMIFS(park_dem_calibrtd_by_hour!E:E,park_dem_calibrtd_by_hour!$A:$A,$A14)</f>
        <v>134.51759093371575</v>
      </c>
      <c r="G14" s="3">
        <f t="shared" si="0"/>
        <v>1846.8821770613679</v>
      </c>
      <c r="H14" s="5">
        <f t="shared" si="1"/>
        <v>7.2834960781174962E-2</v>
      </c>
      <c r="I14" s="5">
        <f t="shared" ca="1" si="2"/>
        <v>0.84205686510737687</v>
      </c>
      <c r="J14">
        <f t="shared" ca="1" si="3"/>
        <v>0</v>
      </c>
      <c r="K14">
        <f t="shared" ca="1" si="4"/>
        <v>1</v>
      </c>
      <c r="L14">
        <f t="shared" ca="1" si="5"/>
        <v>0</v>
      </c>
      <c r="M14">
        <f t="shared" ca="1" si="6"/>
        <v>0</v>
      </c>
    </row>
    <row r="15" spans="1:18" x14ac:dyDescent="0.25">
      <c r="A15">
        <v>18027</v>
      </c>
      <c r="B15" t="str">
        <f ca="1">OFFSET(park_dem_calibrtd_by_hour!B$1,MATCH(A15,park_dem_calibrtd_by_hour!A:A,0)-1,0)</f>
        <v>Daviess County</v>
      </c>
      <c r="C15">
        <f ca="1">OFFSET(park_dem_calibrtd_by_hour!G$1,MATCH(A15,park_dem_calibrtd_by_hour!A:A,0)-1,0)</f>
        <v>15</v>
      </c>
      <c r="D15" s="3">
        <f>_xlfn.MAXIFS(park_dem_calibrtd_by_hour!D:D,park_dem_calibrtd_by_hour!$A:$A,$A15)</f>
        <v>22.294132179561057</v>
      </c>
      <c r="E15" s="3">
        <f>SUMIFS(park_dem_calibrtd_by_hour!D:D,park_dem_calibrtd_by_hour!$A:$A,$A15)</f>
        <v>452.3362081695148</v>
      </c>
      <c r="F15" s="3">
        <f>SUMIFS(park_dem_calibrtd_by_hour!E:E,park_dem_calibrtd_by_hour!$A:$A,$A15)</f>
        <v>115.43080279812212</v>
      </c>
      <c r="G15" s="3">
        <f t="shared" si="0"/>
        <v>567.76701096763691</v>
      </c>
      <c r="H15" s="5">
        <f t="shared" si="1"/>
        <v>0.20330663911134095</v>
      </c>
      <c r="I15" s="5">
        <f t="shared" ca="1" si="2"/>
        <v>1.4862754786374037</v>
      </c>
      <c r="J15">
        <f t="shared" ca="1" si="3"/>
        <v>0</v>
      </c>
      <c r="K15">
        <f t="shared" ca="1" si="4"/>
        <v>1</v>
      </c>
      <c r="L15">
        <f t="shared" ca="1" si="5"/>
        <v>0</v>
      </c>
      <c r="M15">
        <f t="shared" ca="1" si="6"/>
        <v>0</v>
      </c>
    </row>
    <row r="16" spans="1:18" x14ac:dyDescent="0.25">
      <c r="A16">
        <v>18029</v>
      </c>
      <c r="B16" t="str">
        <f ca="1">OFFSET(park_dem_calibrtd_by_hour!B$1,MATCH(A16,park_dem_calibrtd_by_hour!A:A,0)-1,0)</f>
        <v>Dearborn County</v>
      </c>
      <c r="C16">
        <f ca="1">OFFSET(park_dem_calibrtd_by_hour!G$1,MATCH(A16,park_dem_calibrtd_by_hour!A:A,0)-1,0)</f>
        <v>85</v>
      </c>
      <c r="D16" s="3">
        <f>_xlfn.MAXIFS(park_dem_calibrtd_by_hour!D:D,park_dem_calibrtd_by_hour!$A:$A,$A16)</f>
        <v>28.396913302403675</v>
      </c>
      <c r="E16" s="3">
        <f>SUMIFS(park_dem_calibrtd_by_hour!D:D,park_dem_calibrtd_by_hour!$A:$A,$A16)</f>
        <v>479.94998947274428</v>
      </c>
      <c r="F16" s="3">
        <f>SUMIFS(park_dem_calibrtd_by_hour!E:E,park_dem_calibrtd_by_hour!$A:$A,$A16)</f>
        <v>103.93040334159075</v>
      </c>
      <c r="G16" s="3">
        <f t="shared" si="0"/>
        <v>583.88039281433498</v>
      </c>
      <c r="H16" s="5">
        <f t="shared" si="1"/>
        <v>0.17799947492780258</v>
      </c>
      <c r="I16" s="5">
        <f t="shared" ca="1" si="2"/>
        <v>0.33408133296945502</v>
      </c>
      <c r="J16">
        <f t="shared" ca="1" si="3"/>
        <v>0</v>
      </c>
      <c r="K16">
        <f t="shared" ca="1" si="4"/>
        <v>0</v>
      </c>
      <c r="L16">
        <f t="shared" ca="1" si="5"/>
        <v>1</v>
      </c>
      <c r="M16">
        <f t="shared" ca="1" si="6"/>
        <v>0</v>
      </c>
    </row>
    <row r="17" spans="1:13" x14ac:dyDescent="0.25">
      <c r="A17">
        <v>18031</v>
      </c>
      <c r="B17" t="str">
        <f ca="1">OFFSET(park_dem_calibrtd_by_hour!B$1,MATCH(A17,park_dem_calibrtd_by_hour!A:A,0)-1,0)</f>
        <v>Decatur County</v>
      </c>
      <c r="C17">
        <f ca="1">OFFSET(park_dem_calibrtd_by_hour!G$1,MATCH(A17,park_dem_calibrtd_by_hour!A:A,0)-1,0)</f>
        <v>209</v>
      </c>
      <c r="D17" s="3">
        <f>_xlfn.MAXIFS(park_dem_calibrtd_by_hour!D:D,park_dem_calibrtd_by_hour!$A:$A,$A17)</f>
        <v>248.07149234421254</v>
      </c>
      <c r="E17" s="3">
        <f>SUMIFS(park_dem_calibrtd_by_hour!D:D,park_dem_calibrtd_by_hour!$A:$A,$A17)</f>
        <v>4430.0847305609977</v>
      </c>
      <c r="F17" s="3">
        <f>SUMIFS(park_dem_calibrtd_by_hour!E:E,park_dem_calibrtd_by_hour!$A:$A,$A17)</f>
        <v>143.0567299041987</v>
      </c>
      <c r="G17" s="3">
        <f t="shared" si="0"/>
        <v>4573.1414604651964</v>
      </c>
      <c r="H17" s="5">
        <f t="shared" si="1"/>
        <v>3.1281938496966255E-2</v>
      </c>
      <c r="I17" s="5">
        <f t="shared" ca="1" si="2"/>
        <v>1.186944939445993</v>
      </c>
      <c r="J17">
        <f t="shared" ca="1" si="3"/>
        <v>1</v>
      </c>
      <c r="K17">
        <f t="shared" ca="1" si="4"/>
        <v>0</v>
      </c>
      <c r="L17">
        <f t="shared" ca="1" si="5"/>
        <v>0</v>
      </c>
      <c r="M17">
        <f t="shared" ca="1" si="6"/>
        <v>0</v>
      </c>
    </row>
    <row r="18" spans="1:13" x14ac:dyDescent="0.25">
      <c r="A18">
        <v>18033</v>
      </c>
      <c r="B18" t="str">
        <f ca="1">OFFSET(park_dem_calibrtd_by_hour!B$1,MATCH(A18,park_dem_calibrtd_by_hour!A:A,0)-1,0)</f>
        <v>DeKalb County</v>
      </c>
      <c r="C18">
        <f ca="1">OFFSET(park_dem_calibrtd_by_hour!G$1,MATCH(A18,park_dem_calibrtd_by_hour!A:A,0)-1,0)</f>
        <v>230</v>
      </c>
      <c r="D18" s="3">
        <f>_xlfn.MAXIFS(park_dem_calibrtd_by_hour!D:D,park_dem_calibrtd_by_hour!$A:$A,$A18)</f>
        <v>89.496815608238506</v>
      </c>
      <c r="E18" s="3">
        <f>SUMIFS(park_dem_calibrtd_by_hour!D:D,park_dem_calibrtd_by_hour!$A:$A,$A18)</f>
        <v>1553.6850591443877</v>
      </c>
      <c r="F18" s="3">
        <f>SUMIFS(park_dem_calibrtd_by_hour!E:E,park_dem_calibrtd_by_hour!$A:$A,$A18)</f>
        <v>93.869955461822954</v>
      </c>
      <c r="G18" s="3">
        <f t="shared" si="0"/>
        <v>1647.5550146062105</v>
      </c>
      <c r="H18" s="5">
        <f t="shared" si="1"/>
        <v>5.6975308641975288E-2</v>
      </c>
      <c r="I18" s="5">
        <f t="shared" ca="1" si="2"/>
        <v>0.38911658960103701</v>
      </c>
      <c r="J18">
        <f t="shared" ca="1" si="3"/>
        <v>0</v>
      </c>
      <c r="K18">
        <f t="shared" ca="1" si="4"/>
        <v>0</v>
      </c>
      <c r="L18">
        <f t="shared" ca="1" si="5"/>
        <v>1</v>
      </c>
      <c r="M18">
        <f t="shared" ca="1" si="6"/>
        <v>0</v>
      </c>
    </row>
    <row r="19" spans="1:13" x14ac:dyDescent="0.25">
      <c r="A19">
        <v>18035</v>
      </c>
      <c r="B19" t="str">
        <f ca="1">OFFSET(park_dem_calibrtd_by_hour!B$1,MATCH(A19,park_dem_calibrtd_by_hour!A:A,0)-1,0)</f>
        <v>Delaware County</v>
      </c>
      <c r="C19">
        <f ca="1">OFFSET(park_dem_calibrtd_by_hour!G$1,MATCH(A19,park_dem_calibrtd_by_hour!A:A,0)-1,0)</f>
        <v>465</v>
      </c>
      <c r="D19" s="3">
        <f>_xlfn.MAXIFS(park_dem_calibrtd_by_hour!D:D,park_dem_calibrtd_by_hour!$A:$A,$A19)</f>
        <v>306.4522718880462</v>
      </c>
      <c r="E19" s="3">
        <f>SUMIFS(park_dem_calibrtd_by_hour!D:D,park_dem_calibrtd_by_hour!$A:$A,$A19)</f>
        <v>5343.5561387213056</v>
      </c>
      <c r="F19" s="3">
        <f>SUMIFS(park_dem_calibrtd_by_hour!E:E,park_dem_calibrtd_by_hour!$A:$A,$A19)</f>
        <v>117.39493000173771</v>
      </c>
      <c r="G19" s="3">
        <f t="shared" si="0"/>
        <v>5460.9510687230431</v>
      </c>
      <c r="H19" s="5">
        <f t="shared" si="1"/>
        <v>2.1497158374866862E-2</v>
      </c>
      <c r="I19" s="5">
        <f t="shared" ca="1" si="2"/>
        <v>0.65903714384526069</v>
      </c>
      <c r="J19">
        <f t="shared" ca="1" si="3"/>
        <v>0</v>
      </c>
      <c r="K19">
        <f t="shared" ca="1" si="4"/>
        <v>0</v>
      </c>
      <c r="L19">
        <f t="shared" ca="1" si="5"/>
        <v>1</v>
      </c>
      <c r="M19">
        <f t="shared" ca="1" si="6"/>
        <v>0</v>
      </c>
    </row>
    <row r="20" spans="1:13" x14ac:dyDescent="0.25">
      <c r="A20">
        <v>18037</v>
      </c>
      <c r="B20" t="str">
        <f ca="1">OFFSET(park_dem_calibrtd_by_hour!B$1,MATCH(A20,park_dem_calibrtd_by_hour!A:A,0)-1,0)</f>
        <v>Dubois County</v>
      </c>
      <c r="C20">
        <f ca="1">OFFSET(park_dem_calibrtd_by_hour!G$1,MATCH(A20,park_dem_calibrtd_by_hour!A:A,0)-1,0)</f>
        <v>35</v>
      </c>
      <c r="D20" s="3">
        <f>_xlfn.MAXIFS(park_dem_calibrtd_by_hour!D:D,park_dem_calibrtd_by_hour!$A:$A,$A20)</f>
        <v>27.789697970962827</v>
      </c>
      <c r="E20" s="3">
        <f>SUMIFS(park_dem_calibrtd_by_hour!D:D,park_dem_calibrtd_by_hour!$A:$A,$A20)</f>
        <v>595.68207471266942</v>
      </c>
      <c r="F20" s="3">
        <f>SUMIFS(park_dem_calibrtd_by_hour!E:E,park_dem_calibrtd_by_hour!$A:$A,$A20)</f>
        <v>193.28138219382026</v>
      </c>
      <c r="G20" s="3">
        <f t="shared" si="0"/>
        <v>788.96345690648968</v>
      </c>
      <c r="H20" s="5">
        <f t="shared" si="1"/>
        <v>0.24498141263940512</v>
      </c>
      <c r="I20" s="5">
        <f t="shared" ca="1" si="2"/>
        <v>0.79399137059893787</v>
      </c>
      <c r="J20">
        <f t="shared" ca="1" si="3"/>
        <v>0</v>
      </c>
      <c r="K20">
        <f t="shared" ca="1" si="4"/>
        <v>1</v>
      </c>
      <c r="L20">
        <f t="shared" ca="1" si="5"/>
        <v>0</v>
      </c>
      <c r="M20">
        <f t="shared" ca="1" si="6"/>
        <v>0</v>
      </c>
    </row>
    <row r="21" spans="1:13" x14ac:dyDescent="0.25">
      <c r="A21">
        <v>18039</v>
      </c>
      <c r="B21" t="str">
        <f ca="1">OFFSET(park_dem_calibrtd_by_hour!B$1,MATCH(A21,park_dem_calibrtd_by_hour!A:A,0)-1,0)</f>
        <v>Elkhart County</v>
      </c>
      <c r="C21">
        <f ca="1">OFFSET(park_dem_calibrtd_by_hour!G$1,MATCH(A21,park_dem_calibrtd_by_hour!A:A,0)-1,0)</f>
        <v>674</v>
      </c>
      <c r="D21" s="3">
        <f>_xlfn.MAXIFS(park_dem_calibrtd_by_hour!D:D,park_dem_calibrtd_by_hour!$A:$A,$A21)</f>
        <v>439.91155435179684</v>
      </c>
      <c r="E21" s="3">
        <f>SUMIFS(park_dem_calibrtd_by_hour!D:D,park_dem_calibrtd_by_hour!$A:$A,$A21)</f>
        <v>6851.0836624569047</v>
      </c>
      <c r="F21" s="3">
        <f>SUMIFS(park_dem_calibrtd_by_hour!E:E,park_dem_calibrtd_by_hour!$A:$A,$A21)</f>
        <v>672.92522492776357</v>
      </c>
      <c r="G21" s="3">
        <f t="shared" si="0"/>
        <v>7524.008887384668</v>
      </c>
      <c r="H21" s="5">
        <f t="shared" si="1"/>
        <v>8.9437058754149229E-2</v>
      </c>
      <c r="I21" s="5">
        <f t="shared" ca="1" si="2"/>
        <v>0.65268776610058876</v>
      </c>
      <c r="J21">
        <f t="shared" ca="1" si="3"/>
        <v>0</v>
      </c>
      <c r="K21">
        <f t="shared" ca="1" si="4"/>
        <v>0</v>
      </c>
      <c r="L21">
        <f t="shared" ca="1" si="5"/>
        <v>1</v>
      </c>
      <c r="M21">
        <f t="shared" ca="1" si="6"/>
        <v>0</v>
      </c>
    </row>
    <row r="22" spans="1:13" x14ac:dyDescent="0.25">
      <c r="A22">
        <v>18041</v>
      </c>
      <c r="B22" t="str">
        <f ca="1">OFFSET(park_dem_calibrtd_by_hour!B$1,MATCH(A22,park_dem_calibrtd_by_hour!A:A,0)-1,0)</f>
        <v>Fayette County</v>
      </c>
      <c r="C22">
        <f ca="1">OFFSET(park_dem_calibrtd_by_hour!G$1,MATCH(A22,park_dem_calibrtd_by_hour!A:A,0)-1,0)</f>
        <v>0</v>
      </c>
      <c r="D22" s="3">
        <f>_xlfn.MAXIFS(park_dem_calibrtd_by_hour!D:D,park_dem_calibrtd_by_hour!$A:$A,$A22)</f>
        <v>0</v>
      </c>
      <c r="E22" s="3">
        <f>SUMIFS(park_dem_calibrtd_by_hour!D:D,park_dem_calibrtd_by_hour!$A:$A,$A22)</f>
        <v>0</v>
      </c>
      <c r="F22" s="3">
        <f>SUMIFS(park_dem_calibrtd_by_hour!E:E,park_dem_calibrtd_by_hour!$A:$A,$A22)</f>
        <v>15.014634968954569</v>
      </c>
      <c r="G22" s="3">
        <f t="shared" si="0"/>
        <v>15.014634968954569</v>
      </c>
      <c r="H22" s="5">
        <f t="shared" si="1"/>
        <v>1</v>
      </c>
      <c r="I22" s="5" t="e">
        <f t="shared" ca="1" si="2"/>
        <v>#DIV/0!</v>
      </c>
      <c r="J22">
        <f t="shared" ca="1" si="3"/>
        <v>0</v>
      </c>
      <c r="K22">
        <f t="shared" ca="1" si="4"/>
        <v>0</v>
      </c>
      <c r="L22">
        <f t="shared" ca="1" si="5"/>
        <v>0</v>
      </c>
      <c r="M22">
        <f t="shared" ca="1" si="6"/>
        <v>1</v>
      </c>
    </row>
    <row r="23" spans="1:13" x14ac:dyDescent="0.25">
      <c r="A23">
        <v>18043</v>
      </c>
      <c r="B23" t="str">
        <f ca="1">OFFSET(park_dem_calibrtd_by_hour!B$1,MATCH(A23,park_dem_calibrtd_by_hour!A:A,0)-1,0)</f>
        <v>Floyd County</v>
      </c>
      <c r="C23">
        <f ca="1">OFFSET(park_dem_calibrtd_by_hour!G$1,MATCH(A23,park_dem_calibrtd_by_hour!A:A,0)-1,0)</f>
        <v>86</v>
      </c>
      <c r="D23" s="3">
        <f>_xlfn.MAXIFS(park_dem_calibrtd_by_hour!D:D,park_dem_calibrtd_by_hour!$A:$A,$A23)</f>
        <v>7.1534829149735852</v>
      </c>
      <c r="E23" s="3">
        <f>SUMIFS(park_dem_calibrtd_by_hour!D:D,park_dem_calibrtd_by_hour!$A:$A,$A23)</f>
        <v>140.47599782737603</v>
      </c>
      <c r="F23" s="3">
        <f>SUMIFS(park_dem_calibrtd_by_hour!E:E,park_dem_calibrtd_by_hour!$A:$A,$A23)</f>
        <v>54.027620963089888</v>
      </c>
      <c r="G23" s="3">
        <f t="shared" si="0"/>
        <v>194.50361879046591</v>
      </c>
      <c r="H23" s="5">
        <f t="shared" si="1"/>
        <v>0.27777180341972224</v>
      </c>
      <c r="I23" s="5">
        <f t="shared" ca="1" si="2"/>
        <v>8.3180033895041694E-2</v>
      </c>
      <c r="J23">
        <f t="shared" ca="1" si="3"/>
        <v>0</v>
      </c>
      <c r="K23">
        <f t="shared" ca="1" si="4"/>
        <v>0</v>
      </c>
      <c r="L23">
        <f t="shared" ca="1" si="5"/>
        <v>1</v>
      </c>
      <c r="M23">
        <f t="shared" ca="1" si="6"/>
        <v>0</v>
      </c>
    </row>
    <row r="24" spans="1:13" x14ac:dyDescent="0.25">
      <c r="A24">
        <v>18045</v>
      </c>
      <c r="B24" t="str">
        <f ca="1">OFFSET(park_dem_calibrtd_by_hour!B$1,MATCH(A24,park_dem_calibrtd_by_hour!A:A,0)-1,0)</f>
        <v>Fountain County</v>
      </c>
      <c r="C24">
        <f ca="1">OFFSET(park_dem_calibrtd_by_hour!G$1,MATCH(A24,park_dem_calibrtd_by_hour!A:A,0)-1,0)</f>
        <v>0</v>
      </c>
      <c r="D24" s="3">
        <f>_xlfn.MAXIFS(park_dem_calibrtd_by_hour!D:D,park_dem_calibrtd_by_hour!$A:$A,$A24)</f>
        <v>0</v>
      </c>
      <c r="E24" s="3">
        <f>SUMIFS(park_dem_calibrtd_by_hour!D:D,park_dem_calibrtd_by_hour!$A:$A,$A24)</f>
        <v>0</v>
      </c>
      <c r="F24" s="3">
        <f>SUMIFS(park_dem_calibrtd_by_hour!E:E,park_dem_calibrtd_by_hour!$A:$A,$A24)</f>
        <v>69.108223516715498</v>
      </c>
      <c r="G24" s="3">
        <f t="shared" si="0"/>
        <v>69.108223516715498</v>
      </c>
      <c r="H24" s="5">
        <f t="shared" si="1"/>
        <v>1</v>
      </c>
      <c r="I24" s="5" t="e">
        <f t="shared" ca="1" si="2"/>
        <v>#DIV/0!</v>
      </c>
      <c r="J24">
        <f t="shared" ca="1" si="3"/>
        <v>0</v>
      </c>
      <c r="K24">
        <f t="shared" ca="1" si="4"/>
        <v>0</v>
      </c>
      <c r="L24">
        <f t="shared" ca="1" si="5"/>
        <v>0</v>
      </c>
      <c r="M24">
        <f t="shared" ca="1" si="6"/>
        <v>1</v>
      </c>
    </row>
    <row r="25" spans="1:13" x14ac:dyDescent="0.25">
      <c r="A25">
        <v>18047</v>
      </c>
      <c r="B25" t="str">
        <f ca="1">OFFSET(park_dem_calibrtd_by_hour!B$1,MATCH(A25,park_dem_calibrtd_by_hour!A:A,0)-1,0)</f>
        <v>Franklin County</v>
      </c>
      <c r="C25">
        <f ca="1">OFFSET(park_dem_calibrtd_by_hour!G$1,MATCH(A25,park_dem_calibrtd_by_hour!A:A,0)-1,0)</f>
        <v>15</v>
      </c>
      <c r="D25" s="3">
        <f>_xlfn.MAXIFS(park_dem_calibrtd_by_hour!D:D,park_dem_calibrtd_by_hour!$A:$A,$A25)</f>
        <v>1.4916567877361604</v>
      </c>
      <c r="E25" s="3">
        <f>SUMIFS(park_dem_calibrtd_by_hour!D:D,park_dem_calibrtd_by_hour!$A:$A,$A25)</f>
        <v>15.451312763531156</v>
      </c>
      <c r="F25" s="3">
        <f>SUMIFS(park_dem_calibrtd_by_hour!E:E,park_dem_calibrtd_by_hour!$A:$A,$A25)</f>
        <v>9.653552418745333</v>
      </c>
      <c r="G25" s="3">
        <f t="shared" si="0"/>
        <v>25.104865182276491</v>
      </c>
      <c r="H25" s="5">
        <f t="shared" si="1"/>
        <v>0.38452914798206278</v>
      </c>
      <c r="I25" s="5">
        <f t="shared" ca="1" si="2"/>
        <v>9.9443785849077357E-2</v>
      </c>
      <c r="J25">
        <f t="shared" ca="1" si="3"/>
        <v>0</v>
      </c>
      <c r="K25">
        <f t="shared" ca="1" si="4"/>
        <v>0</v>
      </c>
      <c r="L25">
        <f t="shared" ca="1" si="5"/>
        <v>1</v>
      </c>
      <c r="M25">
        <f t="shared" ca="1" si="6"/>
        <v>0</v>
      </c>
    </row>
    <row r="26" spans="1:13" x14ac:dyDescent="0.25">
      <c r="A26">
        <v>18049</v>
      </c>
      <c r="B26" t="str">
        <f ca="1">OFFSET(park_dem_calibrtd_by_hour!B$1,MATCH(A26,park_dem_calibrtd_by_hour!A:A,0)-1,0)</f>
        <v>Fulton County</v>
      </c>
      <c r="C26">
        <f ca="1">OFFSET(park_dem_calibrtd_by_hour!G$1,MATCH(A26,park_dem_calibrtd_by_hour!A:A,0)-1,0)</f>
        <v>50</v>
      </c>
      <c r="D26" s="3">
        <f>_xlfn.MAXIFS(park_dem_calibrtd_by_hour!D:D,park_dem_calibrtd_by_hour!$A:$A,$A26)</f>
        <v>13.244624650812961</v>
      </c>
      <c r="E26" s="3">
        <f>SUMIFS(park_dem_calibrtd_by_hour!D:D,park_dem_calibrtd_by_hour!$A:$A,$A26)</f>
        <v>188.04096726462831</v>
      </c>
      <c r="F26" s="3">
        <f>SUMIFS(park_dem_calibrtd_by_hour!E:E,park_dem_calibrtd_by_hour!$A:$A,$A26)</f>
        <v>16.964565524961046</v>
      </c>
      <c r="G26" s="3">
        <f t="shared" si="0"/>
        <v>205.00553278958935</v>
      </c>
      <c r="H26" s="5">
        <f t="shared" si="1"/>
        <v>8.2751744765702948E-2</v>
      </c>
      <c r="I26" s="5">
        <f t="shared" ca="1" si="2"/>
        <v>0.26489249301625922</v>
      </c>
      <c r="J26">
        <f t="shared" ca="1" si="3"/>
        <v>0</v>
      </c>
      <c r="K26">
        <f t="shared" ca="1" si="4"/>
        <v>0</v>
      </c>
      <c r="L26">
        <f t="shared" ca="1" si="5"/>
        <v>1</v>
      </c>
      <c r="M26">
        <f t="shared" ca="1" si="6"/>
        <v>0</v>
      </c>
    </row>
    <row r="27" spans="1:13" x14ac:dyDescent="0.25">
      <c r="A27">
        <v>18051</v>
      </c>
      <c r="B27" t="str">
        <f ca="1">OFFSET(park_dem_calibrtd_by_hour!B$1,MATCH(A27,park_dem_calibrtd_by_hour!A:A,0)-1,0)</f>
        <v>Gibson County</v>
      </c>
      <c r="C27">
        <f ca="1">OFFSET(park_dem_calibrtd_by_hour!G$1,MATCH(A27,park_dem_calibrtd_by_hour!A:A,0)-1,0)</f>
        <v>380</v>
      </c>
      <c r="D27" s="3">
        <f>_xlfn.MAXIFS(park_dem_calibrtd_by_hour!D:D,park_dem_calibrtd_by_hour!$A:$A,$A27)</f>
        <v>255.02926626467871</v>
      </c>
      <c r="E27" s="3">
        <f>SUMIFS(park_dem_calibrtd_by_hour!D:D,park_dem_calibrtd_by_hour!$A:$A,$A27)</f>
        <v>4440.7766256357581</v>
      </c>
      <c r="F27" s="3">
        <f>SUMIFS(park_dem_calibrtd_by_hour!E:E,park_dem_calibrtd_by_hour!$A:$A,$A27)</f>
        <v>75.258730448421062</v>
      </c>
      <c r="G27" s="3">
        <f t="shared" si="0"/>
        <v>4516.0353560841795</v>
      </c>
      <c r="H27" s="5">
        <f t="shared" si="1"/>
        <v>1.666477884125277E-2</v>
      </c>
      <c r="I27" s="5">
        <f t="shared" ca="1" si="2"/>
        <v>0.67112964806494402</v>
      </c>
      <c r="J27">
        <f t="shared" ca="1" si="3"/>
        <v>0</v>
      </c>
      <c r="K27">
        <f t="shared" ca="1" si="4"/>
        <v>0</v>
      </c>
      <c r="L27">
        <f t="shared" ca="1" si="5"/>
        <v>1</v>
      </c>
      <c r="M27">
        <f t="shared" ca="1" si="6"/>
        <v>0</v>
      </c>
    </row>
    <row r="28" spans="1:13" x14ac:dyDescent="0.25">
      <c r="A28">
        <v>18053</v>
      </c>
      <c r="B28" t="str">
        <f ca="1">OFFSET(park_dem_calibrtd_by_hour!B$1,MATCH(A28,park_dem_calibrtd_by_hour!A:A,0)-1,0)</f>
        <v>Grant County</v>
      </c>
      <c r="C28">
        <f ca="1">OFFSET(park_dem_calibrtd_by_hour!G$1,MATCH(A28,park_dem_calibrtd_by_hour!A:A,0)-1,0)</f>
        <v>149</v>
      </c>
      <c r="D28" s="3">
        <f>_xlfn.MAXIFS(park_dem_calibrtd_by_hour!D:D,park_dem_calibrtd_by_hour!$A:$A,$A28)</f>
        <v>96.936107564576446</v>
      </c>
      <c r="E28" s="3">
        <f>SUMIFS(park_dem_calibrtd_by_hour!D:D,park_dem_calibrtd_by_hour!$A:$A,$A28)</f>
        <v>1791.3682139451937</v>
      </c>
      <c r="F28" s="3">
        <f>SUMIFS(park_dem_calibrtd_by_hour!E:E,park_dem_calibrtd_by_hour!$A:$A,$A28)</f>
        <v>97.151043501527113</v>
      </c>
      <c r="G28" s="3">
        <f t="shared" si="0"/>
        <v>1888.5192574467208</v>
      </c>
      <c r="H28" s="5">
        <f t="shared" si="1"/>
        <v>5.1442972116088129E-2</v>
      </c>
      <c r="I28" s="5">
        <f t="shared" ca="1" si="2"/>
        <v>0.65057790311796271</v>
      </c>
      <c r="J28">
        <f t="shared" ca="1" si="3"/>
        <v>0</v>
      </c>
      <c r="K28">
        <f t="shared" ca="1" si="4"/>
        <v>0</v>
      </c>
      <c r="L28">
        <f t="shared" ca="1" si="5"/>
        <v>1</v>
      </c>
      <c r="M28">
        <f t="shared" ca="1" si="6"/>
        <v>0</v>
      </c>
    </row>
    <row r="29" spans="1:13" x14ac:dyDescent="0.25">
      <c r="A29">
        <v>18055</v>
      </c>
      <c r="B29" t="str">
        <f ca="1">OFFSET(park_dem_calibrtd_by_hour!B$1,MATCH(A29,park_dem_calibrtd_by_hour!A:A,0)-1,0)</f>
        <v>Greene County</v>
      </c>
      <c r="C29">
        <f ca="1">OFFSET(park_dem_calibrtd_by_hour!G$1,MATCH(A29,park_dem_calibrtd_by_hour!A:A,0)-1,0)</f>
        <v>43</v>
      </c>
      <c r="D29" s="3">
        <f>_xlfn.MAXIFS(park_dem_calibrtd_by_hour!D:D,park_dem_calibrtd_by_hour!$A:$A,$A29)</f>
        <v>4.815235131070164</v>
      </c>
      <c r="E29" s="3">
        <f>SUMIFS(park_dem_calibrtd_by_hour!D:D,park_dem_calibrtd_by_hour!$A:$A,$A29)</f>
        <v>77.286955790610989</v>
      </c>
      <c r="F29" s="3">
        <f>SUMIFS(park_dem_calibrtd_by_hour!E:E,park_dem_calibrtd_by_hour!$A:$A,$A29)</f>
        <v>79.597295878750728</v>
      </c>
      <c r="G29" s="3">
        <f t="shared" si="0"/>
        <v>156.88425166936173</v>
      </c>
      <c r="H29" s="5">
        <f t="shared" si="1"/>
        <v>0.50736319950395292</v>
      </c>
      <c r="I29" s="5">
        <f t="shared" ca="1" si="2"/>
        <v>0.11198221235046893</v>
      </c>
      <c r="J29">
        <f t="shared" ca="1" si="3"/>
        <v>0</v>
      </c>
      <c r="K29">
        <f t="shared" ca="1" si="4"/>
        <v>0</v>
      </c>
      <c r="L29">
        <f t="shared" ca="1" si="5"/>
        <v>1</v>
      </c>
      <c r="M29">
        <f t="shared" ca="1" si="6"/>
        <v>0</v>
      </c>
    </row>
    <row r="30" spans="1:13" x14ac:dyDescent="0.25">
      <c r="A30">
        <v>18057</v>
      </c>
      <c r="B30" t="str">
        <f ca="1">OFFSET(park_dem_calibrtd_by_hour!B$1,MATCH(A30,park_dem_calibrtd_by_hour!A:A,0)-1,0)</f>
        <v>Hamilton County</v>
      </c>
      <c r="C30">
        <f ca="1">OFFSET(park_dem_calibrtd_by_hour!G$1,MATCH(A30,park_dem_calibrtd_by_hour!A:A,0)-1,0)</f>
        <v>40</v>
      </c>
      <c r="D30" s="3">
        <f>_xlfn.MAXIFS(park_dem_calibrtd_by_hour!D:D,park_dem_calibrtd_by_hour!$A:$A,$A30)</f>
        <v>10.432305672801775</v>
      </c>
      <c r="E30" s="3">
        <f>SUMIFS(park_dem_calibrtd_by_hour!D:D,park_dem_calibrtd_by_hour!$A:$A,$A30)</f>
        <v>155.77823106209735</v>
      </c>
      <c r="F30" s="3">
        <f>SUMIFS(park_dem_calibrtd_by_hour!E:E,park_dem_calibrtd_by_hour!$A:$A,$A30)</f>
        <v>110.08255881821026</v>
      </c>
      <c r="G30" s="3">
        <f t="shared" si="0"/>
        <v>265.86078988030761</v>
      </c>
      <c r="H30" s="5">
        <f t="shared" si="1"/>
        <v>0.41406090333128925</v>
      </c>
      <c r="I30" s="5">
        <f t="shared" ca="1" si="2"/>
        <v>0.26080764182004434</v>
      </c>
      <c r="J30">
        <f t="shared" ca="1" si="3"/>
        <v>0</v>
      </c>
      <c r="K30">
        <f t="shared" ca="1" si="4"/>
        <v>0</v>
      </c>
      <c r="L30">
        <f t="shared" ca="1" si="5"/>
        <v>1</v>
      </c>
      <c r="M30">
        <f t="shared" ca="1" si="6"/>
        <v>0</v>
      </c>
    </row>
    <row r="31" spans="1:13" x14ac:dyDescent="0.25">
      <c r="A31">
        <v>18059</v>
      </c>
      <c r="B31" t="str">
        <f ca="1">OFFSET(park_dem_calibrtd_by_hour!B$1,MATCH(A31,park_dem_calibrtd_by_hour!A:A,0)-1,0)</f>
        <v>Hancock County</v>
      </c>
      <c r="C31">
        <f ca="1">OFFSET(park_dem_calibrtd_by_hour!G$1,MATCH(A31,park_dem_calibrtd_by_hour!A:A,0)-1,0)</f>
        <v>540</v>
      </c>
      <c r="D31" s="3">
        <f>_xlfn.MAXIFS(park_dem_calibrtd_by_hour!D:D,park_dem_calibrtd_by_hour!$A:$A,$A31)</f>
        <v>321.08368925282718</v>
      </c>
      <c r="E31" s="3">
        <f>SUMIFS(park_dem_calibrtd_by_hour!D:D,park_dem_calibrtd_by_hour!$A:$A,$A31)</f>
        <v>5166.2208813576199</v>
      </c>
      <c r="F31" s="3">
        <f>SUMIFS(park_dem_calibrtd_by_hour!E:E,park_dem_calibrtd_by_hour!$A:$A,$A31)</f>
        <v>367.45969371442811</v>
      </c>
      <c r="G31" s="3">
        <f t="shared" si="0"/>
        <v>5533.6805750720478</v>
      </c>
      <c r="H31" s="5">
        <f t="shared" si="1"/>
        <v>6.6404211216988043E-2</v>
      </c>
      <c r="I31" s="5">
        <f t="shared" ca="1" si="2"/>
        <v>0.59459942454227255</v>
      </c>
      <c r="J31">
        <f t="shared" ca="1" si="3"/>
        <v>0</v>
      </c>
      <c r="K31">
        <f t="shared" ca="1" si="4"/>
        <v>0</v>
      </c>
      <c r="L31">
        <f t="shared" ca="1" si="5"/>
        <v>1</v>
      </c>
      <c r="M31">
        <f t="shared" ca="1" si="6"/>
        <v>0</v>
      </c>
    </row>
    <row r="32" spans="1:13" x14ac:dyDescent="0.25">
      <c r="A32">
        <v>18061</v>
      </c>
      <c r="B32" t="str">
        <f ca="1">OFFSET(park_dem_calibrtd_by_hour!B$1,MATCH(A32,park_dem_calibrtd_by_hour!A:A,0)-1,0)</f>
        <v>Harrison County</v>
      </c>
      <c r="C32">
        <f ca="1">OFFSET(park_dem_calibrtd_by_hour!G$1,MATCH(A32,park_dem_calibrtd_by_hour!A:A,0)-1,0)</f>
        <v>0</v>
      </c>
      <c r="D32" s="3">
        <f>_xlfn.MAXIFS(park_dem_calibrtd_by_hour!D:D,park_dem_calibrtd_by_hour!$A:$A,$A32)</f>
        <v>0</v>
      </c>
      <c r="E32" s="3">
        <f>SUMIFS(park_dem_calibrtd_by_hour!D:D,park_dem_calibrtd_by_hour!$A:$A,$A32)</f>
        <v>0</v>
      </c>
      <c r="F32" s="3">
        <f>SUMIFS(park_dem_calibrtd_by_hour!E:E,park_dem_calibrtd_by_hour!$A:$A,$A32)</f>
        <v>67.084629942987959</v>
      </c>
      <c r="G32" s="3">
        <f t="shared" si="0"/>
        <v>67.084629942987959</v>
      </c>
      <c r="H32" s="5">
        <f t="shared" si="1"/>
        <v>1</v>
      </c>
      <c r="I32" s="5" t="e">
        <f t="shared" ca="1" si="2"/>
        <v>#DIV/0!</v>
      </c>
      <c r="J32">
        <f t="shared" ca="1" si="3"/>
        <v>0</v>
      </c>
      <c r="K32">
        <f t="shared" ca="1" si="4"/>
        <v>0</v>
      </c>
      <c r="L32">
        <f t="shared" ca="1" si="5"/>
        <v>0</v>
      </c>
      <c r="M32">
        <f t="shared" ca="1" si="6"/>
        <v>1</v>
      </c>
    </row>
    <row r="33" spans="1:13" x14ac:dyDescent="0.25">
      <c r="A33">
        <v>18063</v>
      </c>
      <c r="B33" t="str">
        <f ca="1">OFFSET(park_dem_calibrtd_by_hour!B$1,MATCH(A33,park_dem_calibrtd_by_hour!A:A,0)-1,0)</f>
        <v>Hendricks County</v>
      </c>
      <c r="C33">
        <f ca="1">OFFSET(park_dem_calibrtd_by_hour!G$1,MATCH(A33,park_dem_calibrtd_by_hour!A:A,0)-1,0)</f>
        <v>409</v>
      </c>
      <c r="D33" s="3">
        <f>_xlfn.MAXIFS(park_dem_calibrtd_by_hour!D:D,park_dem_calibrtd_by_hour!$A:$A,$A33)</f>
        <v>390.66451017719277</v>
      </c>
      <c r="E33" s="3">
        <f>SUMIFS(park_dem_calibrtd_by_hour!D:D,park_dem_calibrtd_by_hour!$A:$A,$A33)</f>
        <v>7490.8252725651791</v>
      </c>
      <c r="F33" s="3">
        <f>SUMIFS(park_dem_calibrtd_by_hour!E:E,park_dem_calibrtd_by_hour!$A:$A,$A33)</f>
        <v>539.23133952965804</v>
      </c>
      <c r="G33" s="3">
        <f t="shared" si="0"/>
        <v>8030.056612094837</v>
      </c>
      <c r="H33" s="5">
        <f t="shared" si="1"/>
        <v>6.7151623653246742E-2</v>
      </c>
      <c r="I33" s="5">
        <f t="shared" ca="1" si="2"/>
        <v>0.95516995153347861</v>
      </c>
      <c r="J33">
        <f t="shared" ca="1" si="3"/>
        <v>1</v>
      </c>
      <c r="K33">
        <f t="shared" ca="1" si="4"/>
        <v>0</v>
      </c>
      <c r="L33">
        <f t="shared" ca="1" si="5"/>
        <v>0</v>
      </c>
      <c r="M33">
        <f t="shared" ca="1" si="6"/>
        <v>0</v>
      </c>
    </row>
    <row r="34" spans="1:13" x14ac:dyDescent="0.25">
      <c r="A34">
        <v>18065</v>
      </c>
      <c r="B34" t="str">
        <f ca="1">OFFSET(park_dem_calibrtd_by_hour!B$1,MATCH(A34,park_dem_calibrtd_by_hour!A:A,0)-1,0)</f>
        <v>Henry County</v>
      </c>
      <c r="C34">
        <f ca="1">OFFSET(park_dem_calibrtd_by_hour!G$1,MATCH(A34,park_dem_calibrtd_by_hour!A:A,0)-1,0)</f>
        <v>449</v>
      </c>
      <c r="D34" s="3">
        <f>_xlfn.MAXIFS(park_dem_calibrtd_by_hour!D:D,park_dem_calibrtd_by_hour!$A:$A,$A34)</f>
        <v>351.37399722839035</v>
      </c>
      <c r="E34" s="3">
        <f>SUMIFS(park_dem_calibrtd_by_hour!D:D,park_dem_calibrtd_by_hour!$A:$A,$A34)</f>
        <v>6135.6802560954575</v>
      </c>
      <c r="F34" s="3">
        <f>SUMIFS(park_dem_calibrtd_by_hour!E:E,park_dem_calibrtd_by_hour!$A:$A,$A34)</f>
        <v>104.01698371452763</v>
      </c>
      <c r="G34" s="3">
        <f t="shared" si="0"/>
        <v>6239.6972398099851</v>
      </c>
      <c r="H34" s="5">
        <f t="shared" si="1"/>
        <v>1.6670197241444237E-2</v>
      </c>
      <c r="I34" s="5">
        <f t="shared" ca="1" si="2"/>
        <v>0.78257014972915451</v>
      </c>
      <c r="J34">
        <f t="shared" ca="1" si="3"/>
        <v>0</v>
      </c>
      <c r="K34">
        <f t="shared" ca="1" si="4"/>
        <v>1</v>
      </c>
      <c r="L34">
        <f t="shared" ca="1" si="5"/>
        <v>0</v>
      </c>
      <c r="M34">
        <f t="shared" ca="1" si="6"/>
        <v>0</v>
      </c>
    </row>
    <row r="35" spans="1:13" x14ac:dyDescent="0.25">
      <c r="A35">
        <v>18067</v>
      </c>
      <c r="B35" t="str">
        <f ca="1">OFFSET(park_dem_calibrtd_by_hour!B$1,MATCH(A35,park_dem_calibrtd_by_hour!A:A,0)-1,0)</f>
        <v>Howard County</v>
      </c>
      <c r="C35">
        <f ca="1">OFFSET(park_dem_calibrtd_by_hour!G$1,MATCH(A35,park_dem_calibrtd_by_hour!A:A,0)-1,0)</f>
        <v>0</v>
      </c>
      <c r="D35" s="3">
        <f>_xlfn.MAXIFS(park_dem_calibrtd_by_hour!D:D,park_dem_calibrtd_by_hour!$A:$A,$A35)</f>
        <v>0</v>
      </c>
      <c r="E35" s="3">
        <f>SUMIFS(park_dem_calibrtd_by_hour!D:D,park_dem_calibrtd_by_hour!$A:$A,$A35)</f>
        <v>0</v>
      </c>
      <c r="F35" s="3">
        <f>SUMIFS(park_dem_calibrtd_by_hour!E:E,park_dem_calibrtd_by_hour!$A:$A,$A35)</f>
        <v>70.144882186067974</v>
      </c>
      <c r="G35" s="3">
        <f t="shared" si="0"/>
        <v>70.144882186067974</v>
      </c>
      <c r="H35" s="5">
        <f t="shared" si="1"/>
        <v>1</v>
      </c>
      <c r="I35" s="5" t="e">
        <f t="shared" ca="1" si="2"/>
        <v>#DIV/0!</v>
      </c>
      <c r="J35">
        <f t="shared" ca="1" si="3"/>
        <v>0</v>
      </c>
      <c r="K35">
        <f t="shared" ca="1" si="4"/>
        <v>0</v>
      </c>
      <c r="L35">
        <f t="shared" ca="1" si="5"/>
        <v>0</v>
      </c>
      <c r="M35">
        <f t="shared" ca="1" si="6"/>
        <v>1</v>
      </c>
    </row>
    <row r="36" spans="1:13" x14ac:dyDescent="0.25">
      <c r="A36">
        <v>18069</v>
      </c>
      <c r="B36" t="str">
        <f ca="1">OFFSET(park_dem_calibrtd_by_hour!B$1,MATCH(A36,park_dem_calibrtd_by_hour!A:A,0)-1,0)</f>
        <v>Huntington County</v>
      </c>
      <c r="C36">
        <f ca="1">OFFSET(park_dem_calibrtd_by_hour!G$1,MATCH(A36,park_dem_calibrtd_by_hour!A:A,0)-1,0)</f>
        <v>130</v>
      </c>
      <c r="D36" s="3">
        <f>_xlfn.MAXIFS(park_dem_calibrtd_by_hour!D:D,park_dem_calibrtd_by_hour!$A:$A,$A36)</f>
        <v>30.149655183082114</v>
      </c>
      <c r="E36" s="3">
        <f>SUMIFS(park_dem_calibrtd_by_hour!D:D,park_dem_calibrtd_by_hour!$A:$A,$A36)</f>
        <v>470.32886160962744</v>
      </c>
      <c r="F36" s="3">
        <f>SUMIFS(park_dem_calibrtd_by_hour!E:E,park_dem_calibrtd_by_hour!$A:$A,$A36)</f>
        <v>70.435584123991291</v>
      </c>
      <c r="G36" s="3">
        <f t="shared" si="0"/>
        <v>540.76444573361869</v>
      </c>
      <c r="H36" s="5">
        <f t="shared" si="1"/>
        <v>0.13025187709675712</v>
      </c>
      <c r="I36" s="5">
        <f t="shared" ca="1" si="2"/>
        <v>0.23192042448524702</v>
      </c>
      <c r="J36">
        <f t="shared" ca="1" si="3"/>
        <v>0</v>
      </c>
      <c r="K36">
        <f t="shared" ca="1" si="4"/>
        <v>0</v>
      </c>
      <c r="L36">
        <f t="shared" ca="1" si="5"/>
        <v>1</v>
      </c>
      <c r="M36">
        <f t="shared" ca="1" si="6"/>
        <v>0</v>
      </c>
    </row>
    <row r="37" spans="1:13" x14ac:dyDescent="0.25">
      <c r="A37">
        <v>18071</v>
      </c>
      <c r="B37" t="str">
        <f ca="1">OFFSET(park_dem_calibrtd_by_hour!B$1,MATCH(A37,park_dem_calibrtd_by_hour!A:A,0)-1,0)</f>
        <v>Jackson County</v>
      </c>
      <c r="C37">
        <f ca="1">OFFSET(park_dem_calibrtd_by_hour!G$1,MATCH(A37,park_dem_calibrtd_by_hour!A:A,0)-1,0)</f>
        <v>189</v>
      </c>
      <c r="D37" s="3">
        <f>_xlfn.MAXIFS(park_dem_calibrtd_by_hour!D:D,park_dem_calibrtd_by_hour!$A:$A,$A37)</f>
        <v>134.82339749037979</v>
      </c>
      <c r="E37" s="3">
        <f>SUMIFS(park_dem_calibrtd_by_hour!D:D,park_dem_calibrtd_by_hour!$A:$A,$A37)</f>
        <v>2321.0069690425357</v>
      </c>
      <c r="F37" s="3">
        <f>SUMIFS(park_dem_calibrtd_by_hour!E:E,park_dem_calibrtd_by_hour!$A:$A,$A37)</f>
        <v>167.3430324215353</v>
      </c>
      <c r="G37" s="3">
        <f t="shared" si="0"/>
        <v>2488.3500014640708</v>
      </c>
      <c r="H37" s="5">
        <f t="shared" si="1"/>
        <v>6.7250600728625654E-2</v>
      </c>
      <c r="I37" s="5">
        <f t="shared" ca="1" si="2"/>
        <v>0.71335130947290892</v>
      </c>
      <c r="J37">
        <f t="shared" ca="1" si="3"/>
        <v>0</v>
      </c>
      <c r="K37">
        <f t="shared" ca="1" si="4"/>
        <v>1</v>
      </c>
      <c r="L37">
        <f t="shared" ca="1" si="5"/>
        <v>0</v>
      </c>
      <c r="M37">
        <f t="shared" ca="1" si="6"/>
        <v>0</v>
      </c>
    </row>
    <row r="38" spans="1:13" x14ac:dyDescent="0.25">
      <c r="A38">
        <v>18073</v>
      </c>
      <c r="B38" t="str">
        <f ca="1">OFFSET(park_dem_calibrtd_by_hour!B$1,MATCH(A38,park_dem_calibrtd_by_hour!A:A,0)-1,0)</f>
        <v>Jasper County</v>
      </c>
      <c r="C38">
        <f ca="1">OFFSET(park_dem_calibrtd_by_hour!G$1,MATCH(A38,park_dem_calibrtd_by_hour!A:A,0)-1,0)</f>
        <v>869</v>
      </c>
      <c r="D38" s="3">
        <f>_xlfn.MAXIFS(park_dem_calibrtd_by_hour!D:D,park_dem_calibrtd_by_hour!$A:$A,$A38)</f>
        <v>567.23004722411474</v>
      </c>
      <c r="E38" s="3">
        <f>SUMIFS(park_dem_calibrtd_by_hour!D:D,park_dem_calibrtd_by_hour!$A:$A,$A38)</f>
        <v>9623.7813437393379</v>
      </c>
      <c r="F38" s="3">
        <f>SUMIFS(park_dem_calibrtd_by_hour!E:E,park_dem_calibrtd_by_hour!$A:$A,$A38)</f>
        <v>270.30757382380784</v>
      </c>
      <c r="G38" s="3">
        <f t="shared" si="0"/>
        <v>9894.0889175631455</v>
      </c>
      <c r="H38" s="5">
        <f t="shared" si="1"/>
        <v>2.7320107599192969E-2</v>
      </c>
      <c r="I38" s="5">
        <f t="shared" ca="1" si="2"/>
        <v>0.65273883455018955</v>
      </c>
      <c r="J38">
        <f t="shared" ca="1" si="3"/>
        <v>0</v>
      </c>
      <c r="K38">
        <f t="shared" ca="1" si="4"/>
        <v>0</v>
      </c>
      <c r="L38">
        <f t="shared" ca="1" si="5"/>
        <v>1</v>
      </c>
      <c r="M38">
        <f t="shared" ca="1" si="6"/>
        <v>0</v>
      </c>
    </row>
    <row r="39" spans="1:13" x14ac:dyDescent="0.25">
      <c r="A39">
        <v>18075</v>
      </c>
      <c r="B39" t="str">
        <f ca="1">OFFSET(park_dem_calibrtd_by_hour!B$1,MATCH(A39,park_dem_calibrtd_by_hour!A:A,0)-1,0)</f>
        <v>Jay County</v>
      </c>
      <c r="C39">
        <f ca="1">OFFSET(park_dem_calibrtd_by_hour!G$1,MATCH(A39,park_dem_calibrtd_by_hour!A:A,0)-1,0)</f>
        <v>30</v>
      </c>
      <c r="D39" s="3">
        <f>_xlfn.MAXIFS(park_dem_calibrtd_by_hour!D:D,park_dem_calibrtd_by_hour!$A:$A,$A39)</f>
        <v>8.4824657120382039</v>
      </c>
      <c r="E39" s="3">
        <f>SUMIFS(park_dem_calibrtd_by_hour!D:D,park_dem_calibrtd_by_hour!$A:$A,$A39)</f>
        <v>141.65717739103806</v>
      </c>
      <c r="F39" s="3">
        <f>SUMIFS(park_dem_calibrtd_by_hour!E:E,park_dem_calibrtd_by_hour!$A:$A,$A39)</f>
        <v>15.517922567316951</v>
      </c>
      <c r="G39" s="3">
        <f t="shared" si="0"/>
        <v>157.17509995835502</v>
      </c>
      <c r="H39" s="5">
        <f t="shared" si="1"/>
        <v>9.8730158730158696E-2</v>
      </c>
      <c r="I39" s="5">
        <f t="shared" ca="1" si="2"/>
        <v>0.28274885706794012</v>
      </c>
      <c r="J39">
        <f t="shared" ca="1" si="3"/>
        <v>0</v>
      </c>
      <c r="K39">
        <f t="shared" ca="1" si="4"/>
        <v>0</v>
      </c>
      <c r="L39">
        <f t="shared" ca="1" si="5"/>
        <v>1</v>
      </c>
      <c r="M39">
        <f t="shared" ca="1" si="6"/>
        <v>0</v>
      </c>
    </row>
    <row r="40" spans="1:13" x14ac:dyDescent="0.25">
      <c r="A40">
        <v>18077</v>
      </c>
      <c r="B40" t="str">
        <f ca="1">OFFSET(park_dem_calibrtd_by_hour!B$1,MATCH(A40,park_dem_calibrtd_by_hour!A:A,0)-1,0)</f>
        <v>Jefferson County</v>
      </c>
      <c r="C40">
        <f ca="1">OFFSET(park_dem_calibrtd_by_hour!G$1,MATCH(A40,park_dem_calibrtd_by_hour!A:A,0)-1,0)</f>
        <v>0</v>
      </c>
      <c r="D40" s="3">
        <f>_xlfn.MAXIFS(park_dem_calibrtd_by_hour!D:D,park_dem_calibrtd_by_hour!$A:$A,$A40)</f>
        <v>0</v>
      </c>
      <c r="E40" s="3">
        <f>SUMIFS(park_dem_calibrtd_by_hour!D:D,park_dem_calibrtd_by_hour!$A:$A,$A40)</f>
        <v>0</v>
      </c>
      <c r="F40" s="3">
        <f>SUMIFS(park_dem_calibrtd_by_hour!E:E,park_dem_calibrtd_by_hour!$A:$A,$A40)</f>
        <v>36.871674304483072</v>
      </c>
      <c r="G40" s="3">
        <f t="shared" si="0"/>
        <v>36.871674304483072</v>
      </c>
      <c r="H40" s="5">
        <f t="shared" si="1"/>
        <v>1</v>
      </c>
      <c r="I40" s="5" t="e">
        <f t="shared" ca="1" si="2"/>
        <v>#DIV/0!</v>
      </c>
      <c r="J40">
        <f t="shared" ca="1" si="3"/>
        <v>0</v>
      </c>
      <c r="K40">
        <f t="shared" ca="1" si="4"/>
        <v>0</v>
      </c>
      <c r="L40">
        <f t="shared" ca="1" si="5"/>
        <v>0</v>
      </c>
      <c r="M40">
        <f t="shared" ca="1" si="6"/>
        <v>1</v>
      </c>
    </row>
    <row r="41" spans="1:13" x14ac:dyDescent="0.25">
      <c r="A41">
        <v>18079</v>
      </c>
      <c r="B41" t="str">
        <f ca="1">OFFSET(park_dem_calibrtd_by_hour!B$1,MATCH(A41,park_dem_calibrtd_by_hour!A:A,0)-1,0)</f>
        <v>Jennings County</v>
      </c>
      <c r="C41">
        <f ca="1">OFFSET(park_dem_calibrtd_by_hour!G$1,MATCH(A41,park_dem_calibrtd_by_hour!A:A,0)-1,0)</f>
        <v>0</v>
      </c>
      <c r="D41" s="3">
        <f>_xlfn.MAXIFS(park_dem_calibrtd_by_hour!D:D,park_dem_calibrtd_by_hour!$A:$A,$A41)</f>
        <v>0</v>
      </c>
      <c r="E41" s="3">
        <f>SUMIFS(park_dem_calibrtd_by_hour!D:D,park_dem_calibrtd_by_hour!$A:$A,$A41)</f>
        <v>0</v>
      </c>
      <c r="F41" s="3">
        <f>SUMIFS(park_dem_calibrtd_by_hour!E:E,park_dem_calibrtd_by_hour!$A:$A,$A41)</f>
        <v>26.72752459883765</v>
      </c>
      <c r="G41" s="3">
        <f t="shared" si="0"/>
        <v>26.72752459883765</v>
      </c>
      <c r="H41" s="5">
        <f t="shared" si="1"/>
        <v>1</v>
      </c>
      <c r="I41" s="5" t="e">
        <f t="shared" ca="1" si="2"/>
        <v>#DIV/0!</v>
      </c>
      <c r="J41">
        <f t="shared" ca="1" si="3"/>
        <v>0</v>
      </c>
      <c r="K41">
        <f t="shared" ca="1" si="4"/>
        <v>0</v>
      </c>
      <c r="L41">
        <f t="shared" ca="1" si="5"/>
        <v>0</v>
      </c>
      <c r="M41">
        <f t="shared" ca="1" si="6"/>
        <v>1</v>
      </c>
    </row>
    <row r="42" spans="1:13" x14ac:dyDescent="0.25">
      <c r="A42">
        <v>18081</v>
      </c>
      <c r="B42" t="str">
        <f ca="1">OFFSET(park_dem_calibrtd_by_hour!B$1,MATCH(A42,park_dem_calibrtd_by_hour!A:A,0)-1,0)</f>
        <v>Johnson County</v>
      </c>
      <c r="C42">
        <f ca="1">OFFSET(park_dem_calibrtd_by_hour!G$1,MATCH(A42,park_dem_calibrtd_by_hour!A:A,0)-1,0)</f>
        <v>480</v>
      </c>
      <c r="D42" s="3">
        <f>_xlfn.MAXIFS(park_dem_calibrtd_by_hour!D:D,park_dem_calibrtd_by_hour!$A:$A,$A42)</f>
        <v>400.82521646151952</v>
      </c>
      <c r="E42" s="3">
        <f>SUMIFS(park_dem_calibrtd_by_hour!D:D,park_dem_calibrtd_by_hour!$A:$A,$A42)</f>
        <v>7267.7856984568243</v>
      </c>
      <c r="F42" s="3">
        <f>SUMIFS(park_dem_calibrtd_by_hour!E:E,park_dem_calibrtd_by_hour!$A:$A,$A42)</f>
        <v>210.06545303641133</v>
      </c>
      <c r="G42" s="3">
        <f t="shared" si="0"/>
        <v>7477.8511514932361</v>
      </c>
      <c r="H42" s="5">
        <f t="shared" si="1"/>
        <v>2.8091686873770387E-2</v>
      </c>
      <c r="I42" s="5">
        <f t="shared" ca="1" si="2"/>
        <v>0.83505253429483228</v>
      </c>
      <c r="J42">
        <f t="shared" ca="1" si="3"/>
        <v>0</v>
      </c>
      <c r="K42">
        <f t="shared" ca="1" si="4"/>
        <v>1</v>
      </c>
      <c r="L42">
        <f t="shared" ca="1" si="5"/>
        <v>0</v>
      </c>
      <c r="M42">
        <f t="shared" ca="1" si="6"/>
        <v>0</v>
      </c>
    </row>
    <row r="43" spans="1:13" x14ac:dyDescent="0.25">
      <c r="A43">
        <v>18083</v>
      </c>
      <c r="B43" t="str">
        <f ca="1">OFFSET(park_dem_calibrtd_by_hour!B$1,MATCH(A43,park_dem_calibrtd_by_hour!A:A,0)-1,0)</f>
        <v>Knox County</v>
      </c>
      <c r="C43">
        <f ca="1">OFFSET(park_dem_calibrtd_by_hour!G$1,MATCH(A43,park_dem_calibrtd_by_hour!A:A,0)-1,0)</f>
        <v>35</v>
      </c>
      <c r="D43" s="3">
        <f>_xlfn.MAXIFS(park_dem_calibrtd_by_hour!D:D,park_dem_calibrtd_by_hour!$A:$A,$A43)</f>
        <v>10.02544713349746</v>
      </c>
      <c r="E43" s="3">
        <f>SUMIFS(park_dem_calibrtd_by_hour!D:D,park_dem_calibrtd_by_hour!$A:$A,$A43)</f>
        <v>158.11217226202606</v>
      </c>
      <c r="F43" s="3">
        <f>SUMIFS(park_dem_calibrtd_by_hour!E:E,park_dem_calibrtd_by_hour!$A:$A,$A43)</f>
        <v>44.329386722813993</v>
      </c>
      <c r="G43" s="3">
        <f t="shared" si="0"/>
        <v>202.44155898484007</v>
      </c>
      <c r="H43" s="5">
        <f t="shared" si="1"/>
        <v>0.21897374701670627</v>
      </c>
      <c r="I43" s="5">
        <f t="shared" ca="1" si="2"/>
        <v>0.28644134667135601</v>
      </c>
      <c r="J43">
        <f t="shared" ca="1" si="3"/>
        <v>0</v>
      </c>
      <c r="K43">
        <f t="shared" ca="1" si="4"/>
        <v>0</v>
      </c>
      <c r="L43">
        <f t="shared" ca="1" si="5"/>
        <v>1</v>
      </c>
      <c r="M43">
        <f t="shared" ca="1" si="6"/>
        <v>0</v>
      </c>
    </row>
    <row r="44" spans="1:13" x14ac:dyDescent="0.25">
      <c r="A44">
        <v>18085</v>
      </c>
      <c r="B44" t="str">
        <f ca="1">OFFSET(park_dem_calibrtd_by_hour!B$1,MATCH(A44,park_dem_calibrtd_by_hour!A:A,0)-1,0)</f>
        <v>Kosciusko County</v>
      </c>
      <c r="C44">
        <f ca="1">OFFSET(park_dem_calibrtd_by_hour!G$1,MATCH(A44,park_dem_calibrtd_by_hour!A:A,0)-1,0)</f>
        <v>0</v>
      </c>
      <c r="D44" s="3">
        <f>_xlfn.MAXIFS(park_dem_calibrtd_by_hour!D:D,park_dem_calibrtd_by_hour!$A:$A,$A44)</f>
        <v>0</v>
      </c>
      <c r="E44" s="3">
        <f>SUMIFS(park_dem_calibrtd_by_hour!D:D,park_dem_calibrtd_by_hour!$A:$A,$A44)</f>
        <v>0</v>
      </c>
      <c r="F44" s="3">
        <f>SUMIFS(park_dem_calibrtd_by_hour!E:E,park_dem_calibrtd_by_hour!$A:$A,$A44)</f>
        <v>186.0766458129639</v>
      </c>
      <c r="G44" s="3">
        <f t="shared" si="0"/>
        <v>186.0766458129639</v>
      </c>
      <c r="H44" s="5">
        <f t="shared" si="1"/>
        <v>1</v>
      </c>
      <c r="I44" s="5" t="e">
        <f t="shared" ca="1" si="2"/>
        <v>#DIV/0!</v>
      </c>
      <c r="J44">
        <f t="shared" ca="1" si="3"/>
        <v>0</v>
      </c>
      <c r="K44">
        <f t="shared" ca="1" si="4"/>
        <v>0</v>
      </c>
      <c r="L44">
        <f t="shared" ca="1" si="5"/>
        <v>0</v>
      </c>
      <c r="M44">
        <f t="shared" ca="1" si="6"/>
        <v>1</v>
      </c>
    </row>
    <row r="45" spans="1:13" x14ac:dyDescent="0.25">
      <c r="A45">
        <v>18087</v>
      </c>
      <c r="B45" t="str">
        <f ca="1">OFFSET(park_dem_calibrtd_by_hour!B$1,MATCH(A45,park_dem_calibrtd_by_hour!A:A,0)-1,0)</f>
        <v>LaGrange County</v>
      </c>
      <c r="C45">
        <f ca="1">OFFSET(park_dem_calibrtd_by_hour!G$1,MATCH(A45,park_dem_calibrtd_by_hour!A:A,0)-1,0)</f>
        <v>110</v>
      </c>
      <c r="D45" s="3">
        <f>_xlfn.MAXIFS(park_dem_calibrtd_by_hour!D:D,park_dem_calibrtd_by_hour!$A:$A,$A45)</f>
        <v>79.483707115869223</v>
      </c>
      <c r="E45" s="3">
        <f>SUMIFS(park_dem_calibrtd_by_hour!D:D,park_dem_calibrtd_by_hour!$A:$A,$A45)</f>
        <v>1428.5691311324751</v>
      </c>
      <c r="F45" s="3">
        <f>SUMIFS(park_dem_calibrtd_by_hour!E:E,park_dem_calibrtd_by_hour!$A:$A,$A45)</f>
        <v>75.426635347605824</v>
      </c>
      <c r="G45" s="3">
        <f t="shared" si="0"/>
        <v>1503.9957664800809</v>
      </c>
      <c r="H45" s="5">
        <f t="shared" si="1"/>
        <v>5.0150829562594243E-2</v>
      </c>
      <c r="I45" s="5">
        <f t="shared" ca="1" si="2"/>
        <v>0.72257915559881114</v>
      </c>
      <c r="J45">
        <f t="shared" ca="1" si="3"/>
        <v>0</v>
      </c>
      <c r="K45">
        <f t="shared" ca="1" si="4"/>
        <v>1</v>
      </c>
      <c r="L45">
        <f t="shared" ca="1" si="5"/>
        <v>0</v>
      </c>
      <c r="M45">
        <f t="shared" ca="1" si="6"/>
        <v>0</v>
      </c>
    </row>
    <row r="46" spans="1:13" x14ac:dyDescent="0.25">
      <c r="A46">
        <v>18089</v>
      </c>
      <c r="B46" t="str">
        <f ca="1">OFFSET(park_dem_calibrtd_by_hour!B$1,MATCH(A46,park_dem_calibrtd_by_hour!A:A,0)-1,0)</f>
        <v>Lake County</v>
      </c>
      <c r="C46">
        <f ca="1">OFFSET(park_dem_calibrtd_by_hour!G$1,MATCH(A46,park_dem_calibrtd_by_hour!A:A,0)-1,0)</f>
        <v>1826</v>
      </c>
      <c r="D46" s="3">
        <f>_xlfn.MAXIFS(park_dem_calibrtd_by_hour!D:D,park_dem_calibrtd_by_hour!$A:$A,$A46)</f>
        <v>1259.5174837448574</v>
      </c>
      <c r="E46" s="3">
        <f>SUMIFS(park_dem_calibrtd_by_hour!D:D,park_dem_calibrtd_by_hour!$A:$A,$A46)</f>
        <v>21286.700726847946</v>
      </c>
      <c r="F46" s="3">
        <f>SUMIFS(park_dem_calibrtd_by_hour!E:E,park_dem_calibrtd_by_hour!$A:$A,$A46)</f>
        <v>1227.8604110815645</v>
      </c>
      <c r="G46" s="3">
        <f t="shared" si="0"/>
        <v>22514.561137929511</v>
      </c>
      <c r="H46" s="5">
        <f t="shared" si="1"/>
        <v>5.4536280034925042E-2</v>
      </c>
      <c r="I46" s="5">
        <f t="shared" ca="1" si="2"/>
        <v>0.68976861103223297</v>
      </c>
      <c r="J46">
        <f t="shared" ca="1" si="3"/>
        <v>0</v>
      </c>
      <c r="K46">
        <f t="shared" ca="1" si="4"/>
        <v>0</v>
      </c>
      <c r="L46">
        <f t="shared" ca="1" si="5"/>
        <v>1</v>
      </c>
      <c r="M46">
        <f t="shared" ca="1" si="6"/>
        <v>0</v>
      </c>
    </row>
    <row r="47" spans="1:13" x14ac:dyDescent="0.25">
      <c r="A47">
        <v>18091</v>
      </c>
      <c r="B47" t="str">
        <f ca="1">OFFSET(park_dem_calibrtd_by_hour!B$1,MATCH(A47,park_dem_calibrtd_by_hour!A:A,0)-1,0)</f>
        <v>LaPorte County</v>
      </c>
      <c r="C47">
        <f ca="1">OFFSET(park_dem_calibrtd_by_hour!G$1,MATCH(A47,park_dem_calibrtd_by_hour!A:A,0)-1,0)</f>
        <v>693</v>
      </c>
      <c r="D47" s="3">
        <f>_xlfn.MAXIFS(park_dem_calibrtd_by_hour!D:D,park_dem_calibrtd_by_hour!$A:$A,$A47)</f>
        <v>321.32756430879215</v>
      </c>
      <c r="E47" s="3">
        <f>SUMIFS(park_dem_calibrtd_by_hour!D:D,park_dem_calibrtd_by_hour!$A:$A,$A47)</f>
        <v>5174.973378353533</v>
      </c>
      <c r="F47" s="3">
        <f>SUMIFS(park_dem_calibrtd_by_hour!E:E,park_dem_calibrtd_by_hour!$A:$A,$A47)</f>
        <v>258.37985084670021</v>
      </c>
      <c r="G47" s="3">
        <f t="shared" si="0"/>
        <v>5433.3532292002328</v>
      </c>
      <c r="H47" s="5">
        <f t="shared" si="1"/>
        <v>4.7554399640005122E-2</v>
      </c>
      <c r="I47" s="5">
        <f t="shared" ca="1" si="2"/>
        <v>0.46367613897372606</v>
      </c>
      <c r="J47">
        <f t="shared" ca="1" si="3"/>
        <v>0</v>
      </c>
      <c r="K47">
        <f t="shared" ca="1" si="4"/>
        <v>0</v>
      </c>
      <c r="L47">
        <f t="shared" ca="1" si="5"/>
        <v>1</v>
      </c>
      <c r="M47">
        <f t="shared" ca="1" si="6"/>
        <v>0</v>
      </c>
    </row>
    <row r="48" spans="1:13" x14ac:dyDescent="0.25">
      <c r="A48">
        <v>18093</v>
      </c>
      <c r="B48" t="str">
        <f ca="1">OFFSET(park_dem_calibrtd_by_hour!B$1,MATCH(A48,park_dem_calibrtd_by_hour!A:A,0)-1,0)</f>
        <v>Lawrence County</v>
      </c>
      <c r="C48">
        <f ca="1">OFFSET(park_dem_calibrtd_by_hour!G$1,MATCH(A48,park_dem_calibrtd_by_hour!A:A,0)-1,0)</f>
        <v>20</v>
      </c>
      <c r="D48" s="3">
        <f>_xlfn.MAXIFS(park_dem_calibrtd_by_hour!D:D,park_dem_calibrtd_by_hour!$A:$A,$A48)</f>
        <v>1.1895962487005198</v>
      </c>
      <c r="E48" s="3">
        <f>SUMIFS(park_dem_calibrtd_by_hour!D:D,park_dem_calibrtd_by_hour!$A:$A,$A48)</f>
        <v>19.231806020658379</v>
      </c>
      <c r="F48" s="3">
        <f>SUMIFS(park_dem_calibrtd_by_hour!E:E,park_dem_calibrtd_by_hour!$A:$A,$A48)</f>
        <v>24.924873782296594</v>
      </c>
      <c r="G48" s="3">
        <f t="shared" si="0"/>
        <v>44.156679802954969</v>
      </c>
      <c r="H48" s="5">
        <f t="shared" si="1"/>
        <v>0.56446440025657496</v>
      </c>
      <c r="I48" s="5">
        <f t="shared" ca="1" si="2"/>
        <v>5.9479812435025994E-2</v>
      </c>
      <c r="J48">
        <f t="shared" ca="1" si="3"/>
        <v>0</v>
      </c>
      <c r="K48">
        <f t="shared" ca="1" si="4"/>
        <v>0</v>
      </c>
      <c r="L48">
        <f t="shared" ca="1" si="5"/>
        <v>1</v>
      </c>
      <c r="M48">
        <f t="shared" ca="1" si="6"/>
        <v>0</v>
      </c>
    </row>
    <row r="49" spans="1:13" x14ac:dyDescent="0.25">
      <c r="A49">
        <v>18095</v>
      </c>
      <c r="B49" t="str">
        <f ca="1">OFFSET(park_dem_calibrtd_by_hour!B$1,MATCH(A49,park_dem_calibrtd_by_hour!A:A,0)-1,0)</f>
        <v>Madison County</v>
      </c>
      <c r="C49">
        <f ca="1">OFFSET(park_dem_calibrtd_by_hour!G$1,MATCH(A49,park_dem_calibrtd_by_hour!A:A,0)-1,0)</f>
        <v>160</v>
      </c>
      <c r="D49" s="3">
        <f>_xlfn.MAXIFS(park_dem_calibrtd_by_hour!D:D,park_dem_calibrtd_by_hour!$A:$A,$A49)</f>
        <v>65.15669237222555</v>
      </c>
      <c r="E49" s="3">
        <f>SUMIFS(park_dem_calibrtd_by_hour!D:D,park_dem_calibrtd_by_hour!$A:$A,$A49)</f>
        <v>1224.5354170492819</v>
      </c>
      <c r="F49" s="3">
        <f>SUMIFS(park_dem_calibrtd_by_hour!E:E,park_dem_calibrtd_by_hour!$A:$A,$A49)</f>
        <v>178.0165682257439</v>
      </c>
      <c r="G49" s="3">
        <f t="shared" si="0"/>
        <v>1402.5519852750258</v>
      </c>
      <c r="H49" s="5">
        <f t="shared" si="1"/>
        <v>0.12692332982640689</v>
      </c>
      <c r="I49" s="5">
        <f t="shared" ca="1" si="2"/>
        <v>0.40722932732640971</v>
      </c>
      <c r="J49">
        <f t="shared" ca="1" si="3"/>
        <v>0</v>
      </c>
      <c r="K49">
        <f t="shared" ca="1" si="4"/>
        <v>0</v>
      </c>
      <c r="L49">
        <f t="shared" ca="1" si="5"/>
        <v>1</v>
      </c>
      <c r="M49">
        <f t="shared" ca="1" si="6"/>
        <v>0</v>
      </c>
    </row>
    <row r="50" spans="1:13" x14ac:dyDescent="0.25">
      <c r="A50">
        <v>18097</v>
      </c>
      <c r="B50" t="str">
        <f ca="1">OFFSET(park_dem_calibrtd_by_hour!B$1,MATCH(A50,park_dem_calibrtd_by_hour!A:A,0)-1,0)</f>
        <v>Marion County</v>
      </c>
      <c r="C50">
        <f ca="1">OFFSET(park_dem_calibrtd_by_hour!G$1,MATCH(A50,park_dem_calibrtd_by_hour!A:A,0)-1,0)</f>
        <v>305</v>
      </c>
      <c r="D50" s="3">
        <f>_xlfn.MAXIFS(park_dem_calibrtd_by_hour!D:D,park_dem_calibrtd_by_hour!$A:$A,$A50)</f>
        <v>229.13983774886239</v>
      </c>
      <c r="E50" s="3">
        <f>SUMIFS(park_dem_calibrtd_by_hour!D:D,park_dem_calibrtd_by_hour!$A:$A,$A50)</f>
        <v>4434.9788585932329</v>
      </c>
      <c r="F50" s="3">
        <f>SUMIFS(park_dem_calibrtd_by_hour!E:E,park_dem_calibrtd_by_hour!$A:$A,$A50)</f>
        <v>1231.6416949594316</v>
      </c>
      <c r="G50" s="3">
        <f t="shared" si="0"/>
        <v>5666.6205535526642</v>
      </c>
      <c r="H50" s="5">
        <f t="shared" si="1"/>
        <v>0.21735030311624781</v>
      </c>
      <c r="I50" s="5">
        <f t="shared" ca="1" si="2"/>
        <v>0.75127815655364716</v>
      </c>
      <c r="J50">
        <f t="shared" ca="1" si="3"/>
        <v>0</v>
      </c>
      <c r="K50">
        <f t="shared" ca="1" si="4"/>
        <v>1</v>
      </c>
      <c r="L50">
        <f t="shared" ca="1" si="5"/>
        <v>0</v>
      </c>
      <c r="M50">
        <f t="shared" ca="1" si="6"/>
        <v>0</v>
      </c>
    </row>
    <row r="51" spans="1:13" x14ac:dyDescent="0.25">
      <c r="A51">
        <v>18099</v>
      </c>
      <c r="B51" t="str">
        <f ca="1">OFFSET(park_dem_calibrtd_by_hour!B$1,MATCH(A51,park_dem_calibrtd_by_hour!A:A,0)-1,0)</f>
        <v>Marshall County</v>
      </c>
      <c r="C51">
        <f ca="1">OFFSET(park_dem_calibrtd_by_hour!G$1,MATCH(A51,park_dem_calibrtd_by_hour!A:A,0)-1,0)</f>
        <v>199</v>
      </c>
      <c r="D51" s="3">
        <f>_xlfn.MAXIFS(park_dem_calibrtd_by_hour!D:D,park_dem_calibrtd_by_hour!$A:$A,$A51)</f>
        <v>128.27232265783363</v>
      </c>
      <c r="E51" s="3">
        <f>SUMIFS(park_dem_calibrtd_by_hour!D:D,park_dem_calibrtd_by_hour!$A:$A,$A51)</f>
        <v>2293.1965487221214</v>
      </c>
      <c r="F51" s="3">
        <f>SUMIFS(park_dem_calibrtd_by_hour!E:E,park_dem_calibrtd_by_hour!$A:$A,$A51)</f>
        <v>251.36038502399796</v>
      </c>
      <c r="G51" s="3">
        <f t="shared" si="0"/>
        <v>2544.5569337461193</v>
      </c>
      <c r="H51" s="5">
        <f t="shared" si="1"/>
        <v>9.8783557046979872E-2</v>
      </c>
      <c r="I51" s="5">
        <f t="shared" ca="1" si="2"/>
        <v>0.64458453596901322</v>
      </c>
      <c r="J51">
        <f t="shared" ca="1" si="3"/>
        <v>0</v>
      </c>
      <c r="K51">
        <f t="shared" ca="1" si="4"/>
        <v>0</v>
      </c>
      <c r="L51">
        <f t="shared" ca="1" si="5"/>
        <v>1</v>
      </c>
      <c r="M51">
        <f t="shared" ca="1" si="6"/>
        <v>0</v>
      </c>
    </row>
    <row r="52" spans="1:13" x14ac:dyDescent="0.25">
      <c r="A52">
        <v>18101</v>
      </c>
      <c r="B52" t="str">
        <f ca="1">OFFSET(park_dem_calibrtd_by_hour!B$1,MATCH(A52,park_dem_calibrtd_by_hour!A:A,0)-1,0)</f>
        <v>Martin County</v>
      </c>
      <c r="C52">
        <f ca="1">OFFSET(park_dem_calibrtd_by_hour!G$1,MATCH(A52,park_dem_calibrtd_by_hour!A:A,0)-1,0)</f>
        <v>6</v>
      </c>
      <c r="D52" s="3">
        <f>_xlfn.MAXIFS(park_dem_calibrtd_by_hour!D:D,park_dem_calibrtd_by_hour!$A:$A,$A52)</f>
        <v>4.4234235484261459</v>
      </c>
      <c r="E52" s="3">
        <f>SUMIFS(park_dem_calibrtd_by_hour!D:D,park_dem_calibrtd_by_hour!$A:$A,$A52)</f>
        <v>50.459794552416717</v>
      </c>
      <c r="F52" s="3">
        <f>SUMIFS(park_dem_calibrtd_by_hour!E:E,park_dem_calibrtd_by_hour!$A:$A,$A52)</f>
        <v>22.690524498408173</v>
      </c>
      <c r="G52" s="3">
        <f t="shared" si="0"/>
        <v>73.150319050824891</v>
      </c>
      <c r="H52" s="5">
        <f t="shared" si="1"/>
        <v>0.31019036954087353</v>
      </c>
      <c r="I52" s="5">
        <f t="shared" ca="1" si="2"/>
        <v>0.73723725807102436</v>
      </c>
      <c r="J52">
        <f t="shared" ca="1" si="3"/>
        <v>0</v>
      </c>
      <c r="K52">
        <f t="shared" ca="1" si="4"/>
        <v>0</v>
      </c>
      <c r="L52">
        <f t="shared" ca="1" si="5"/>
        <v>1</v>
      </c>
      <c r="M52">
        <f t="shared" ca="1" si="6"/>
        <v>0</v>
      </c>
    </row>
    <row r="53" spans="1:13" x14ac:dyDescent="0.25">
      <c r="A53">
        <v>18103</v>
      </c>
      <c r="B53" t="str">
        <f ca="1">OFFSET(park_dem_calibrtd_by_hour!B$1,MATCH(A53,park_dem_calibrtd_by_hour!A:A,0)-1,0)</f>
        <v>Miami County</v>
      </c>
      <c r="C53">
        <f ca="1">OFFSET(park_dem_calibrtd_by_hour!G$1,MATCH(A53,park_dem_calibrtd_by_hour!A:A,0)-1,0)</f>
        <v>117</v>
      </c>
      <c r="D53" s="3">
        <f>_xlfn.MAXIFS(park_dem_calibrtd_by_hour!D:D,park_dem_calibrtd_by_hour!$A:$A,$A53)</f>
        <v>66.433626768009987</v>
      </c>
      <c r="E53" s="3">
        <f>SUMIFS(park_dem_calibrtd_by_hour!D:D,park_dem_calibrtd_by_hour!$A:$A,$A53)</f>
        <v>1133.9851013595035</v>
      </c>
      <c r="F53" s="3">
        <f>SUMIFS(park_dem_calibrtd_by_hour!E:E,park_dem_calibrtd_by_hour!$A:$A,$A53)</f>
        <v>8.7655479763346431</v>
      </c>
      <c r="G53" s="3">
        <f t="shared" si="0"/>
        <v>1142.750649335838</v>
      </c>
      <c r="H53" s="5">
        <f t="shared" si="1"/>
        <v>7.6705692369802136E-3</v>
      </c>
      <c r="I53" s="5">
        <f t="shared" ca="1" si="2"/>
        <v>0.56780877579495714</v>
      </c>
      <c r="J53">
        <f t="shared" ca="1" si="3"/>
        <v>0</v>
      </c>
      <c r="K53">
        <f t="shared" ca="1" si="4"/>
        <v>0</v>
      </c>
      <c r="L53">
        <f t="shared" ca="1" si="5"/>
        <v>1</v>
      </c>
      <c r="M53">
        <f t="shared" ca="1" si="6"/>
        <v>0</v>
      </c>
    </row>
    <row r="54" spans="1:13" x14ac:dyDescent="0.25">
      <c r="A54">
        <v>18105</v>
      </c>
      <c r="B54" t="str">
        <f ca="1">OFFSET(park_dem_calibrtd_by_hour!B$1,MATCH(A54,park_dem_calibrtd_by_hour!A:A,0)-1,0)</f>
        <v>Monroe County</v>
      </c>
      <c r="C54">
        <f ca="1">OFFSET(park_dem_calibrtd_by_hour!G$1,MATCH(A54,park_dem_calibrtd_by_hour!A:A,0)-1,0)</f>
        <v>40</v>
      </c>
      <c r="D54" s="3">
        <f>_xlfn.MAXIFS(park_dem_calibrtd_by_hour!D:D,park_dem_calibrtd_by_hour!$A:$A,$A54)</f>
        <v>9.7134700392285342</v>
      </c>
      <c r="E54" s="3">
        <f>SUMIFS(park_dem_calibrtd_by_hour!D:D,park_dem_calibrtd_by_hour!$A:$A,$A54)</f>
        <v>175.01387488327623</v>
      </c>
      <c r="F54" s="3">
        <f>SUMIFS(park_dem_calibrtd_by_hour!E:E,park_dem_calibrtd_by_hour!$A:$A,$A54)</f>
        <v>102.56281600244235</v>
      </c>
      <c r="G54" s="3">
        <f t="shared" si="0"/>
        <v>277.57669088571856</v>
      </c>
      <c r="H54" s="5">
        <f t="shared" si="1"/>
        <v>0.36949361877315773</v>
      </c>
      <c r="I54" s="5">
        <f t="shared" ca="1" si="2"/>
        <v>0.24283675098071336</v>
      </c>
      <c r="J54">
        <f t="shared" ca="1" si="3"/>
        <v>0</v>
      </c>
      <c r="K54">
        <f t="shared" ca="1" si="4"/>
        <v>0</v>
      </c>
      <c r="L54">
        <f t="shared" ca="1" si="5"/>
        <v>1</v>
      </c>
      <c r="M54">
        <f t="shared" ca="1" si="6"/>
        <v>0</v>
      </c>
    </row>
    <row r="55" spans="1:13" x14ac:dyDescent="0.25">
      <c r="A55">
        <v>18107</v>
      </c>
      <c r="B55" t="str">
        <f ca="1">OFFSET(park_dem_calibrtd_by_hour!B$1,MATCH(A55,park_dem_calibrtd_by_hour!A:A,0)-1,0)</f>
        <v>Montgomery County</v>
      </c>
      <c r="C55">
        <f ca="1">OFFSET(park_dem_calibrtd_by_hour!G$1,MATCH(A55,park_dem_calibrtd_by_hour!A:A,0)-1,0)</f>
        <v>165</v>
      </c>
      <c r="D55" s="3">
        <f>_xlfn.MAXIFS(park_dem_calibrtd_by_hour!D:D,park_dem_calibrtd_by_hour!$A:$A,$A55)</f>
        <v>195.96446149004169</v>
      </c>
      <c r="E55" s="3">
        <f>SUMIFS(park_dem_calibrtd_by_hour!D:D,park_dem_calibrtd_by_hour!$A:$A,$A55)</f>
        <v>3297.3323768360733</v>
      </c>
      <c r="F55" s="3">
        <f>SUMIFS(park_dem_calibrtd_by_hour!E:E,park_dem_calibrtd_by_hour!$A:$A,$A55)</f>
        <v>118.05636159411716</v>
      </c>
      <c r="G55" s="3">
        <f t="shared" si="0"/>
        <v>3415.3887384301906</v>
      </c>
      <c r="H55" s="5">
        <f t="shared" si="1"/>
        <v>3.4566010090078127E-2</v>
      </c>
      <c r="I55" s="5">
        <f t="shared" ca="1" si="2"/>
        <v>1.1876634029699495</v>
      </c>
      <c r="J55">
        <f t="shared" ca="1" si="3"/>
        <v>1</v>
      </c>
      <c r="K55">
        <f t="shared" ca="1" si="4"/>
        <v>0</v>
      </c>
      <c r="L55">
        <f t="shared" ca="1" si="5"/>
        <v>0</v>
      </c>
      <c r="M55">
        <f t="shared" ca="1" si="6"/>
        <v>0</v>
      </c>
    </row>
    <row r="56" spans="1:13" x14ac:dyDescent="0.25">
      <c r="A56">
        <v>18109</v>
      </c>
      <c r="B56" t="str">
        <f ca="1">OFFSET(park_dem_calibrtd_by_hour!B$1,MATCH(A56,park_dem_calibrtd_by_hour!A:A,0)-1,0)</f>
        <v>Morgan County</v>
      </c>
      <c r="C56">
        <f ca="1">OFFSET(park_dem_calibrtd_by_hour!G$1,MATCH(A56,park_dem_calibrtd_by_hour!A:A,0)-1,0)</f>
        <v>56</v>
      </c>
      <c r="D56" s="3">
        <f>_xlfn.MAXIFS(park_dem_calibrtd_by_hour!D:D,park_dem_calibrtd_by_hour!$A:$A,$A56)</f>
        <v>12.228615843434225</v>
      </c>
      <c r="E56" s="3">
        <f>SUMIFS(park_dem_calibrtd_by_hour!D:D,park_dem_calibrtd_by_hour!$A:$A,$A56)</f>
        <v>167.24583540764934</v>
      </c>
      <c r="F56" s="3">
        <f>SUMIFS(park_dem_calibrtd_by_hour!E:E,park_dem_calibrtd_by_hour!$A:$A,$A56)</f>
        <v>144.06350196828794</v>
      </c>
      <c r="G56" s="3">
        <f t="shared" si="0"/>
        <v>311.30933737593728</v>
      </c>
      <c r="H56" s="5">
        <f t="shared" si="1"/>
        <v>0.46276640200585051</v>
      </c>
      <c r="I56" s="5">
        <f t="shared" ca="1" si="2"/>
        <v>0.21836814006132546</v>
      </c>
      <c r="J56">
        <f t="shared" ca="1" si="3"/>
        <v>0</v>
      </c>
      <c r="K56">
        <f t="shared" ca="1" si="4"/>
        <v>1</v>
      </c>
      <c r="L56">
        <f t="shared" ca="1" si="5"/>
        <v>0</v>
      </c>
      <c r="M56">
        <f t="shared" ca="1" si="6"/>
        <v>0</v>
      </c>
    </row>
    <row r="57" spans="1:13" x14ac:dyDescent="0.25">
      <c r="A57">
        <v>18111</v>
      </c>
      <c r="B57" t="str">
        <f ca="1">OFFSET(park_dem_calibrtd_by_hour!B$1,MATCH(A57,park_dem_calibrtd_by_hour!A:A,0)-1,0)</f>
        <v>Newton County</v>
      </c>
      <c r="C57">
        <f ca="1">OFFSET(park_dem_calibrtd_by_hour!G$1,MATCH(A57,park_dem_calibrtd_by_hour!A:A,0)-1,0)</f>
        <v>36</v>
      </c>
      <c r="D57" s="3">
        <f>_xlfn.MAXIFS(park_dem_calibrtd_by_hour!D:D,park_dem_calibrtd_by_hour!$A:$A,$A57)</f>
        <v>29.920957476630665</v>
      </c>
      <c r="E57" s="3">
        <f>SUMIFS(park_dem_calibrtd_by_hour!D:D,park_dem_calibrtd_by_hour!$A:$A,$A57)</f>
        <v>452.78178192536632</v>
      </c>
      <c r="F57" s="3">
        <f>SUMIFS(park_dem_calibrtd_by_hour!E:E,park_dem_calibrtd_by_hour!$A:$A,$A57)</f>
        <v>4.5873291158922695</v>
      </c>
      <c r="G57" s="3">
        <f t="shared" si="0"/>
        <v>457.36911104125858</v>
      </c>
      <c r="H57" s="5">
        <f t="shared" si="1"/>
        <v>1.0029818378964498E-2</v>
      </c>
      <c r="I57" s="5">
        <f t="shared" ca="1" si="2"/>
        <v>0.83113770768418516</v>
      </c>
      <c r="J57">
        <f t="shared" ca="1" si="3"/>
        <v>0</v>
      </c>
      <c r="K57">
        <f t="shared" ca="1" si="4"/>
        <v>1</v>
      </c>
      <c r="L57">
        <f t="shared" ca="1" si="5"/>
        <v>0</v>
      </c>
      <c r="M57">
        <f t="shared" ca="1" si="6"/>
        <v>0</v>
      </c>
    </row>
    <row r="58" spans="1:13" x14ac:dyDescent="0.25">
      <c r="A58">
        <v>18113</v>
      </c>
      <c r="B58" t="str">
        <f ca="1">OFFSET(park_dem_calibrtd_by_hour!B$1,MATCH(A58,park_dem_calibrtd_by_hour!A:A,0)-1,0)</f>
        <v>Noble County</v>
      </c>
      <c r="C58">
        <f ca="1">OFFSET(park_dem_calibrtd_by_hour!G$1,MATCH(A58,park_dem_calibrtd_by_hour!A:A,0)-1,0)</f>
        <v>50</v>
      </c>
      <c r="D58" s="3">
        <f>_xlfn.MAXIFS(park_dem_calibrtd_by_hour!D:D,park_dem_calibrtd_by_hour!$A:$A,$A58)</f>
        <v>18.811377310594438</v>
      </c>
      <c r="E58" s="3">
        <f>SUMIFS(park_dem_calibrtd_by_hour!D:D,park_dem_calibrtd_by_hour!$A:$A,$A58)</f>
        <v>363.88257985181093</v>
      </c>
      <c r="F58" s="3">
        <f>SUMIFS(park_dem_calibrtd_by_hour!E:E,park_dem_calibrtd_by_hour!$A:$A,$A58)</f>
        <v>57.021987472739461</v>
      </c>
      <c r="G58" s="3">
        <f t="shared" si="0"/>
        <v>420.90456732455038</v>
      </c>
      <c r="H58" s="5">
        <f t="shared" si="1"/>
        <v>0.13547486033519576</v>
      </c>
      <c r="I58" s="5">
        <f t="shared" ca="1" si="2"/>
        <v>0.37622754621188875</v>
      </c>
      <c r="J58">
        <f t="shared" ca="1" si="3"/>
        <v>0</v>
      </c>
      <c r="K58">
        <f t="shared" ca="1" si="4"/>
        <v>0</v>
      </c>
      <c r="L58">
        <f t="shared" ca="1" si="5"/>
        <v>1</v>
      </c>
      <c r="M58">
        <f t="shared" ca="1" si="6"/>
        <v>0</v>
      </c>
    </row>
    <row r="59" spans="1:13" x14ac:dyDescent="0.25">
      <c r="A59">
        <v>18115</v>
      </c>
      <c r="B59" t="str">
        <f ca="1">OFFSET(park_dem_calibrtd_by_hour!B$1,MATCH(A59,park_dem_calibrtd_by_hour!A:A,0)-1,0)</f>
        <v>Ohio County</v>
      </c>
      <c r="C59">
        <f ca="1">OFFSET(park_dem_calibrtd_by_hour!G$1,MATCH(A59,park_dem_calibrtd_by_hour!A:A,0)-1,0)</f>
        <v>0</v>
      </c>
      <c r="D59" s="3">
        <f>_xlfn.MAXIFS(park_dem_calibrtd_by_hour!D:D,park_dem_calibrtd_by_hour!$A:$A,$A59)</f>
        <v>0</v>
      </c>
      <c r="E59" s="3">
        <f>SUMIFS(park_dem_calibrtd_by_hour!D:D,park_dem_calibrtd_by_hour!$A:$A,$A59)</f>
        <v>0</v>
      </c>
      <c r="F59" s="3">
        <f>SUMIFS(park_dem_calibrtd_by_hour!E:E,park_dem_calibrtd_by_hour!$A:$A,$A59)</f>
        <v>0</v>
      </c>
      <c r="G59" s="3">
        <f t="shared" si="0"/>
        <v>0</v>
      </c>
      <c r="H59" s="5" t="e">
        <f t="shared" si="1"/>
        <v>#DIV/0!</v>
      </c>
      <c r="I59" s="5" t="e">
        <f t="shared" ca="1" si="2"/>
        <v>#DIV/0!</v>
      </c>
      <c r="J59">
        <f t="shared" ca="1" si="3"/>
        <v>0</v>
      </c>
      <c r="K59">
        <f t="shared" ca="1" si="4"/>
        <v>0</v>
      </c>
      <c r="L59">
        <f t="shared" ca="1" si="5"/>
        <v>0</v>
      </c>
      <c r="M59">
        <f t="shared" ca="1" si="6"/>
        <v>1</v>
      </c>
    </row>
    <row r="60" spans="1:13" x14ac:dyDescent="0.25">
      <c r="A60">
        <v>18117</v>
      </c>
      <c r="B60" t="str">
        <f ca="1">OFFSET(park_dem_calibrtd_by_hour!B$1,MATCH(A60,park_dem_calibrtd_by_hour!A:A,0)-1,0)</f>
        <v>Orange County</v>
      </c>
      <c r="C60">
        <f ca="1">OFFSET(park_dem_calibrtd_by_hour!G$1,MATCH(A60,park_dem_calibrtd_by_hour!A:A,0)-1,0)</f>
        <v>0</v>
      </c>
      <c r="D60" s="3">
        <f>_xlfn.MAXIFS(park_dem_calibrtd_by_hour!D:D,park_dem_calibrtd_by_hour!$A:$A,$A60)</f>
        <v>0</v>
      </c>
      <c r="E60" s="3">
        <f>SUMIFS(park_dem_calibrtd_by_hour!D:D,park_dem_calibrtd_by_hour!$A:$A,$A60)</f>
        <v>0</v>
      </c>
      <c r="F60" s="3">
        <f>SUMIFS(park_dem_calibrtd_by_hour!E:E,park_dem_calibrtd_by_hour!$A:$A,$A60)</f>
        <v>25.991852326469228</v>
      </c>
      <c r="G60" s="3">
        <f t="shared" si="0"/>
        <v>25.991852326469228</v>
      </c>
      <c r="H60" s="5">
        <f t="shared" si="1"/>
        <v>1</v>
      </c>
      <c r="I60" s="5" t="e">
        <f t="shared" ca="1" si="2"/>
        <v>#DIV/0!</v>
      </c>
      <c r="J60">
        <f t="shared" ca="1" si="3"/>
        <v>0</v>
      </c>
      <c r="K60">
        <f t="shared" ca="1" si="4"/>
        <v>0</v>
      </c>
      <c r="L60">
        <f t="shared" ca="1" si="5"/>
        <v>0</v>
      </c>
      <c r="M60">
        <f t="shared" ca="1" si="6"/>
        <v>1</v>
      </c>
    </row>
    <row r="61" spans="1:13" x14ac:dyDescent="0.25">
      <c r="A61">
        <v>18119</v>
      </c>
      <c r="B61" t="str">
        <f ca="1">OFFSET(park_dem_calibrtd_by_hour!B$1,MATCH(A61,park_dem_calibrtd_by_hour!A:A,0)-1,0)</f>
        <v>Owen County</v>
      </c>
      <c r="C61">
        <f ca="1">OFFSET(park_dem_calibrtd_by_hour!G$1,MATCH(A61,park_dem_calibrtd_by_hour!A:A,0)-1,0)</f>
        <v>0</v>
      </c>
      <c r="D61" s="3">
        <f>_xlfn.MAXIFS(park_dem_calibrtd_by_hour!D:D,park_dem_calibrtd_by_hour!$A:$A,$A61)</f>
        <v>0</v>
      </c>
      <c r="E61" s="3">
        <f>SUMIFS(park_dem_calibrtd_by_hour!D:D,park_dem_calibrtd_by_hour!$A:$A,$A61)</f>
        <v>0</v>
      </c>
      <c r="F61" s="3">
        <f>SUMIFS(park_dem_calibrtd_by_hour!E:E,park_dem_calibrtd_by_hour!$A:$A,$A61)</f>
        <v>35.783882029239777</v>
      </c>
      <c r="G61" s="3">
        <f t="shared" si="0"/>
        <v>35.783882029239777</v>
      </c>
      <c r="H61" s="5">
        <f t="shared" si="1"/>
        <v>1</v>
      </c>
      <c r="I61" s="5" t="e">
        <f t="shared" ca="1" si="2"/>
        <v>#DIV/0!</v>
      </c>
      <c r="J61">
        <f t="shared" ca="1" si="3"/>
        <v>0</v>
      </c>
      <c r="K61">
        <f t="shared" ca="1" si="4"/>
        <v>0</v>
      </c>
      <c r="L61">
        <f t="shared" ca="1" si="5"/>
        <v>0</v>
      </c>
      <c r="M61">
        <f t="shared" ca="1" si="6"/>
        <v>1</v>
      </c>
    </row>
    <row r="62" spans="1:13" x14ac:dyDescent="0.25">
      <c r="A62">
        <v>18121</v>
      </c>
      <c r="B62" t="str">
        <f ca="1">OFFSET(park_dem_calibrtd_by_hour!B$1,MATCH(A62,park_dem_calibrtd_by_hour!A:A,0)-1,0)</f>
        <v>Parke County</v>
      </c>
      <c r="C62">
        <f ca="1">OFFSET(park_dem_calibrtd_by_hour!G$1,MATCH(A62,park_dem_calibrtd_by_hour!A:A,0)-1,0)</f>
        <v>0</v>
      </c>
      <c r="D62" s="3">
        <f>_xlfn.MAXIFS(park_dem_calibrtd_by_hour!D:D,park_dem_calibrtd_by_hour!$A:$A,$A62)</f>
        <v>0</v>
      </c>
      <c r="E62" s="3">
        <f>SUMIFS(park_dem_calibrtd_by_hour!D:D,park_dem_calibrtd_by_hour!$A:$A,$A62)</f>
        <v>0</v>
      </c>
      <c r="F62" s="3">
        <f>SUMIFS(park_dem_calibrtd_by_hour!E:E,park_dem_calibrtd_by_hour!$A:$A,$A62)</f>
        <v>9.2812448635746172</v>
      </c>
      <c r="G62" s="3">
        <f t="shared" si="0"/>
        <v>9.2812448635746172</v>
      </c>
      <c r="H62" s="5">
        <f t="shared" si="1"/>
        <v>1</v>
      </c>
      <c r="I62" s="5" t="e">
        <f t="shared" ca="1" si="2"/>
        <v>#DIV/0!</v>
      </c>
      <c r="J62">
        <f t="shared" ca="1" si="3"/>
        <v>0</v>
      </c>
      <c r="K62">
        <f t="shared" ca="1" si="4"/>
        <v>0</v>
      </c>
      <c r="L62">
        <f t="shared" ca="1" si="5"/>
        <v>0</v>
      </c>
      <c r="M62">
        <f t="shared" ca="1" si="6"/>
        <v>1</v>
      </c>
    </row>
    <row r="63" spans="1:13" x14ac:dyDescent="0.25">
      <c r="A63">
        <v>18123</v>
      </c>
      <c r="B63" t="str">
        <f ca="1">OFFSET(park_dem_calibrtd_by_hour!B$1,MATCH(A63,park_dem_calibrtd_by_hour!A:A,0)-1,0)</f>
        <v>Perry County</v>
      </c>
      <c r="C63">
        <f ca="1">OFFSET(park_dem_calibrtd_by_hour!G$1,MATCH(A63,park_dem_calibrtd_by_hour!A:A,0)-1,0)</f>
        <v>0</v>
      </c>
      <c r="D63" s="3">
        <f>_xlfn.MAXIFS(park_dem_calibrtd_by_hour!D:D,park_dem_calibrtd_by_hour!$A:$A,$A63)</f>
        <v>0</v>
      </c>
      <c r="E63" s="3">
        <f>SUMIFS(park_dem_calibrtd_by_hour!D:D,park_dem_calibrtd_by_hour!$A:$A,$A63)</f>
        <v>0</v>
      </c>
      <c r="F63" s="3">
        <f>SUMIFS(park_dem_calibrtd_by_hour!E:E,park_dem_calibrtd_by_hour!$A:$A,$A63)</f>
        <v>26.838508518096774</v>
      </c>
      <c r="G63" s="3">
        <f t="shared" si="0"/>
        <v>26.838508518096774</v>
      </c>
      <c r="H63" s="5">
        <f t="shared" si="1"/>
        <v>1</v>
      </c>
      <c r="I63" s="5" t="e">
        <f t="shared" ca="1" si="2"/>
        <v>#DIV/0!</v>
      </c>
      <c r="J63">
        <f t="shared" ca="1" si="3"/>
        <v>0</v>
      </c>
      <c r="K63">
        <f t="shared" ca="1" si="4"/>
        <v>0</v>
      </c>
      <c r="L63">
        <f t="shared" ca="1" si="5"/>
        <v>0</v>
      </c>
      <c r="M63">
        <f t="shared" ca="1" si="6"/>
        <v>1</v>
      </c>
    </row>
    <row r="64" spans="1:13" x14ac:dyDescent="0.25">
      <c r="A64">
        <v>18125</v>
      </c>
      <c r="B64" t="str">
        <f ca="1">OFFSET(park_dem_calibrtd_by_hour!B$1,MATCH(A64,park_dem_calibrtd_by_hour!A:A,0)-1,0)</f>
        <v>Pike County</v>
      </c>
      <c r="C64">
        <f ca="1">OFFSET(park_dem_calibrtd_by_hour!G$1,MATCH(A64,park_dem_calibrtd_by_hour!A:A,0)-1,0)</f>
        <v>0</v>
      </c>
      <c r="D64" s="3">
        <f>_xlfn.MAXIFS(park_dem_calibrtd_by_hour!D:D,park_dem_calibrtd_by_hour!$A:$A,$A64)</f>
        <v>0</v>
      </c>
      <c r="E64" s="3">
        <f>SUMIFS(park_dem_calibrtd_by_hour!D:D,park_dem_calibrtd_by_hour!$A:$A,$A64)</f>
        <v>0</v>
      </c>
      <c r="F64" s="3">
        <f>SUMIFS(park_dem_calibrtd_by_hour!E:E,park_dem_calibrtd_by_hour!$A:$A,$A64)</f>
        <v>28.447075866461422</v>
      </c>
      <c r="G64" s="3">
        <f t="shared" si="0"/>
        <v>28.447075866461422</v>
      </c>
      <c r="H64" s="5">
        <f t="shared" si="1"/>
        <v>1</v>
      </c>
      <c r="I64" s="5" t="e">
        <f t="shared" ca="1" si="2"/>
        <v>#DIV/0!</v>
      </c>
      <c r="J64">
        <f t="shared" ca="1" si="3"/>
        <v>0</v>
      </c>
      <c r="K64">
        <f t="shared" ca="1" si="4"/>
        <v>0</v>
      </c>
      <c r="L64">
        <f t="shared" ca="1" si="5"/>
        <v>0</v>
      </c>
      <c r="M64">
        <f t="shared" ca="1" si="6"/>
        <v>1</v>
      </c>
    </row>
    <row r="65" spans="1:13" x14ac:dyDescent="0.25">
      <c r="A65">
        <v>18127</v>
      </c>
      <c r="B65" t="str">
        <f ca="1">OFFSET(park_dem_calibrtd_by_hour!B$1,MATCH(A65,park_dem_calibrtd_by_hour!A:A,0)-1,0)</f>
        <v>Porter County</v>
      </c>
      <c r="C65">
        <f ca="1">OFFSET(park_dem_calibrtd_by_hour!G$1,MATCH(A65,park_dem_calibrtd_by_hour!A:A,0)-1,0)</f>
        <v>755</v>
      </c>
      <c r="D65" s="3">
        <f>_xlfn.MAXIFS(park_dem_calibrtd_by_hour!D:D,park_dem_calibrtd_by_hour!$A:$A,$A65)</f>
        <v>749.43581624208628</v>
      </c>
      <c r="E65" s="3">
        <f>SUMIFS(park_dem_calibrtd_by_hour!D:D,park_dem_calibrtd_by_hour!$A:$A,$A65)</f>
        <v>13019.325118406203</v>
      </c>
      <c r="F65" s="3">
        <f>SUMIFS(park_dem_calibrtd_by_hour!E:E,park_dem_calibrtd_by_hour!$A:$A,$A65)</f>
        <v>390.76807551628963</v>
      </c>
      <c r="G65" s="3">
        <f t="shared" si="0"/>
        <v>13410.093193922492</v>
      </c>
      <c r="H65" s="5">
        <f t="shared" si="1"/>
        <v>2.9139847864248048E-2</v>
      </c>
      <c r="I65" s="5">
        <f t="shared" ca="1" si="2"/>
        <v>0.99263022018819369</v>
      </c>
      <c r="J65">
        <f t="shared" ca="1" si="3"/>
        <v>1</v>
      </c>
      <c r="K65">
        <f t="shared" ca="1" si="4"/>
        <v>0</v>
      </c>
      <c r="L65">
        <f t="shared" ca="1" si="5"/>
        <v>0</v>
      </c>
      <c r="M65">
        <f t="shared" ca="1" si="6"/>
        <v>0</v>
      </c>
    </row>
    <row r="66" spans="1:13" x14ac:dyDescent="0.25">
      <c r="A66">
        <v>18129</v>
      </c>
      <c r="B66" t="str">
        <f ca="1">OFFSET(park_dem_calibrtd_by_hour!B$1,MATCH(A66,park_dem_calibrtd_by_hour!A:A,0)-1,0)</f>
        <v>Posey County</v>
      </c>
      <c r="C66">
        <f ca="1">OFFSET(park_dem_calibrtd_by_hour!G$1,MATCH(A66,park_dem_calibrtd_by_hour!A:A,0)-1,0)</f>
        <v>28</v>
      </c>
      <c r="D66" s="3">
        <f>_xlfn.MAXIFS(park_dem_calibrtd_by_hour!D:D,park_dem_calibrtd_by_hour!$A:$A,$A66)</f>
        <v>34.7812346233463</v>
      </c>
      <c r="E66" s="3">
        <f>SUMIFS(park_dem_calibrtd_by_hour!D:D,park_dem_calibrtd_by_hour!$A:$A,$A66)</f>
        <v>579.91682282886325</v>
      </c>
      <c r="F66" s="3">
        <f>SUMIFS(park_dem_calibrtd_by_hour!E:E,park_dem_calibrtd_by_hour!$A:$A,$A66)</f>
        <v>413.24239156451057</v>
      </c>
      <c r="G66" s="3">
        <f t="shared" si="0"/>
        <v>993.15921439337376</v>
      </c>
      <c r="H66" s="5">
        <f t="shared" si="1"/>
        <v>0.41608876560332869</v>
      </c>
      <c r="I66" s="5">
        <f t="shared" ca="1" si="2"/>
        <v>1.2421869508337964</v>
      </c>
      <c r="J66">
        <f t="shared" ca="1" si="3"/>
        <v>0</v>
      </c>
      <c r="K66">
        <f t="shared" ca="1" si="4"/>
        <v>1</v>
      </c>
      <c r="L66">
        <f t="shared" ca="1" si="5"/>
        <v>0</v>
      </c>
      <c r="M66">
        <f t="shared" ca="1" si="6"/>
        <v>0</v>
      </c>
    </row>
    <row r="67" spans="1:13" x14ac:dyDescent="0.25">
      <c r="A67">
        <v>18131</v>
      </c>
      <c r="B67" t="str">
        <f ca="1">OFFSET(park_dem_calibrtd_by_hour!B$1,MATCH(A67,park_dem_calibrtd_by_hour!A:A,0)-1,0)</f>
        <v>Pulaski County</v>
      </c>
      <c r="C67">
        <f ca="1">OFFSET(park_dem_calibrtd_by_hour!G$1,MATCH(A67,park_dem_calibrtd_by_hour!A:A,0)-1,0)</f>
        <v>35</v>
      </c>
      <c r="D67" s="3">
        <f>_xlfn.MAXIFS(park_dem_calibrtd_by_hour!D:D,park_dem_calibrtd_by_hour!$A:$A,$A67)</f>
        <v>5.7760528407223291</v>
      </c>
      <c r="E67" s="3">
        <f>SUMIFS(park_dem_calibrtd_by_hour!D:D,park_dem_calibrtd_by_hour!$A:$A,$A67)</f>
        <v>56.749719160096816</v>
      </c>
      <c r="F67" s="3">
        <f>SUMIFS(park_dem_calibrtd_by_hour!E:E,park_dem_calibrtd_by_hour!$A:$A,$A67)</f>
        <v>7.6532700139570791</v>
      </c>
      <c r="G67" s="3">
        <f t="shared" ref="G67:G93" si="7">SUM(E67:F67)</f>
        <v>64.4029891740539</v>
      </c>
      <c r="H67" s="5">
        <f t="shared" ref="H67:H93" si="8">F67/SUM(E67:F67)</f>
        <v>0.11883408071748881</v>
      </c>
      <c r="I67" s="5">
        <f t="shared" ref="I67:I93" ca="1" si="9">D67/C67</f>
        <v>0.16503008116349513</v>
      </c>
      <c r="J67">
        <f t="shared" ref="J67:J93" ca="1" si="10">IFERROR(IF(AND(G67&gt;=1000,OR(I67&gt;=0.9,H67&gt;0.5)),1,0),0)</f>
        <v>0</v>
      </c>
      <c r="K67">
        <f t="shared" ref="K67:K93" ca="1" si="11">IFERROR(IF(AND(J67=0,G67&gt;=300,OR(I67&gt;=0.7,H67&gt;0.2)),1,0),0)</f>
        <v>0</v>
      </c>
      <c r="L67">
        <f t="shared" ref="L67:L93" ca="1" si="12">IF(SUM(J67,K67,M67)=0,1,0)</f>
        <v>1</v>
      </c>
      <c r="M67">
        <f t="shared" ref="M67:M93" ca="1" si="13">IF(AND(C67=0,J67=0,K67=0),1,0)</f>
        <v>0</v>
      </c>
    </row>
    <row r="68" spans="1:13" x14ac:dyDescent="0.25">
      <c r="A68">
        <v>18133</v>
      </c>
      <c r="B68" t="str">
        <f ca="1">OFFSET(park_dem_calibrtd_by_hour!B$1,MATCH(A68,park_dem_calibrtd_by_hour!A:A,0)-1,0)</f>
        <v>Putnam County</v>
      </c>
      <c r="C68">
        <f ca="1">OFFSET(park_dem_calibrtd_by_hour!G$1,MATCH(A68,park_dem_calibrtd_by_hour!A:A,0)-1,0)</f>
        <v>90</v>
      </c>
      <c r="D68" s="3">
        <f>_xlfn.MAXIFS(park_dem_calibrtd_by_hour!D:D,park_dem_calibrtd_by_hour!$A:$A,$A68)</f>
        <v>60.131115821211502</v>
      </c>
      <c r="E68" s="3">
        <f>SUMIFS(park_dem_calibrtd_by_hour!D:D,park_dem_calibrtd_by_hour!$A:$A,$A68)</f>
        <v>893.22783056617175</v>
      </c>
      <c r="F68" s="3">
        <f>SUMIFS(park_dem_calibrtd_by_hour!E:E,park_dem_calibrtd_by_hour!$A:$A,$A68)</f>
        <v>187.94227542387276</v>
      </c>
      <c r="G68" s="3">
        <f t="shared" si="7"/>
        <v>1081.1701059900445</v>
      </c>
      <c r="H68" s="5">
        <f t="shared" si="8"/>
        <v>0.17383229001857303</v>
      </c>
      <c r="I68" s="5">
        <f t="shared" ca="1" si="9"/>
        <v>0.66812350912457219</v>
      </c>
      <c r="J68">
        <f t="shared" ca="1" si="10"/>
        <v>0</v>
      </c>
      <c r="K68">
        <f t="shared" ca="1" si="11"/>
        <v>0</v>
      </c>
      <c r="L68">
        <f t="shared" ca="1" si="12"/>
        <v>1</v>
      </c>
      <c r="M68">
        <f t="shared" ca="1" si="13"/>
        <v>0</v>
      </c>
    </row>
    <row r="69" spans="1:13" x14ac:dyDescent="0.25">
      <c r="A69">
        <v>18135</v>
      </c>
      <c r="B69" t="str">
        <f ca="1">OFFSET(park_dem_calibrtd_by_hour!B$1,MATCH(A69,park_dem_calibrtd_by_hour!A:A,0)-1,0)</f>
        <v>Randolph County</v>
      </c>
      <c r="C69">
        <f ca="1">OFFSET(park_dem_calibrtd_by_hour!G$1,MATCH(A69,park_dem_calibrtd_by_hour!A:A,0)-1,0)</f>
        <v>30</v>
      </c>
      <c r="D69" s="3">
        <f>_xlfn.MAXIFS(park_dem_calibrtd_by_hour!D:D,park_dem_calibrtd_by_hour!$A:$A,$A69)</f>
        <v>24.891914481555297</v>
      </c>
      <c r="E69" s="3">
        <f>SUMIFS(park_dem_calibrtd_by_hour!D:D,park_dem_calibrtd_by_hour!$A:$A,$A69)</f>
        <v>316.71685925873629</v>
      </c>
      <c r="F69" s="3">
        <f>SUMIFS(park_dem_calibrtd_by_hour!E:E,park_dem_calibrtd_by_hour!$A:$A,$A69)</f>
        <v>30.750976223558801</v>
      </c>
      <c r="G69" s="3">
        <f t="shared" si="7"/>
        <v>347.46783548229507</v>
      </c>
      <c r="H69" s="5">
        <f t="shared" si="8"/>
        <v>8.8500209467951438E-2</v>
      </c>
      <c r="I69" s="5">
        <f t="shared" ca="1" si="9"/>
        <v>0.82973048271850991</v>
      </c>
      <c r="J69">
        <f t="shared" ca="1" si="10"/>
        <v>0</v>
      </c>
      <c r="K69">
        <f t="shared" ca="1" si="11"/>
        <v>1</v>
      </c>
      <c r="L69">
        <f t="shared" ca="1" si="12"/>
        <v>0</v>
      </c>
      <c r="M69">
        <f t="shared" ca="1" si="13"/>
        <v>0</v>
      </c>
    </row>
    <row r="70" spans="1:13" x14ac:dyDescent="0.25">
      <c r="A70">
        <v>18137</v>
      </c>
      <c r="B70" t="str">
        <f ca="1">OFFSET(park_dem_calibrtd_by_hour!B$1,MATCH(A70,park_dem_calibrtd_by_hour!A:A,0)-1,0)</f>
        <v>Ripley County</v>
      </c>
      <c r="C70">
        <f ca="1">OFFSET(park_dem_calibrtd_by_hour!G$1,MATCH(A70,park_dem_calibrtd_by_hour!A:A,0)-1,0)</f>
        <v>80</v>
      </c>
      <c r="D70" s="3">
        <f>_xlfn.MAXIFS(park_dem_calibrtd_by_hour!D:D,park_dem_calibrtd_by_hour!$A:$A,$A70)</f>
        <v>99.855819400568407</v>
      </c>
      <c r="E70" s="3">
        <f>SUMIFS(park_dem_calibrtd_by_hour!D:D,park_dem_calibrtd_by_hour!$A:$A,$A70)</f>
        <v>1638.3647222436025</v>
      </c>
      <c r="F70" s="3">
        <f>SUMIFS(park_dem_calibrtd_by_hour!E:E,park_dem_calibrtd_by_hour!$A:$A,$A70)</f>
        <v>228.04152014792831</v>
      </c>
      <c r="G70" s="3">
        <f t="shared" si="7"/>
        <v>1866.4062423915309</v>
      </c>
      <c r="H70" s="5">
        <f t="shared" si="8"/>
        <v>0.12218214607754736</v>
      </c>
      <c r="I70" s="5">
        <f t="shared" ca="1" si="9"/>
        <v>1.2481977425071051</v>
      </c>
      <c r="J70">
        <f t="shared" ca="1" si="10"/>
        <v>1</v>
      </c>
      <c r="K70">
        <f t="shared" ca="1" si="11"/>
        <v>0</v>
      </c>
      <c r="L70">
        <f t="shared" ca="1" si="12"/>
        <v>0</v>
      </c>
      <c r="M70">
        <f t="shared" ca="1" si="13"/>
        <v>0</v>
      </c>
    </row>
    <row r="71" spans="1:13" x14ac:dyDescent="0.25">
      <c r="A71">
        <v>18139</v>
      </c>
      <c r="B71" t="str">
        <f ca="1">OFFSET(park_dem_calibrtd_by_hour!B$1,MATCH(A71,park_dem_calibrtd_by_hour!A:A,0)-1,0)</f>
        <v>Rush County</v>
      </c>
      <c r="C71">
        <f ca="1">OFFSET(park_dem_calibrtd_by_hour!G$1,MATCH(A71,park_dem_calibrtd_by_hour!A:A,0)-1,0)</f>
        <v>15</v>
      </c>
      <c r="D71" s="3">
        <f>_xlfn.MAXIFS(park_dem_calibrtd_by_hour!D:D,park_dem_calibrtd_by_hour!$A:$A,$A71)</f>
        <v>8.1394751213971261</v>
      </c>
      <c r="E71" s="3">
        <f>SUMIFS(park_dem_calibrtd_by_hour!D:D,park_dem_calibrtd_by_hour!$A:$A,$A71)</f>
        <v>23.170768593758226</v>
      </c>
      <c r="F71" s="3">
        <f>SUMIFS(park_dem_calibrtd_by_hour!E:E,park_dem_calibrtd_by_hour!$A:$A,$A71)</f>
        <v>30.003174717558704</v>
      </c>
      <c r="G71" s="3">
        <f t="shared" si="7"/>
        <v>53.173943311316933</v>
      </c>
      <c r="H71" s="5">
        <f t="shared" si="8"/>
        <v>0.56424581005586572</v>
      </c>
      <c r="I71" s="5">
        <f t="shared" ca="1" si="9"/>
        <v>0.54263167475980845</v>
      </c>
      <c r="J71">
        <f t="shared" ca="1" si="10"/>
        <v>0</v>
      </c>
      <c r="K71">
        <f t="shared" ca="1" si="11"/>
        <v>0</v>
      </c>
      <c r="L71">
        <f t="shared" ca="1" si="12"/>
        <v>1</v>
      </c>
      <c r="M71">
        <f t="shared" ca="1" si="13"/>
        <v>0</v>
      </c>
    </row>
    <row r="72" spans="1:13" x14ac:dyDescent="0.25">
      <c r="A72">
        <v>18141</v>
      </c>
      <c r="B72" t="str">
        <f ca="1">OFFSET(park_dem_calibrtd_by_hour!B$1,MATCH(A72,park_dem_calibrtd_by_hour!A:A,0)-1,0)</f>
        <v>St. Joseph County</v>
      </c>
      <c r="C72">
        <f ca="1">OFFSET(park_dem_calibrtd_by_hour!G$1,MATCH(A72,park_dem_calibrtd_by_hour!A:A,0)-1,0)</f>
        <v>70</v>
      </c>
      <c r="D72" s="3">
        <f>_xlfn.MAXIFS(park_dem_calibrtd_by_hour!D:D,park_dem_calibrtd_by_hour!$A:$A,$A72)</f>
        <v>68.267322060640922</v>
      </c>
      <c r="E72" s="3">
        <f>SUMIFS(park_dem_calibrtd_by_hour!D:D,park_dem_calibrtd_by_hour!$A:$A,$A72)</f>
        <v>1265.36107105631</v>
      </c>
      <c r="F72" s="3">
        <f>SUMIFS(park_dem_calibrtd_by_hour!E:E,park_dem_calibrtd_by_hour!$A:$A,$A72)</f>
        <v>501.13465724976572</v>
      </c>
      <c r="G72" s="3">
        <f t="shared" si="7"/>
        <v>1766.4957283060758</v>
      </c>
      <c r="H72" s="5">
        <f t="shared" si="8"/>
        <v>0.28368857576027806</v>
      </c>
      <c r="I72" s="5">
        <f t="shared" ca="1" si="9"/>
        <v>0.97524745800915602</v>
      </c>
      <c r="J72">
        <f t="shared" ca="1" si="10"/>
        <v>1</v>
      </c>
      <c r="K72">
        <f t="shared" ca="1" si="11"/>
        <v>0</v>
      </c>
      <c r="L72">
        <f t="shared" ca="1" si="12"/>
        <v>0</v>
      </c>
      <c r="M72">
        <f t="shared" ca="1" si="13"/>
        <v>0</v>
      </c>
    </row>
    <row r="73" spans="1:13" x14ac:dyDescent="0.25">
      <c r="A73">
        <v>18143</v>
      </c>
      <c r="B73" t="str">
        <f ca="1">OFFSET(park_dem_calibrtd_by_hour!B$1,MATCH(A73,park_dem_calibrtd_by_hour!A:A,0)-1,0)</f>
        <v>Scott County</v>
      </c>
      <c r="C73">
        <f ca="1">OFFSET(park_dem_calibrtd_by_hour!G$1,MATCH(A73,park_dem_calibrtd_by_hour!A:A,0)-1,0)</f>
        <v>20</v>
      </c>
      <c r="D73" s="3">
        <f>_xlfn.MAXIFS(park_dem_calibrtd_by_hour!D:D,park_dem_calibrtd_by_hour!$A:$A,$A73)</f>
        <v>9.6764292646367398</v>
      </c>
      <c r="E73" s="3">
        <f>SUMIFS(park_dem_calibrtd_by_hour!D:D,park_dem_calibrtd_by_hour!$A:$A,$A73)</f>
        <v>140.49170952288989</v>
      </c>
      <c r="F73" s="3">
        <f>SUMIFS(park_dem_calibrtd_by_hour!E:E,park_dem_calibrtd_by_hour!$A:$A,$A73)</f>
        <v>30.825511190339892</v>
      </c>
      <c r="G73" s="3">
        <f t="shared" si="7"/>
        <v>171.31722071322977</v>
      </c>
      <c r="H73" s="5">
        <f t="shared" si="8"/>
        <v>0.17993235625704632</v>
      </c>
      <c r="I73" s="5">
        <f t="shared" ca="1" si="9"/>
        <v>0.483821463231837</v>
      </c>
      <c r="J73">
        <f t="shared" ca="1" si="10"/>
        <v>0</v>
      </c>
      <c r="K73">
        <f t="shared" ca="1" si="11"/>
        <v>0</v>
      </c>
      <c r="L73">
        <f t="shared" ca="1" si="12"/>
        <v>1</v>
      </c>
      <c r="M73">
        <f t="shared" ca="1" si="13"/>
        <v>0</v>
      </c>
    </row>
    <row r="74" spans="1:13" x14ac:dyDescent="0.25">
      <c r="A74">
        <v>18145</v>
      </c>
      <c r="B74" t="str">
        <f ca="1">OFFSET(park_dem_calibrtd_by_hour!B$1,MATCH(A74,park_dem_calibrtd_by_hour!A:A,0)-1,0)</f>
        <v>Shelby County</v>
      </c>
      <c r="C74">
        <f ca="1">OFFSET(park_dem_calibrtd_by_hour!G$1,MATCH(A74,park_dem_calibrtd_by_hour!A:A,0)-1,0)</f>
        <v>84</v>
      </c>
      <c r="D74" s="3">
        <f>_xlfn.MAXIFS(park_dem_calibrtd_by_hour!D:D,park_dem_calibrtd_by_hour!$A:$A,$A74)</f>
        <v>132.79375239520684</v>
      </c>
      <c r="E74" s="3">
        <f>SUMIFS(park_dem_calibrtd_by_hour!D:D,park_dem_calibrtd_by_hour!$A:$A,$A74)</f>
        <v>2666.0705871875552</v>
      </c>
      <c r="F74" s="3">
        <f>SUMIFS(park_dem_calibrtd_by_hour!E:E,park_dem_calibrtd_by_hour!$A:$A,$A74)</f>
        <v>365.08841594530543</v>
      </c>
      <c r="G74" s="3">
        <f t="shared" si="7"/>
        <v>3031.1590031328606</v>
      </c>
      <c r="H74" s="5">
        <f t="shared" si="8"/>
        <v>0.120445154994498</v>
      </c>
      <c r="I74" s="5">
        <f t="shared" ca="1" si="9"/>
        <v>1.5808780047048434</v>
      </c>
      <c r="J74">
        <f t="shared" ca="1" si="10"/>
        <v>1</v>
      </c>
      <c r="K74">
        <f t="shared" ca="1" si="11"/>
        <v>0</v>
      </c>
      <c r="L74">
        <f t="shared" ca="1" si="12"/>
        <v>0</v>
      </c>
      <c r="M74">
        <f t="shared" ca="1" si="13"/>
        <v>0</v>
      </c>
    </row>
    <row r="75" spans="1:13" x14ac:dyDescent="0.25">
      <c r="A75">
        <v>18147</v>
      </c>
      <c r="B75" t="str">
        <f ca="1">OFFSET(park_dem_calibrtd_by_hour!B$1,MATCH(A75,park_dem_calibrtd_by_hour!A:A,0)-1,0)</f>
        <v>Spencer County</v>
      </c>
      <c r="C75">
        <f ca="1">OFFSET(park_dem_calibrtd_by_hour!G$1,MATCH(A75,park_dem_calibrtd_by_hour!A:A,0)-1,0)</f>
        <v>14</v>
      </c>
      <c r="D75" s="3">
        <f>_xlfn.MAXIFS(park_dem_calibrtd_by_hour!D:D,park_dem_calibrtd_by_hour!$A:$A,$A75)</f>
        <v>9.4582234887525605</v>
      </c>
      <c r="E75" s="3">
        <f>SUMIFS(park_dem_calibrtd_by_hour!D:D,park_dem_calibrtd_by_hour!$A:$A,$A75)</f>
        <v>181.55928599021848</v>
      </c>
      <c r="F75" s="3">
        <f>SUMIFS(park_dem_calibrtd_by_hour!E:E,park_dem_calibrtd_by_hour!$A:$A,$A75)</f>
        <v>194.76219388064058</v>
      </c>
      <c r="G75" s="3">
        <f t="shared" si="7"/>
        <v>376.32147987085909</v>
      </c>
      <c r="H75" s="5">
        <f t="shared" si="8"/>
        <v>0.51754205990972513</v>
      </c>
      <c r="I75" s="5">
        <f t="shared" ca="1" si="9"/>
        <v>0.67558739205375429</v>
      </c>
      <c r="J75">
        <f t="shared" ca="1" si="10"/>
        <v>0</v>
      </c>
      <c r="K75">
        <f t="shared" ca="1" si="11"/>
        <v>1</v>
      </c>
      <c r="L75">
        <f t="shared" ca="1" si="12"/>
        <v>0</v>
      </c>
      <c r="M75">
        <f t="shared" ca="1" si="13"/>
        <v>0</v>
      </c>
    </row>
    <row r="76" spans="1:13" x14ac:dyDescent="0.25">
      <c r="A76">
        <v>18149</v>
      </c>
      <c r="B76" t="str">
        <f ca="1">OFFSET(park_dem_calibrtd_by_hour!B$1,MATCH(A76,park_dem_calibrtd_by_hour!A:A,0)-1,0)</f>
        <v>Starke County</v>
      </c>
      <c r="C76">
        <f ca="1">OFFSET(park_dem_calibrtd_by_hour!G$1,MATCH(A76,park_dem_calibrtd_by_hour!A:A,0)-1,0)</f>
        <v>65</v>
      </c>
      <c r="D76" s="3">
        <f>_xlfn.MAXIFS(park_dem_calibrtd_by_hour!D:D,park_dem_calibrtd_by_hour!$A:$A,$A76)</f>
        <v>79.370220240595458</v>
      </c>
      <c r="E76" s="3">
        <f>SUMIFS(park_dem_calibrtd_by_hour!D:D,park_dem_calibrtd_by_hour!$A:$A,$A76)</f>
        <v>1117.0328148433548</v>
      </c>
      <c r="F76" s="3">
        <f>SUMIFS(park_dem_calibrtd_by_hour!E:E,park_dem_calibrtd_by_hour!$A:$A,$A76)</f>
        <v>12.962473154871097</v>
      </c>
      <c r="G76" s="3">
        <f t="shared" si="7"/>
        <v>1129.9952879982259</v>
      </c>
      <c r="H76" s="5">
        <f t="shared" si="8"/>
        <v>1.1471263015471484E-2</v>
      </c>
      <c r="I76" s="5">
        <f t="shared" ca="1" si="9"/>
        <v>1.2210803113937763</v>
      </c>
      <c r="J76">
        <f t="shared" ca="1" si="10"/>
        <v>1</v>
      </c>
      <c r="K76">
        <f t="shared" ca="1" si="11"/>
        <v>0</v>
      </c>
      <c r="L76">
        <f t="shared" ca="1" si="12"/>
        <v>0</v>
      </c>
      <c r="M76">
        <f t="shared" ca="1" si="13"/>
        <v>0</v>
      </c>
    </row>
    <row r="77" spans="1:13" x14ac:dyDescent="0.25">
      <c r="A77">
        <v>18151</v>
      </c>
      <c r="B77" t="str">
        <f ca="1">OFFSET(park_dem_calibrtd_by_hour!B$1,MATCH(A77,park_dem_calibrtd_by_hour!A:A,0)-1,0)</f>
        <v>Steuben County</v>
      </c>
      <c r="C77">
        <f ca="1">OFFSET(park_dem_calibrtd_by_hour!G$1,MATCH(A77,park_dem_calibrtd_by_hour!A:A,0)-1,0)</f>
        <v>640</v>
      </c>
      <c r="D77" s="3">
        <f>_xlfn.MAXIFS(park_dem_calibrtd_by_hour!D:D,park_dem_calibrtd_by_hour!$A:$A,$A77)</f>
        <v>369.59172256183444</v>
      </c>
      <c r="E77" s="3">
        <f>SUMIFS(park_dem_calibrtd_by_hour!D:D,park_dem_calibrtd_by_hour!$A:$A,$A77)</f>
        <v>6952.2070279918898</v>
      </c>
      <c r="F77" s="3">
        <f>SUMIFS(park_dem_calibrtd_by_hour!E:E,park_dem_calibrtd_by_hour!$A:$A,$A77)</f>
        <v>386.78326540319597</v>
      </c>
      <c r="G77" s="3">
        <f t="shared" si="7"/>
        <v>7338.9902933950862</v>
      </c>
      <c r="H77" s="5">
        <f t="shared" si="8"/>
        <v>5.2702517640783847E-2</v>
      </c>
      <c r="I77" s="5">
        <f t="shared" ca="1" si="9"/>
        <v>0.5774870665028663</v>
      </c>
      <c r="J77">
        <f t="shared" ca="1" si="10"/>
        <v>0</v>
      </c>
      <c r="K77">
        <f t="shared" ca="1" si="11"/>
        <v>0</v>
      </c>
      <c r="L77">
        <f t="shared" ca="1" si="12"/>
        <v>1</v>
      </c>
      <c r="M77">
        <f t="shared" ca="1" si="13"/>
        <v>0</v>
      </c>
    </row>
    <row r="78" spans="1:13" x14ac:dyDescent="0.25">
      <c r="A78">
        <v>18153</v>
      </c>
      <c r="B78" t="str">
        <f ca="1">OFFSET(park_dem_calibrtd_by_hour!B$1,MATCH(A78,park_dem_calibrtd_by_hour!A:A,0)-1,0)</f>
        <v>Sullivan County</v>
      </c>
      <c r="C78">
        <f ca="1">OFFSET(park_dem_calibrtd_by_hour!G$1,MATCH(A78,park_dem_calibrtd_by_hour!A:A,0)-1,0)</f>
        <v>122</v>
      </c>
      <c r="D78" s="3">
        <f>_xlfn.MAXIFS(park_dem_calibrtd_by_hour!D:D,park_dem_calibrtd_by_hour!$A:$A,$A78)</f>
        <v>18.533854441607929</v>
      </c>
      <c r="E78" s="3">
        <f>SUMIFS(park_dem_calibrtd_by_hour!D:D,park_dem_calibrtd_by_hour!$A:$A,$A78)</f>
        <v>271.24239122978969</v>
      </c>
      <c r="F78" s="3">
        <f>SUMIFS(park_dem_calibrtd_by_hour!E:E,park_dem_calibrtd_by_hour!$A:$A,$A78)</f>
        <v>11.370462847612233</v>
      </c>
      <c r="G78" s="3">
        <f t="shared" si="7"/>
        <v>282.61285407740195</v>
      </c>
      <c r="H78" s="5">
        <f t="shared" si="8"/>
        <v>4.023335345001007E-2</v>
      </c>
      <c r="I78" s="5">
        <f t="shared" ca="1" si="9"/>
        <v>0.15191683968531089</v>
      </c>
      <c r="J78">
        <f t="shared" ca="1" si="10"/>
        <v>0</v>
      </c>
      <c r="K78">
        <f t="shared" ca="1" si="11"/>
        <v>0</v>
      </c>
      <c r="L78">
        <f t="shared" ca="1" si="12"/>
        <v>1</v>
      </c>
      <c r="M78">
        <f t="shared" ca="1" si="13"/>
        <v>0</v>
      </c>
    </row>
    <row r="79" spans="1:13" x14ac:dyDescent="0.25">
      <c r="A79">
        <v>18155</v>
      </c>
      <c r="B79" t="str">
        <f ca="1">OFFSET(park_dem_calibrtd_by_hour!B$1,MATCH(A79,park_dem_calibrtd_by_hour!A:A,0)-1,0)</f>
        <v>Switzerland County</v>
      </c>
      <c r="C79">
        <f ca="1">OFFSET(park_dem_calibrtd_by_hour!G$1,MATCH(A79,park_dem_calibrtd_by_hour!A:A,0)-1,0)</f>
        <v>0</v>
      </c>
      <c r="D79" s="3">
        <f>_xlfn.MAXIFS(park_dem_calibrtd_by_hour!D:D,park_dem_calibrtd_by_hour!$A:$A,$A79)</f>
        <v>0</v>
      </c>
      <c r="E79" s="3">
        <f>SUMIFS(park_dem_calibrtd_by_hour!D:D,park_dem_calibrtd_by_hour!$A:$A,$A79)</f>
        <v>0</v>
      </c>
      <c r="F79" s="3">
        <f>SUMIFS(park_dem_calibrtd_by_hour!E:E,park_dem_calibrtd_by_hour!$A:$A,$A79)</f>
        <v>0</v>
      </c>
      <c r="G79" s="3">
        <f t="shared" si="7"/>
        <v>0</v>
      </c>
      <c r="H79" s="5" t="e">
        <f t="shared" si="8"/>
        <v>#DIV/0!</v>
      </c>
      <c r="I79" s="5" t="e">
        <f t="shared" ca="1" si="9"/>
        <v>#DIV/0!</v>
      </c>
      <c r="J79">
        <f t="shared" ca="1" si="10"/>
        <v>0</v>
      </c>
      <c r="K79">
        <f t="shared" ca="1" si="11"/>
        <v>0</v>
      </c>
      <c r="L79">
        <f t="shared" ca="1" si="12"/>
        <v>0</v>
      </c>
      <c r="M79">
        <f t="shared" ca="1" si="13"/>
        <v>1</v>
      </c>
    </row>
    <row r="80" spans="1:13" x14ac:dyDescent="0.25">
      <c r="A80">
        <v>18157</v>
      </c>
      <c r="B80" t="str">
        <f ca="1">OFFSET(park_dem_calibrtd_by_hour!B$1,MATCH(A80,park_dem_calibrtd_by_hour!A:A,0)-1,0)</f>
        <v>Tippecanoe County</v>
      </c>
      <c r="C80">
        <f ca="1">OFFSET(park_dem_calibrtd_by_hour!G$1,MATCH(A80,park_dem_calibrtd_by_hour!A:A,0)-1,0)</f>
        <v>92</v>
      </c>
      <c r="D80" s="3">
        <f>_xlfn.MAXIFS(park_dem_calibrtd_by_hour!D:D,park_dem_calibrtd_by_hour!$A:$A,$A80)</f>
        <v>102.40492815471875</v>
      </c>
      <c r="E80" s="3">
        <f>SUMIFS(park_dem_calibrtd_by_hour!D:D,park_dem_calibrtd_by_hour!$A:$A,$A80)</f>
        <v>1894.7726436783132</v>
      </c>
      <c r="F80" s="3">
        <f>SUMIFS(park_dem_calibrtd_by_hour!E:E,park_dem_calibrtd_by_hour!$A:$A,$A80)</f>
        <v>243.70428179548739</v>
      </c>
      <c r="G80" s="3">
        <f t="shared" si="7"/>
        <v>2138.4769254738007</v>
      </c>
      <c r="H80" s="5">
        <f t="shared" si="8"/>
        <v>0.11396161393768245</v>
      </c>
      <c r="I80" s="5">
        <f t="shared" ca="1" si="9"/>
        <v>1.1130970451599864</v>
      </c>
      <c r="J80">
        <f t="shared" ca="1" si="10"/>
        <v>1</v>
      </c>
      <c r="K80">
        <f t="shared" ca="1" si="11"/>
        <v>0</v>
      </c>
      <c r="L80">
        <f t="shared" ca="1" si="12"/>
        <v>0</v>
      </c>
      <c r="M80">
        <f t="shared" ca="1" si="13"/>
        <v>0</v>
      </c>
    </row>
    <row r="81" spans="1:13" x14ac:dyDescent="0.25">
      <c r="A81">
        <v>18159</v>
      </c>
      <c r="B81" t="str">
        <f ca="1">OFFSET(park_dem_calibrtd_by_hour!B$1,MATCH(A81,park_dem_calibrtd_by_hour!A:A,0)-1,0)</f>
        <v>Tipton County</v>
      </c>
      <c r="C81">
        <f ca="1">OFFSET(park_dem_calibrtd_by_hour!G$1,MATCH(A81,park_dem_calibrtd_by_hour!A:A,0)-1,0)</f>
        <v>0</v>
      </c>
      <c r="D81" s="3">
        <f>_xlfn.MAXIFS(park_dem_calibrtd_by_hour!D:D,park_dem_calibrtd_by_hour!$A:$A,$A81)</f>
        <v>0</v>
      </c>
      <c r="E81" s="3">
        <f>SUMIFS(park_dem_calibrtd_by_hour!D:D,park_dem_calibrtd_by_hour!$A:$A,$A81)</f>
        <v>0</v>
      </c>
      <c r="F81" s="3">
        <f>SUMIFS(park_dem_calibrtd_by_hour!E:E,park_dem_calibrtd_by_hour!$A:$A,$A81)</f>
        <v>4.4299927510895261</v>
      </c>
      <c r="G81" s="3">
        <f t="shared" si="7"/>
        <v>4.4299927510895261</v>
      </c>
      <c r="H81" s="5">
        <f t="shared" si="8"/>
        <v>1</v>
      </c>
      <c r="I81" s="5" t="e">
        <f t="shared" ca="1" si="9"/>
        <v>#DIV/0!</v>
      </c>
      <c r="J81">
        <f t="shared" ca="1" si="10"/>
        <v>0</v>
      </c>
      <c r="K81">
        <f t="shared" ca="1" si="11"/>
        <v>0</v>
      </c>
      <c r="L81">
        <f t="shared" ca="1" si="12"/>
        <v>0</v>
      </c>
      <c r="M81">
        <f t="shared" ca="1" si="13"/>
        <v>1</v>
      </c>
    </row>
    <row r="82" spans="1:13" x14ac:dyDescent="0.25">
      <c r="A82">
        <v>18161</v>
      </c>
      <c r="B82" t="str">
        <f ca="1">OFFSET(park_dem_calibrtd_by_hour!B$1,MATCH(A82,park_dem_calibrtd_by_hour!A:A,0)-1,0)</f>
        <v>Union County</v>
      </c>
      <c r="C82">
        <f ca="1">OFFSET(park_dem_calibrtd_by_hour!G$1,MATCH(A82,park_dem_calibrtd_by_hour!A:A,0)-1,0)</f>
        <v>0</v>
      </c>
      <c r="D82" s="3">
        <f>_xlfn.MAXIFS(park_dem_calibrtd_by_hour!D:D,park_dem_calibrtd_by_hour!$A:$A,$A82)</f>
        <v>0</v>
      </c>
      <c r="E82" s="3">
        <f>SUMIFS(park_dem_calibrtd_by_hour!D:D,park_dem_calibrtd_by_hour!$A:$A,$A82)</f>
        <v>0</v>
      </c>
      <c r="F82" s="3">
        <f>SUMIFS(park_dem_calibrtd_by_hour!E:E,park_dem_calibrtd_by_hour!$A:$A,$A82)</f>
        <v>0.60294185928134603</v>
      </c>
      <c r="G82" s="3">
        <f t="shared" si="7"/>
        <v>0.60294185928134603</v>
      </c>
      <c r="H82" s="5">
        <f t="shared" si="8"/>
        <v>1</v>
      </c>
      <c r="I82" s="5" t="e">
        <f t="shared" ca="1" si="9"/>
        <v>#DIV/0!</v>
      </c>
      <c r="J82">
        <f t="shared" ca="1" si="10"/>
        <v>0</v>
      </c>
      <c r="K82">
        <f t="shared" ca="1" si="11"/>
        <v>0</v>
      </c>
      <c r="L82">
        <f t="shared" ca="1" si="12"/>
        <v>0</v>
      </c>
      <c r="M82">
        <f t="shared" ca="1" si="13"/>
        <v>1</v>
      </c>
    </row>
    <row r="83" spans="1:13" x14ac:dyDescent="0.25">
      <c r="A83">
        <v>18163</v>
      </c>
      <c r="B83" t="str">
        <f ca="1">OFFSET(park_dem_calibrtd_by_hour!B$1,MATCH(A83,park_dem_calibrtd_by_hour!A:A,0)-1,0)</f>
        <v>Vanderburgh County</v>
      </c>
      <c r="C83">
        <f ca="1">OFFSET(park_dem_calibrtd_by_hour!G$1,MATCH(A83,park_dem_calibrtd_by_hour!A:A,0)-1,0)</f>
        <v>62</v>
      </c>
      <c r="D83" s="3">
        <f>_xlfn.MAXIFS(park_dem_calibrtd_by_hour!D:D,park_dem_calibrtd_by_hour!$A:$A,$A83)</f>
        <v>6.5976191986160035</v>
      </c>
      <c r="E83" s="3">
        <f>SUMIFS(park_dem_calibrtd_by_hour!D:D,park_dem_calibrtd_by_hour!$A:$A,$A83)</f>
        <v>84.391876642491084</v>
      </c>
      <c r="F83" s="3">
        <f>SUMIFS(park_dem_calibrtd_by_hour!E:E,park_dem_calibrtd_by_hour!$A:$A,$A83)</f>
        <v>500.49026804258335</v>
      </c>
      <c r="G83" s="3">
        <f t="shared" si="7"/>
        <v>584.88214468507442</v>
      </c>
      <c r="H83" s="5">
        <f t="shared" si="8"/>
        <v>0.85571131310918835</v>
      </c>
      <c r="I83" s="5">
        <f t="shared" ca="1" si="9"/>
        <v>0.10641321288090329</v>
      </c>
      <c r="J83">
        <f t="shared" ca="1" si="10"/>
        <v>0</v>
      </c>
      <c r="K83">
        <f t="shared" ca="1" si="11"/>
        <v>1</v>
      </c>
      <c r="L83">
        <f t="shared" ca="1" si="12"/>
        <v>0</v>
      </c>
      <c r="M83">
        <f t="shared" ca="1" si="13"/>
        <v>0</v>
      </c>
    </row>
    <row r="84" spans="1:13" x14ac:dyDescent="0.25">
      <c r="A84">
        <v>18165</v>
      </c>
      <c r="B84" t="str">
        <f ca="1">OFFSET(park_dem_calibrtd_by_hour!B$1,MATCH(A84,park_dem_calibrtd_by_hour!A:A,0)-1,0)</f>
        <v>Vermillion County</v>
      </c>
      <c r="C84">
        <f ca="1">OFFSET(park_dem_calibrtd_by_hour!G$1,MATCH(A84,park_dem_calibrtd_by_hour!A:A,0)-1,0)</f>
        <v>119</v>
      </c>
      <c r="D84" s="3">
        <f>_xlfn.MAXIFS(park_dem_calibrtd_by_hour!D:D,park_dem_calibrtd_by_hour!$A:$A,$A84)</f>
        <v>91.124316075115487</v>
      </c>
      <c r="E84" s="3">
        <f>SUMIFS(park_dem_calibrtd_by_hour!D:D,park_dem_calibrtd_by_hour!$A:$A,$A84)</f>
        <v>1549.5155894832772</v>
      </c>
      <c r="F84" s="3">
        <f>SUMIFS(park_dem_calibrtd_by_hour!E:E,park_dem_calibrtd_by_hour!$A:$A,$A84)</f>
        <v>29.004257544261883</v>
      </c>
      <c r="G84" s="3">
        <f t="shared" si="7"/>
        <v>1578.5198470275391</v>
      </c>
      <c r="H84" s="5">
        <f t="shared" si="8"/>
        <v>1.8374338212394911E-2</v>
      </c>
      <c r="I84" s="5">
        <f t="shared" ca="1" si="9"/>
        <v>0.76575055525307134</v>
      </c>
      <c r="J84">
        <f t="shared" ca="1" si="10"/>
        <v>0</v>
      </c>
      <c r="K84">
        <f t="shared" ca="1" si="11"/>
        <v>1</v>
      </c>
      <c r="L84">
        <f t="shared" ca="1" si="12"/>
        <v>0</v>
      </c>
      <c r="M84">
        <f t="shared" ca="1" si="13"/>
        <v>0</v>
      </c>
    </row>
    <row r="85" spans="1:13" x14ac:dyDescent="0.25">
      <c r="A85">
        <v>18167</v>
      </c>
      <c r="B85" t="str">
        <f ca="1">OFFSET(park_dem_calibrtd_by_hour!B$1,MATCH(A85,park_dem_calibrtd_by_hour!A:A,0)-1,0)</f>
        <v>Vigo County</v>
      </c>
      <c r="C85">
        <f ca="1">OFFSET(park_dem_calibrtd_by_hour!G$1,MATCH(A85,park_dem_calibrtd_by_hour!A:A,0)-1,0)</f>
        <v>135</v>
      </c>
      <c r="D85" s="3">
        <f>_xlfn.MAXIFS(park_dem_calibrtd_by_hour!D:D,park_dem_calibrtd_by_hour!$A:$A,$A85)</f>
        <v>48.54434931811393</v>
      </c>
      <c r="E85" s="3">
        <f>SUMIFS(park_dem_calibrtd_by_hour!D:D,park_dem_calibrtd_by_hour!$A:$A,$A85)</f>
        <v>862.24917455494278</v>
      </c>
      <c r="F85" s="3">
        <f>SUMIFS(park_dem_calibrtd_by_hour!E:E,park_dem_calibrtd_by_hour!$A:$A,$A85)</f>
        <v>143.69761964819463</v>
      </c>
      <c r="G85" s="3">
        <f t="shared" si="7"/>
        <v>1005.9467942031374</v>
      </c>
      <c r="H85" s="5">
        <f t="shared" si="8"/>
        <v>0.14284813120958845</v>
      </c>
      <c r="I85" s="5">
        <f t="shared" ca="1" si="9"/>
        <v>0.35958777272676984</v>
      </c>
      <c r="J85">
        <f t="shared" ca="1" si="10"/>
        <v>0</v>
      </c>
      <c r="K85">
        <f t="shared" ca="1" si="11"/>
        <v>0</v>
      </c>
      <c r="L85">
        <f t="shared" ca="1" si="12"/>
        <v>1</v>
      </c>
      <c r="M85">
        <f t="shared" ca="1" si="13"/>
        <v>0</v>
      </c>
    </row>
    <row r="86" spans="1:13" x14ac:dyDescent="0.25">
      <c r="A86">
        <v>18169</v>
      </c>
      <c r="B86" t="str">
        <f ca="1">OFFSET(park_dem_calibrtd_by_hour!B$1,MATCH(A86,park_dem_calibrtd_by_hour!A:A,0)-1,0)</f>
        <v>Wabash County</v>
      </c>
      <c r="C86">
        <f ca="1">OFFSET(park_dem_calibrtd_by_hour!G$1,MATCH(A86,park_dem_calibrtd_by_hour!A:A,0)-1,0)</f>
        <v>15</v>
      </c>
      <c r="D86" s="3">
        <f>_xlfn.MAXIFS(park_dem_calibrtd_by_hour!D:D,park_dem_calibrtd_by_hour!$A:$A,$A86)</f>
        <v>7.682403523759147</v>
      </c>
      <c r="E86" s="3">
        <f>SUMIFS(park_dem_calibrtd_by_hour!D:D,park_dem_calibrtd_by_hour!$A:$A,$A86)</f>
        <v>125.96099242915984</v>
      </c>
      <c r="F86" s="3">
        <f>SUMIFS(park_dem_calibrtd_by_hour!E:E,park_dem_calibrtd_by_hour!$A:$A,$A86)</f>
        <v>63.056559615805185</v>
      </c>
      <c r="G86" s="3">
        <f t="shared" si="7"/>
        <v>189.01755204496504</v>
      </c>
      <c r="H86" s="5">
        <f t="shared" si="8"/>
        <v>0.33360160965794738</v>
      </c>
      <c r="I86" s="5">
        <f t="shared" ca="1" si="9"/>
        <v>0.51216023491727647</v>
      </c>
      <c r="J86">
        <f t="shared" ca="1" si="10"/>
        <v>0</v>
      </c>
      <c r="K86">
        <f t="shared" ca="1" si="11"/>
        <v>0</v>
      </c>
      <c r="L86">
        <f t="shared" ca="1" si="12"/>
        <v>1</v>
      </c>
      <c r="M86">
        <f t="shared" ca="1" si="13"/>
        <v>0</v>
      </c>
    </row>
    <row r="87" spans="1:13" x14ac:dyDescent="0.25">
      <c r="A87">
        <v>18171</v>
      </c>
      <c r="B87" t="str">
        <f ca="1">OFFSET(park_dem_calibrtd_by_hour!B$1,MATCH(A87,park_dem_calibrtd_by_hour!A:A,0)-1,0)</f>
        <v>Warren County</v>
      </c>
      <c r="C87">
        <f ca="1">OFFSET(park_dem_calibrtd_by_hour!G$1,MATCH(A87,park_dem_calibrtd_by_hour!A:A,0)-1,0)</f>
        <v>0</v>
      </c>
      <c r="D87" s="3">
        <f>_xlfn.MAXIFS(park_dem_calibrtd_by_hour!D:D,park_dem_calibrtd_by_hour!$A:$A,$A87)</f>
        <v>0</v>
      </c>
      <c r="E87" s="3">
        <f>SUMIFS(park_dem_calibrtd_by_hour!D:D,park_dem_calibrtd_by_hour!$A:$A,$A87)</f>
        <v>0</v>
      </c>
      <c r="F87" s="3">
        <f>SUMIFS(park_dem_calibrtd_by_hour!E:E,park_dem_calibrtd_by_hour!$A:$A,$A87)</f>
        <v>90.999568337160781</v>
      </c>
      <c r="G87" s="3">
        <f t="shared" si="7"/>
        <v>90.999568337160781</v>
      </c>
      <c r="H87" s="5">
        <f t="shared" si="8"/>
        <v>1</v>
      </c>
      <c r="I87" s="5" t="e">
        <f t="shared" ca="1" si="9"/>
        <v>#DIV/0!</v>
      </c>
      <c r="J87">
        <f t="shared" ca="1" si="10"/>
        <v>0</v>
      </c>
      <c r="K87">
        <f t="shared" ca="1" si="11"/>
        <v>0</v>
      </c>
      <c r="L87">
        <f t="shared" ca="1" si="12"/>
        <v>0</v>
      </c>
      <c r="M87">
        <f t="shared" ca="1" si="13"/>
        <v>1</v>
      </c>
    </row>
    <row r="88" spans="1:13" x14ac:dyDescent="0.25">
      <c r="A88">
        <v>18173</v>
      </c>
      <c r="B88" t="str">
        <f ca="1">OFFSET(park_dem_calibrtd_by_hour!B$1,MATCH(A88,park_dem_calibrtd_by_hour!A:A,0)-1,0)</f>
        <v>Warrick County</v>
      </c>
      <c r="C88">
        <f ca="1">OFFSET(park_dem_calibrtd_by_hour!G$1,MATCH(A88,park_dem_calibrtd_by_hour!A:A,0)-1,0)</f>
        <v>10</v>
      </c>
      <c r="D88" s="3">
        <f>_xlfn.MAXIFS(park_dem_calibrtd_by_hour!D:D,park_dem_calibrtd_by_hour!$A:$A,$A88)</f>
        <v>1.5829272241980914</v>
      </c>
      <c r="E88" s="3">
        <f>SUMIFS(park_dem_calibrtd_by_hour!D:D,park_dem_calibrtd_by_hour!$A:$A,$A88)</f>
        <v>14.905898027865392</v>
      </c>
      <c r="F88" s="3">
        <f>SUMIFS(park_dem_calibrtd_by_hour!E:E,park_dem_calibrtd_by_hour!$A:$A,$A88)</f>
        <v>96.382679873395134</v>
      </c>
      <c r="G88" s="3">
        <f t="shared" si="7"/>
        <v>111.28857790126052</v>
      </c>
      <c r="H88" s="5">
        <f t="shared" si="8"/>
        <v>0.86606084551560658</v>
      </c>
      <c r="I88" s="5">
        <f t="shared" ca="1" si="9"/>
        <v>0.15829272241980913</v>
      </c>
      <c r="J88">
        <f t="shared" ca="1" si="10"/>
        <v>0</v>
      </c>
      <c r="K88">
        <f t="shared" ca="1" si="11"/>
        <v>0</v>
      </c>
      <c r="L88">
        <f t="shared" ca="1" si="12"/>
        <v>1</v>
      </c>
      <c r="M88">
        <f t="shared" ca="1" si="13"/>
        <v>0</v>
      </c>
    </row>
    <row r="89" spans="1:13" x14ac:dyDescent="0.25">
      <c r="A89">
        <v>18175</v>
      </c>
      <c r="B89" t="str">
        <f ca="1">OFFSET(park_dem_calibrtd_by_hour!B$1,MATCH(A89,park_dem_calibrtd_by_hour!A:A,0)-1,0)</f>
        <v>Washington County</v>
      </c>
      <c r="C89">
        <f ca="1">OFFSET(park_dem_calibrtd_by_hour!G$1,MATCH(A89,park_dem_calibrtd_by_hour!A:A,0)-1,0)</f>
        <v>0</v>
      </c>
      <c r="D89" s="3">
        <f>_xlfn.MAXIFS(park_dem_calibrtd_by_hour!D:D,park_dem_calibrtd_by_hour!$A:$A,$A89)</f>
        <v>0</v>
      </c>
      <c r="E89" s="3">
        <f>SUMIFS(park_dem_calibrtd_by_hour!D:D,park_dem_calibrtd_by_hour!$A:$A,$A89)</f>
        <v>0</v>
      </c>
      <c r="F89" s="3">
        <f>SUMIFS(park_dem_calibrtd_by_hour!E:E,park_dem_calibrtd_by_hour!$A:$A,$A89)</f>
        <v>37.684952921197272</v>
      </c>
      <c r="G89" s="3">
        <f t="shared" si="7"/>
        <v>37.684952921197272</v>
      </c>
      <c r="H89" s="5">
        <f t="shared" si="8"/>
        <v>1</v>
      </c>
      <c r="I89" s="5" t="e">
        <f t="shared" ca="1" si="9"/>
        <v>#DIV/0!</v>
      </c>
      <c r="J89">
        <f t="shared" ca="1" si="10"/>
        <v>0</v>
      </c>
      <c r="K89">
        <f t="shared" ca="1" si="11"/>
        <v>0</v>
      </c>
      <c r="L89">
        <f t="shared" ca="1" si="12"/>
        <v>0</v>
      </c>
      <c r="M89">
        <f t="shared" ca="1" si="13"/>
        <v>1</v>
      </c>
    </row>
    <row r="90" spans="1:13" x14ac:dyDescent="0.25">
      <c r="A90">
        <v>18177</v>
      </c>
      <c r="B90" t="str">
        <f ca="1">OFFSET(park_dem_calibrtd_by_hour!B$1,MATCH(A90,park_dem_calibrtd_by_hour!A:A,0)-1,0)</f>
        <v>Wayne County</v>
      </c>
      <c r="C90">
        <f ca="1">OFFSET(park_dem_calibrtd_by_hour!G$1,MATCH(A90,park_dem_calibrtd_by_hour!A:A,0)-1,0)</f>
        <v>355</v>
      </c>
      <c r="D90" s="3">
        <f>_xlfn.MAXIFS(park_dem_calibrtd_by_hour!D:D,park_dem_calibrtd_by_hour!$A:$A,$A90)</f>
        <v>307.14836481343531</v>
      </c>
      <c r="E90" s="3">
        <f>SUMIFS(park_dem_calibrtd_by_hour!D:D,park_dem_calibrtd_by_hour!$A:$A,$A90)</f>
        <v>5136.2084896098877</v>
      </c>
      <c r="F90" s="3">
        <f>SUMIFS(park_dem_calibrtd_by_hour!E:E,park_dem_calibrtd_by_hour!$A:$A,$A90)</f>
        <v>221.26462779167659</v>
      </c>
      <c r="G90" s="3">
        <f t="shared" si="7"/>
        <v>5357.4731174015642</v>
      </c>
      <c r="H90" s="5">
        <f t="shared" si="8"/>
        <v>4.1300184423322402E-2</v>
      </c>
      <c r="I90" s="5">
        <f t="shared" ca="1" si="9"/>
        <v>0.86520666144629665</v>
      </c>
      <c r="J90">
        <f t="shared" ca="1" si="10"/>
        <v>0</v>
      </c>
      <c r="K90">
        <f t="shared" ca="1" si="11"/>
        <v>1</v>
      </c>
      <c r="L90">
        <f t="shared" ca="1" si="12"/>
        <v>0</v>
      </c>
      <c r="M90">
        <f t="shared" ca="1" si="13"/>
        <v>0</v>
      </c>
    </row>
    <row r="91" spans="1:13" x14ac:dyDescent="0.25">
      <c r="A91">
        <v>18179</v>
      </c>
      <c r="B91" t="str">
        <f ca="1">OFFSET(park_dem_calibrtd_by_hour!B$1,MATCH(A91,park_dem_calibrtd_by_hour!A:A,0)-1,0)</f>
        <v>Wells County</v>
      </c>
      <c r="C91">
        <f ca="1">OFFSET(park_dem_calibrtd_by_hour!G$1,MATCH(A91,park_dem_calibrtd_by_hour!A:A,0)-1,0)</f>
        <v>0</v>
      </c>
      <c r="D91" s="3">
        <f>_xlfn.MAXIFS(park_dem_calibrtd_by_hour!D:D,park_dem_calibrtd_by_hour!$A:$A,$A91)</f>
        <v>0</v>
      </c>
      <c r="E91" s="3">
        <f>SUMIFS(park_dem_calibrtd_by_hour!D:D,park_dem_calibrtd_by_hour!$A:$A,$A91)</f>
        <v>0</v>
      </c>
      <c r="F91" s="3">
        <f>SUMIFS(park_dem_calibrtd_by_hour!E:E,park_dem_calibrtd_by_hour!$A:$A,$A91)</f>
        <v>33.328809087746954</v>
      </c>
      <c r="G91" s="3">
        <f t="shared" si="7"/>
        <v>33.328809087746954</v>
      </c>
      <c r="H91" s="5">
        <f t="shared" si="8"/>
        <v>1</v>
      </c>
      <c r="I91" s="5" t="e">
        <f t="shared" ca="1" si="9"/>
        <v>#DIV/0!</v>
      </c>
      <c r="J91">
        <f t="shared" ca="1" si="10"/>
        <v>0</v>
      </c>
      <c r="K91">
        <f t="shared" ca="1" si="11"/>
        <v>0</v>
      </c>
      <c r="L91">
        <f t="shared" ca="1" si="12"/>
        <v>0</v>
      </c>
      <c r="M91">
        <f t="shared" ca="1" si="13"/>
        <v>1</v>
      </c>
    </row>
    <row r="92" spans="1:13" x14ac:dyDescent="0.25">
      <c r="A92">
        <v>18181</v>
      </c>
      <c r="B92" t="str">
        <f ca="1">OFFSET(park_dem_calibrtd_by_hour!B$1,MATCH(A92,park_dem_calibrtd_by_hour!A:A,0)-1,0)</f>
        <v>White County</v>
      </c>
      <c r="C92">
        <f ca="1">OFFSET(park_dem_calibrtd_by_hour!G$1,MATCH(A92,park_dem_calibrtd_by_hour!A:A,0)-1,0)</f>
        <v>28</v>
      </c>
      <c r="D92" s="3">
        <f>_xlfn.MAXIFS(park_dem_calibrtd_by_hour!D:D,park_dem_calibrtd_by_hour!$A:$A,$A92)</f>
        <v>21.588981656638609</v>
      </c>
      <c r="E92" s="3">
        <f>SUMIFS(park_dem_calibrtd_by_hour!D:D,park_dem_calibrtd_by_hour!$A:$A,$A92)</f>
        <v>458.7797348704454</v>
      </c>
      <c r="F92" s="3">
        <f>SUMIFS(park_dem_calibrtd_by_hour!E:E,park_dem_calibrtd_by_hour!$A:$A,$A92)</f>
        <v>267.42032933808048</v>
      </c>
      <c r="G92" s="3">
        <f t="shared" si="7"/>
        <v>726.20006420852587</v>
      </c>
      <c r="H92" s="5">
        <f t="shared" si="8"/>
        <v>0.36824608330149039</v>
      </c>
      <c r="I92" s="5">
        <f t="shared" ca="1" si="9"/>
        <v>0.77103505916566462</v>
      </c>
      <c r="J92">
        <f t="shared" ca="1" si="10"/>
        <v>0</v>
      </c>
      <c r="K92">
        <f t="shared" ca="1" si="11"/>
        <v>1</v>
      </c>
      <c r="L92">
        <f t="shared" ca="1" si="12"/>
        <v>0</v>
      </c>
      <c r="M92">
        <f t="shared" ca="1" si="13"/>
        <v>0</v>
      </c>
    </row>
    <row r="93" spans="1:13" x14ac:dyDescent="0.25">
      <c r="A93">
        <v>18183</v>
      </c>
      <c r="B93" t="str">
        <f ca="1">OFFSET(park_dem_calibrtd_by_hour!B$1,MATCH(A93,park_dem_calibrtd_by_hour!A:A,0)-1,0)</f>
        <v>Whitley County</v>
      </c>
      <c r="C93">
        <f ca="1">OFFSET(park_dem_calibrtd_by_hour!G$1,MATCH(A93,park_dem_calibrtd_by_hour!A:A,0)-1,0)</f>
        <v>0</v>
      </c>
      <c r="D93" s="3">
        <f>_xlfn.MAXIFS(park_dem_calibrtd_by_hour!D:D,park_dem_calibrtd_by_hour!$A:$A,$A93)</f>
        <v>0</v>
      </c>
      <c r="E93" s="3">
        <f>SUMIFS(park_dem_calibrtd_by_hour!D:D,park_dem_calibrtd_by_hour!$A:$A,$A93)</f>
        <v>0</v>
      </c>
      <c r="F93" s="3">
        <f>SUMIFS(park_dem_calibrtd_by_hour!E:E,park_dem_calibrtd_by_hour!$A:$A,$A93)</f>
        <v>27.663012337366439</v>
      </c>
      <c r="G93" s="3">
        <f t="shared" si="7"/>
        <v>27.663012337366439</v>
      </c>
      <c r="H93" s="5">
        <f t="shared" si="8"/>
        <v>1</v>
      </c>
      <c r="I93" s="5" t="e">
        <f t="shared" ca="1" si="9"/>
        <v>#DIV/0!</v>
      </c>
      <c r="J93">
        <f t="shared" ca="1" si="10"/>
        <v>0</v>
      </c>
      <c r="K93">
        <f t="shared" ca="1" si="11"/>
        <v>0</v>
      </c>
      <c r="L93">
        <f t="shared" ca="1" si="12"/>
        <v>0</v>
      </c>
      <c r="M93">
        <f t="shared" ca="1" si="13"/>
        <v>1</v>
      </c>
    </row>
    <row r="94" spans="1:13" x14ac:dyDescent="0.25">
      <c r="D94" s="3"/>
      <c r="E94" s="3"/>
      <c r="F94" s="3"/>
      <c r="G94" s="3"/>
      <c r="H94" s="5"/>
      <c r="I94" s="5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contents</vt:lpstr>
      <vt:lpstr>in_parking_demand_data_ver1</vt:lpstr>
      <vt:lpstr>calibration</vt:lpstr>
      <vt:lpstr>park_dem_calibrtd_by_hour</vt:lpstr>
      <vt:lpstr>diagnosis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Lemp</dc:creator>
  <cp:lastModifiedBy>Kathie Xu</cp:lastModifiedBy>
  <dcterms:created xsi:type="dcterms:W3CDTF">2025-09-12T19:44:01Z</dcterms:created>
  <dcterms:modified xsi:type="dcterms:W3CDTF">2025-09-15T15:45:19Z</dcterms:modified>
</cp:coreProperties>
</file>